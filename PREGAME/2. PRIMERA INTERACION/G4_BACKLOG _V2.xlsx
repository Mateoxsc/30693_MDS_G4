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2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<sst xmlns="http://schemas.openxmlformats.org/spreadsheetml/2006/main" count="225" uniqueCount="127">
  <si>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</si>
  <si>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</si>
  <si>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</si>
  <si>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</si>
  <si>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</si>
  <si>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</si>
  <si>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</si>
  <si>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</si>
  <si>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TAR001</t>
  </si>
  <si>
    <t>Acceso Restringido</t>
  </si>
  <si>
    <t>Administrador</t>
  </si>
  <si>
    <t>Validar la identidad del personal al ingresar a la plataforma.</t>
  </si>
  <si>
    <t>Garantizar que solo usuarios autorizados accedan a la información sensible del negocio.</t>
  </si>
  <si>
    <t>#Es el primer filtro de seguridad; asegura que la trazabilidad de las acciones empiece desde el login,capturar errores para que no colapse el sistema</t>
  </si>
  <si>
    <t>Alta</t>
  </si>
  <si>
    <t>Terminado</t>
  </si>
  <si>
    <t>TAR002</t>
  </si>
  <si>
    <t>Navegación del Sistema</t>
  </si>
  <si>
    <t>Acceder de forma centralizada a las herramientas de gestión del negocio.</t>
  </si>
  <si>
    <t>Optimizar el tiempo de operación permitiendo el acceso rápido a cada módulo de trabajo.</t>
  </si>
  <si>
    <t>#Mejora la experiencia de usuario al centralizar todas las herramientas en una sola vista principal.</t>
  </si>
  <si>
    <t>TAR003</t>
  </si>
  <si>
    <t>Control de Personal</t>
  </si>
  <si>
    <t>Registrar nuevos colaboradores y asignarles un perfil de acceso único en la plataforma.</t>
  </si>
  <si>
    <t>Mantener un registro  de quién opera el sistema y proteger la integridad de los datos.</t>
  </si>
  <si>
    <t>#Permite identificar responsables de cada gestión realizada en el sistema.</t>
  </si>
  <si>
    <t>TAR004</t>
  </si>
  <si>
    <t>Baja de Personal</t>
  </si>
  <si>
    <t>Localizar a un colaborador por su identificación para retirar sus permisos de acceso.</t>
  </si>
  <si>
    <t xml:space="preserve">Impedir el ingreso de personas que ya no laboran en el emprendimiento para resguardar la seguridad.
</t>
  </si>
  <si>
    <t>#Fundamental para la desvinculación segura de empleados.</t>
  </si>
  <si>
    <t>TAR005</t>
  </si>
  <si>
    <t>Base de Datos de Clientes</t>
  </si>
  <si>
    <t>Registrar y organizar la información de contacto de los clientes.</t>
  </si>
  <si>
    <t>Contar con información centralizada para agilizar ventas y fidelización.</t>
  </si>
  <si>
    <t>#Cada cliente tendrá datos únicos y reales,gestión de clientes potenciales.</t>
  </si>
  <si>
    <t>No iniciado</t>
  </si>
  <si>
    <t>TAR006</t>
  </si>
  <si>
    <t>Verificación de Registros</t>
  </si>
  <si>
    <t>Validar si un cliente ya se encuentra registrado mediante su número de identificación.</t>
  </si>
  <si>
    <t>Confirmar la existencia del cliente para agilizar la atención y evitar duplicidad de perfiles, o en otro caso eliminar ese cliente.</t>
  </si>
  <si>
    <t>#Se valida la existencia del cliente para poder eliminarlo</t>
  </si>
  <si>
    <t>TAR007</t>
  </si>
  <si>
    <t>Agendamiento de Servicios</t>
  </si>
  <si>
    <t>Reservar fechas y tipos de eventos verificando la disponibilidad de la agenda.</t>
  </si>
  <si>
    <t>Prevenir la sobreposición de compromisos y asegurar el cumplimiento al cliente.</t>
  </si>
  <si>
    <t>#Evita conflictos de horario.</t>
  </si>
  <si>
    <t xml:space="preserve">No iniciado </t>
  </si>
  <si>
    <t>Necesito</t>
  </si>
  <si>
    <t>así podre...</t>
  </si>
  <si>
    <t>Prioridad</t>
  </si>
  <si>
    <t>Status</t>
  </si>
  <si>
    <t xml:space="preserve">SPRING 1 </t>
  </si>
  <si>
    <t>##Es el primer filtro de seguridad; asegura que la trazabilidad de las acciones empiece desde el login,capturar errores para que no colapse el sistema</t>
  </si>
  <si>
    <t>Terminada</t>
  </si>
  <si>
    <t>Tareas</t>
  </si>
  <si>
    <t>Asignado</t>
  </si>
  <si>
    <t>Estimado</t>
  </si>
  <si>
    <t>TAR001-1</t>
  </si>
  <si>
    <t>Diseñar la interfaz de acceso con campos para usuario y contraseña.</t>
  </si>
  <si>
    <t>Verdezoto Miguel</t>
  </si>
  <si>
    <t>TAR001-2</t>
  </si>
  <si>
    <t>Configurar la validación de credenciales ingreso.</t>
  </si>
  <si>
    <t>TAR001-3</t>
  </si>
  <si>
    <t>Implementar el redireccionamiento seguro al panel principal.</t>
  </si>
  <si>
    <t>##Mejora la experiencia de usuario al centralizar todas las herramientas en una sola vista principal.</t>
  </si>
  <si>
    <t>TAR002-1</t>
  </si>
  <si>
    <t>Crear una interfaz, unicamente la ventana como administrador para ingresar con las credenciales de administrador y gestionar como administrador</t>
  </si>
  <si>
    <t>TAR002-2</t>
  </si>
  <si>
    <t>Vincular botones de acceso a los módulos de Clientes, Empleados y Eventos.</t>
  </si>
  <si>
    <t>TAR002-3</t>
  </si>
  <si>
    <t>Organizar la distribución visual de las funciones administrativas.</t>
  </si>
  <si>
    <t>SPRING 2</t>
  </si>
  <si>
    <t xml:space="preserve">Registrar nuevos colaboradores y asignarles un perfil de acceso único en la plataforma. </t>
  </si>
  <si>
    <t>##Permite identificar responsables de cada gestión realizada en el sistema.</t>
  </si>
  <si>
    <t>TAR003-1</t>
  </si>
  <si>
    <t>Maquetar el formulario de registro de datos del colaborador.</t>
  </si>
  <si>
    <t>Jaramillo Mateo</t>
  </si>
  <si>
    <t>TAR003-2</t>
  </si>
  <si>
    <t>Implementar la generación de credenciales únicas.</t>
  </si>
  <si>
    <t>TAR003-3</t>
  </si>
  <si>
    <t>Configurar el botón de guardado y confirmación de registro.</t>
  </si>
  <si>
    <t>#iFundamental para la desvinculación segura de empleados.</t>
  </si>
  <si>
    <t>TAR004-1</t>
  </si>
  <si>
    <t>Implementar un buscador por número de identificación (ID) del colaborador.</t>
  </si>
  <si>
    <t>TAR004-2</t>
  </si>
  <si>
    <t>Mostrar la información del usuario para confirmar la identidad antes de proceder.</t>
  </si>
  <si>
    <t>TAR004-3</t>
  </si>
  <si>
    <t>Configurar la función para retirar o eliminar los permisos de acceso del sistema.</t>
  </si>
  <si>
    <t>SPRING 3</t>
  </si>
  <si>
    <t>En proceso</t>
  </si>
  <si>
    <t>TAR005-1</t>
  </si>
  <si>
    <t>Diseñar el formulario de captura para datos personales del cliente.</t>
  </si>
  <si>
    <t>Mery Velasquez</t>
  </si>
  <si>
    <t>TAR005-2</t>
  </si>
  <si>
    <t>Establecer validaciones de formato en los campos de entrada (Cédula, Teléfono).</t>
  </si>
  <si>
    <t>TAR005-3</t>
  </si>
  <si>
    <t>Configurar el guardado del perfil del cliente en los registros</t>
  </si>
  <si>
    <t>TAR006-1</t>
  </si>
  <si>
    <t>Crear un campo de consulta para ingresar el número de cédula del cliente.</t>
  </si>
  <si>
    <t>TAR006-2</t>
  </si>
  <si>
    <t>Configurar el proceso de verificación en los registros existentes.</t>
  </si>
  <si>
    <t>TAR006-3</t>
  </si>
  <si>
    <t>Implementar notificaciones visuales para confirmar si el cliente ya está registrado.</t>
  </si>
  <si>
    <t xml:space="preserve">SPRING 4 </t>
  </si>
  <si>
    <t>Asigando</t>
  </si>
  <si>
    <t>TAR007-1</t>
  </si>
  <si>
    <t>Desplegar un calendario de disponibilidad para la selección de fechas.</t>
  </si>
  <si>
    <t>Valeria Sosa</t>
  </si>
  <si>
    <t>TAR007-2</t>
  </si>
  <si>
    <t>Configurar la asociación de la reserva con el cliente y el tipo de evento.</t>
  </si>
  <si>
    <t>TAR007-3</t>
  </si>
  <si>
    <t>Implementar la validación automática para evitar cruces de horarios.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</si>
  <si>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</si>
  <si>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</si>
  <si>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</si>
  <si>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</si>
  <si>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</si>
  <si>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</si>
  <si>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</si>
  <si>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</si>
  <si>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</si>
  <si>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</si>
  <si>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REQ001-3</t>
  </si>
  <si>
    <t>REQ001-4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</si>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</sst>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/>
    <font>
      <sz val="10.0"/>
      <color theme="4"/>
      <name val="Arial"/>
    </font>
    <font>
      <sz val="10.0"/>
      <color rgb="FF4472C4"/>
      <name val="Arial"/>
    </font>
    <font>
      <sz val="11.0"/>
      <color rgb="FF000000"/>
      <name val="Inconsolata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38BCC"/>
        <bgColor rgb="FFF38BCC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1" numFmtId="0" xfId="0" applyAlignment="1" applyBorder="1" applyFont="1">
      <alignment horizontal="center"/>
    </xf>
    <xf borderId="2" fillId="3" fontId="6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readingOrder="0"/>
    </xf>
    <xf borderId="1" fillId="4" fontId="7" numFmtId="0" xfId="0" applyBorder="1" applyFont="1"/>
    <xf borderId="3" fillId="0" fontId="8" numFmtId="0" xfId="0" applyBorder="1" applyFont="1"/>
    <xf borderId="1" fillId="0" fontId="7" numFmtId="0" xfId="0" applyBorder="1" applyFont="1"/>
    <xf borderId="1" fillId="0" fontId="1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horizontal="right"/>
    </xf>
    <xf borderId="1" fillId="0" fontId="10" numFmtId="0" xfId="0" applyAlignment="1" applyBorder="1" applyFont="1">
      <alignment horizontal="right" readingOrder="0"/>
    </xf>
    <xf borderId="1" fillId="0" fontId="10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/>
    </xf>
    <xf borderId="1" fillId="0" fontId="9" numFmtId="0" xfId="0" applyBorder="1" applyFont="1"/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7" fillId="0" fontId="8" numFmtId="0" xfId="0" applyBorder="1" applyFont="1"/>
    <xf borderId="8" fillId="5" fontId="6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1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1" fillId="0" fontId="6" numFmtId="0" xfId="0" applyBorder="1" applyFont="1"/>
    <xf borderId="9" fillId="0" fontId="8" numFmtId="0" xfId="0" applyBorder="1" applyFont="1"/>
    <xf borderId="0" fillId="6" fontId="6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0" fontId="7" numFmtId="0" xfId="0" applyFont="1"/>
    <xf borderId="0" fillId="0" fontId="6" numFmtId="0" xfId="0" applyFont="1"/>
    <xf borderId="10" fillId="7" fontId="3" numFmtId="0" xfId="0" applyBorder="1" applyFill="1" applyFont="1"/>
    <xf borderId="0" fillId="0" fontId="6" numFmtId="0" xfId="0" applyAlignment="1" applyFont="1">
      <alignment readingOrder="0"/>
    </xf>
    <xf borderId="10" fillId="8" fontId="3" numFmtId="0" xfId="0" applyAlignment="1" applyBorder="1" applyFill="1" applyFont="1">
      <alignment readingOrder="0"/>
    </xf>
    <xf borderId="10" fillId="7" fontId="3" numFmtId="0" xfId="0" applyAlignment="1" applyBorder="1" applyFont="1">
      <alignment readingOrder="0"/>
    </xf>
    <xf borderId="11" fillId="9" fontId="7" numFmtId="0" xfId="0" applyBorder="1" applyFill="1" applyFont="1"/>
    <xf borderId="11" fillId="0" fontId="7" numFmtId="0" xfId="0" applyBorder="1" applyFont="1"/>
    <xf borderId="11" fillId="10" fontId="11" numFmtId="0" xfId="0" applyBorder="1" applyFill="1" applyFont="1"/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878442708739748"/>
          <c:y val="0.059575003594018"/>
          <c:w val="0.7163870516185477"/>
          <c:h val="0.8688230008984726"/>
        </c:manualLayout>
      </c:layout>
      <c:lineChart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/>
            </c:numRef>
          </c:val>
          <c:smooth val="0"/>
        </c:ser>
        <c:axId val="541224383"/>
        <c:axId val="1793552734"/>
      </c:lineChart>
      <c:catAx>
        <c:axId val="541224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793552734"/>
      </c:catAx>
      <c:valAx>
        <c:axId val="1793552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54122438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11</xdr:row>
      <xdr:rowOff>9525</xdr:rowOff>
    </xdr:from>
    <xdr:ext cx="8048625" cy="4933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88"/>
    <col customWidth="1" min="3" max="3" width="17.13"/>
    <col customWidth="1" min="4" max="4" width="72.88"/>
    <col customWidth="1" min="5" max="5" width="74.5"/>
    <col customWidth="1" min="6" max="6" width="110.75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s="5" t="s">
        <v>14</v>
      </c>
      <c r="H2" s="5" t="s">
        <v>15</v>
      </c>
    </row>
    <row r="3" ht="15.75" customHeight="1">
      <c r="A3" s="2" t="s">
        <v>16</v>
      </c>
      <c r="B3" s="2" t="s">
        <v>17</v>
      </c>
      <c r="C3" s="2" t="s">
        <v>10</v>
      </c>
      <c r="D3" s="2" t="s">
        <v>18</v>
      </c>
      <c r="E3" s="4" t="s">
        <v>19</v>
      </c>
      <c r="F3" s="4" t="s">
        <v>20</v>
      </c>
      <c r="G3" s="5" t="s">
        <v>14</v>
      </c>
      <c r="H3" s="5" t="s">
        <v>15</v>
      </c>
    </row>
    <row r="4" ht="15.75" customHeight="1">
      <c r="A4" s="2" t="s">
        <v>21</v>
      </c>
      <c r="B4" s="2" t="s">
        <v>22</v>
      </c>
      <c r="C4" s="2" t="s">
        <v>10</v>
      </c>
      <c r="D4" s="2" t="s">
        <v>23</v>
      </c>
      <c r="E4" s="4" t="s">
        <v>24</v>
      </c>
      <c r="F4" s="4" t="s">
        <v>25</v>
      </c>
      <c r="G4" s="4" t="s">
        <v>14</v>
      </c>
      <c r="H4" s="4" t="s">
        <v>15</v>
      </c>
    </row>
    <row r="5" ht="15.75" customHeight="1">
      <c r="A5" s="2" t="s">
        <v>26</v>
      </c>
      <c r="B5" s="2" t="s">
        <v>27</v>
      </c>
      <c r="C5" s="2" t="s">
        <v>10</v>
      </c>
      <c r="D5" s="6" t="s">
        <v>28</v>
      </c>
      <c r="E5" s="7" t="s">
        <v>29</v>
      </c>
      <c r="F5" s="7" t="s">
        <v>30</v>
      </c>
      <c r="G5" s="4" t="s">
        <v>14</v>
      </c>
      <c r="H5" s="4" t="s">
        <v>15</v>
      </c>
    </row>
    <row r="6" ht="15.75" customHeight="1">
      <c r="A6" s="2" t="s">
        <v>31</v>
      </c>
      <c r="B6" s="6" t="s">
        <v>32</v>
      </c>
      <c r="C6" s="2" t="s">
        <v>10</v>
      </c>
      <c r="D6" s="6" t="s">
        <v>33</v>
      </c>
      <c r="E6" s="7" t="s">
        <v>34</v>
      </c>
      <c r="F6" s="7" t="s">
        <v>35</v>
      </c>
      <c r="G6" s="7" t="s">
        <v>14</v>
      </c>
      <c r="H6" s="4" t="s">
        <v>36</v>
      </c>
    </row>
    <row r="7" ht="15.75" customHeight="1">
      <c r="A7" s="2" t="s">
        <v>37</v>
      </c>
      <c r="B7" s="6" t="s">
        <v>38</v>
      </c>
      <c r="C7" s="2" t="s">
        <v>10</v>
      </c>
      <c r="D7" s="6" t="s">
        <v>39</v>
      </c>
      <c r="E7" s="7" t="s">
        <v>40</v>
      </c>
      <c r="F7" s="7" t="s">
        <v>41</v>
      </c>
      <c r="G7" s="7" t="s">
        <v>14</v>
      </c>
      <c r="H7" s="4" t="s">
        <v>36</v>
      </c>
    </row>
    <row r="8" ht="15.75" customHeight="1">
      <c r="A8" s="2" t="s">
        <v>42</v>
      </c>
      <c r="B8" s="6" t="s">
        <v>43</v>
      </c>
      <c r="C8" s="6" t="s">
        <v>10</v>
      </c>
      <c r="D8" s="6" t="s">
        <v>44</v>
      </c>
      <c r="E8" s="7" t="s">
        <v>45</v>
      </c>
      <c r="F8" s="7" t="s">
        <v>46</v>
      </c>
      <c r="G8" s="7" t="s">
        <v>14</v>
      </c>
      <c r="H8" s="7" t="s">
        <v>47</v>
      </c>
    </row>
    <row r="9" ht="15.75" customHeight="1">
      <c r="A9" s="2"/>
      <c r="B9" s="8"/>
      <c r="C9" s="8"/>
      <c r="D9" s="8"/>
      <c r="E9" s="9"/>
      <c r="F9" s="9"/>
      <c r="G9" s="9"/>
      <c r="H9" s="9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3.75"/>
    <col customWidth="1" min="4" max="4" width="20.5"/>
    <col customWidth="1" min="5" max="5" width="68.38"/>
    <col customWidth="1" min="6" max="6" width="93.25"/>
    <col customWidth="1" min="7" max="7" width="113.0"/>
    <col customWidth="1" min="8" max="26" width="12.5"/>
  </cols>
  <sheetData>
    <row r="1" ht="15.75" customHeight="1"/>
    <row r="2" ht="15.75" customHeight="1"/>
    <row r="3" ht="15.75" customHeight="1">
      <c r="B3" s="10" t="s">
        <v>0</v>
      </c>
      <c r="C3" s="10" t="s">
        <v>1</v>
      </c>
      <c r="D3" s="10" t="s">
        <v>2</v>
      </c>
      <c r="E3" s="10" t="s">
        <v>48</v>
      </c>
      <c r="F3" s="10" t="s">
        <v>49</v>
      </c>
      <c r="G3" s="10" t="s">
        <v>5</v>
      </c>
      <c r="H3" s="10" t="s">
        <v>50</v>
      </c>
      <c r="I3" s="10" t="s">
        <v>51</v>
      </c>
    </row>
    <row r="4" ht="15.75" customHeight="1">
      <c r="A4" s="11" t="s">
        <v>52</v>
      </c>
      <c r="B4" s="12" t="s">
        <v>8</v>
      </c>
      <c r="C4" s="12" t="s">
        <v>9</v>
      </c>
      <c r="D4" s="13" t="s">
        <v>10</v>
      </c>
      <c r="E4" s="12" t="s">
        <v>11</v>
      </c>
      <c r="F4" s="12" t="s">
        <v>12</v>
      </c>
      <c r="G4" s="12" t="s">
        <v>53</v>
      </c>
      <c r="H4" s="13" t="s">
        <v>14</v>
      </c>
      <c r="I4" s="13" t="s">
        <v>54</v>
      </c>
    </row>
    <row r="5" ht="15.75" customHeight="1">
      <c r="A5" s="14"/>
      <c r="B5" s="15"/>
      <c r="C5" s="16" t="s">
        <v>55</v>
      </c>
      <c r="D5" s="15"/>
      <c r="E5" s="15"/>
      <c r="F5" s="15"/>
      <c r="G5" s="16" t="s">
        <v>56</v>
      </c>
      <c r="H5" s="15"/>
      <c r="I5" s="16" t="s">
        <v>57</v>
      </c>
    </row>
    <row r="6" ht="15.75" customHeight="1">
      <c r="A6" s="14"/>
      <c r="B6" s="4" t="s">
        <v>58</v>
      </c>
      <c r="C6" s="17" t="s">
        <v>59</v>
      </c>
      <c r="D6" s="18"/>
      <c r="E6" s="18"/>
      <c r="F6" s="19"/>
      <c r="G6" s="20" t="s">
        <v>60</v>
      </c>
      <c r="H6" s="15"/>
      <c r="I6" s="21">
        <v>4.0</v>
      </c>
    </row>
    <row r="7" ht="15.75" customHeight="1">
      <c r="A7" s="14"/>
      <c r="B7" s="4" t="s">
        <v>61</v>
      </c>
      <c r="C7" s="17" t="s">
        <v>62</v>
      </c>
      <c r="D7" s="18"/>
      <c r="E7" s="18"/>
      <c r="F7" s="19"/>
      <c r="G7" s="20" t="s">
        <v>60</v>
      </c>
      <c r="H7" s="15"/>
      <c r="I7" s="21">
        <v>1.0</v>
      </c>
    </row>
    <row r="8" ht="15.75" customHeight="1">
      <c r="A8" s="14"/>
      <c r="B8" s="4" t="s">
        <v>63</v>
      </c>
      <c r="C8" s="17" t="s">
        <v>64</v>
      </c>
      <c r="D8" s="18"/>
      <c r="E8" s="18"/>
      <c r="F8" s="19"/>
      <c r="G8" s="20" t="s">
        <v>60</v>
      </c>
      <c r="H8" s="15"/>
      <c r="I8" s="22">
        <v>1.0</v>
      </c>
    </row>
    <row r="9" ht="15.75" customHeight="1">
      <c r="A9" s="14"/>
      <c r="B9" s="12" t="s">
        <v>16</v>
      </c>
      <c r="C9" s="12" t="s">
        <v>17</v>
      </c>
      <c r="D9" s="13" t="s">
        <v>10</v>
      </c>
      <c r="E9" s="12" t="s">
        <v>18</v>
      </c>
      <c r="F9" s="12" t="s">
        <v>19</v>
      </c>
      <c r="G9" s="12" t="s">
        <v>65</v>
      </c>
      <c r="H9" s="13" t="s">
        <v>14</v>
      </c>
      <c r="I9" s="13" t="s">
        <v>54</v>
      </c>
    </row>
    <row r="10" ht="15.75" customHeight="1">
      <c r="A10" s="14"/>
      <c r="B10" s="23"/>
      <c r="C10" s="24" t="s">
        <v>55</v>
      </c>
      <c r="D10" s="25"/>
      <c r="E10" s="25"/>
      <c r="F10" s="25"/>
      <c r="G10" s="20" t="s">
        <v>56</v>
      </c>
      <c r="H10" s="10"/>
      <c r="I10" s="21"/>
    </row>
    <row r="11" ht="15.75" customHeight="1">
      <c r="A11" s="14"/>
      <c r="B11" s="20" t="s">
        <v>66</v>
      </c>
      <c r="C11" s="17" t="s">
        <v>67</v>
      </c>
      <c r="D11" s="18"/>
      <c r="E11" s="18"/>
      <c r="F11" s="19"/>
      <c r="G11" s="20" t="s">
        <v>60</v>
      </c>
      <c r="H11" s="26"/>
      <c r="I11" s="4">
        <v>2.0</v>
      </c>
    </row>
    <row r="12" ht="15.75" customHeight="1">
      <c r="A12" s="14"/>
      <c r="B12" s="20" t="s">
        <v>68</v>
      </c>
      <c r="C12" s="17" t="s">
        <v>69</v>
      </c>
      <c r="D12" s="27"/>
      <c r="E12" s="27"/>
      <c r="F12" s="28"/>
      <c r="G12" s="20" t="s">
        <v>60</v>
      </c>
      <c r="H12" s="26"/>
      <c r="I12" s="4">
        <v>2.0</v>
      </c>
    </row>
    <row r="13" ht="15.75" customHeight="1">
      <c r="A13" s="29"/>
      <c r="B13" s="20" t="s">
        <v>70</v>
      </c>
      <c r="C13" s="17" t="s">
        <v>71</v>
      </c>
      <c r="D13" s="18"/>
      <c r="E13" s="18"/>
      <c r="F13" s="19"/>
      <c r="G13" s="20" t="s">
        <v>60</v>
      </c>
      <c r="H13" s="26"/>
      <c r="I13" s="4">
        <v>2.0</v>
      </c>
    </row>
    <row r="14" ht="15.75" customHeight="1">
      <c r="A14" s="30" t="s">
        <v>72</v>
      </c>
      <c r="B14" s="12" t="s">
        <v>21</v>
      </c>
      <c r="C14" s="12" t="s">
        <v>22</v>
      </c>
      <c r="D14" s="13" t="s">
        <v>10</v>
      </c>
      <c r="E14" s="12" t="s">
        <v>73</v>
      </c>
      <c r="F14" s="12" t="s">
        <v>24</v>
      </c>
      <c r="G14" s="12" t="s">
        <v>74</v>
      </c>
      <c r="H14" s="13" t="s">
        <v>14</v>
      </c>
      <c r="I14" s="12" t="s">
        <v>54</v>
      </c>
    </row>
    <row r="15" ht="15.75" customHeight="1">
      <c r="A15" s="31"/>
      <c r="B15" s="23"/>
      <c r="C15" s="24" t="s">
        <v>55</v>
      </c>
      <c r="D15" s="25"/>
      <c r="E15" s="25"/>
      <c r="F15" s="25"/>
      <c r="G15" s="20" t="s">
        <v>56</v>
      </c>
      <c r="H15" s="10"/>
      <c r="I15" s="21"/>
    </row>
    <row r="16" ht="15.75" customHeight="1">
      <c r="A16" s="31"/>
      <c r="B16" s="20" t="s">
        <v>75</v>
      </c>
      <c r="C16" s="17" t="s">
        <v>76</v>
      </c>
      <c r="D16" s="18"/>
      <c r="E16" s="18"/>
      <c r="F16" s="19"/>
      <c r="G16" s="20" t="s">
        <v>77</v>
      </c>
      <c r="H16" s="26"/>
      <c r="I16" s="4">
        <v>2.0</v>
      </c>
    </row>
    <row r="17" ht="15.75" customHeight="1">
      <c r="A17" s="31"/>
      <c r="B17" s="32" t="s">
        <v>78</v>
      </c>
      <c r="C17" s="33" t="s">
        <v>79</v>
      </c>
      <c r="D17" s="18"/>
      <c r="E17" s="18"/>
      <c r="F17" s="19"/>
      <c r="G17" s="32" t="s">
        <v>77</v>
      </c>
      <c r="H17" s="34"/>
      <c r="I17" s="32">
        <v>2.0</v>
      </c>
    </row>
    <row r="18" ht="15.75" customHeight="1">
      <c r="A18" s="31"/>
      <c r="B18" s="32" t="s">
        <v>80</v>
      </c>
      <c r="C18" s="33" t="s">
        <v>81</v>
      </c>
      <c r="D18" s="18"/>
      <c r="E18" s="18"/>
      <c r="F18" s="19"/>
      <c r="G18" s="32" t="s">
        <v>77</v>
      </c>
      <c r="H18" s="34"/>
      <c r="I18" s="32">
        <v>2.0</v>
      </c>
    </row>
    <row r="19" ht="15.75" customHeight="1">
      <c r="A19" s="31"/>
      <c r="B19" s="12" t="s">
        <v>26</v>
      </c>
      <c r="C19" s="12" t="s">
        <v>27</v>
      </c>
      <c r="D19" s="13" t="s">
        <v>10</v>
      </c>
      <c r="E19" s="12" t="s">
        <v>28</v>
      </c>
      <c r="F19" s="12" t="s">
        <v>29</v>
      </c>
      <c r="G19" s="12" t="s">
        <v>82</v>
      </c>
      <c r="H19" s="13" t="s">
        <v>14</v>
      </c>
      <c r="I19" s="12" t="s">
        <v>54</v>
      </c>
    </row>
    <row r="20" ht="15.75" customHeight="1">
      <c r="A20" s="31"/>
      <c r="B20" s="23"/>
      <c r="C20" s="24" t="s">
        <v>55</v>
      </c>
      <c r="D20" s="25"/>
      <c r="E20" s="25"/>
      <c r="F20" s="25"/>
      <c r="G20" s="20" t="s">
        <v>56</v>
      </c>
      <c r="H20" s="34"/>
      <c r="I20" s="34"/>
    </row>
    <row r="21" ht="15.75" customHeight="1">
      <c r="A21" s="31"/>
      <c r="B21" s="20" t="s">
        <v>83</v>
      </c>
      <c r="C21" s="17" t="s">
        <v>84</v>
      </c>
      <c r="D21" s="18"/>
      <c r="E21" s="18"/>
      <c r="F21" s="19"/>
      <c r="G21" s="20" t="s">
        <v>77</v>
      </c>
      <c r="H21" s="34"/>
      <c r="I21" s="32">
        <v>2.0</v>
      </c>
    </row>
    <row r="22" ht="15.75" customHeight="1">
      <c r="A22" s="31"/>
      <c r="B22" s="20" t="s">
        <v>85</v>
      </c>
      <c r="C22" s="33" t="s">
        <v>86</v>
      </c>
      <c r="D22" s="18"/>
      <c r="E22" s="18"/>
      <c r="F22" s="19"/>
      <c r="G22" s="32" t="s">
        <v>77</v>
      </c>
      <c r="H22" s="34"/>
      <c r="I22" s="32">
        <v>2.0</v>
      </c>
    </row>
    <row r="23" ht="15.75" customHeight="1">
      <c r="A23" s="35"/>
      <c r="B23" s="32" t="s">
        <v>87</v>
      </c>
      <c r="C23" s="33" t="s">
        <v>88</v>
      </c>
      <c r="D23" s="18"/>
      <c r="E23" s="18"/>
      <c r="F23" s="19"/>
      <c r="G23" s="32" t="s">
        <v>77</v>
      </c>
      <c r="H23" s="34"/>
      <c r="I23" s="32">
        <v>1.0</v>
      </c>
    </row>
    <row r="24" ht="15.75" customHeight="1">
      <c r="A24" s="36" t="s">
        <v>89</v>
      </c>
      <c r="B24" s="12" t="s">
        <v>31</v>
      </c>
      <c r="C24" s="12" t="s">
        <v>32</v>
      </c>
      <c r="D24" s="13" t="s">
        <v>10</v>
      </c>
      <c r="E24" s="12" t="s">
        <v>33</v>
      </c>
      <c r="F24" s="12" t="s">
        <v>34</v>
      </c>
      <c r="G24" s="12" t="s">
        <v>35</v>
      </c>
      <c r="H24" s="13" t="s">
        <v>14</v>
      </c>
      <c r="I24" s="12" t="s">
        <v>90</v>
      </c>
    </row>
    <row r="25" ht="15.75" customHeight="1">
      <c r="B25" s="23"/>
      <c r="C25" s="24" t="s">
        <v>55</v>
      </c>
      <c r="D25" s="25"/>
      <c r="E25" s="25"/>
      <c r="F25" s="25"/>
      <c r="G25" s="32" t="s">
        <v>56</v>
      </c>
      <c r="H25" s="34"/>
      <c r="I25" s="34"/>
    </row>
    <row r="26" ht="15.75" customHeight="1">
      <c r="B26" s="20" t="s">
        <v>91</v>
      </c>
      <c r="C26" s="17" t="s">
        <v>92</v>
      </c>
      <c r="D26" s="18"/>
      <c r="E26" s="18"/>
      <c r="F26" s="19"/>
      <c r="G26" s="32" t="s">
        <v>93</v>
      </c>
      <c r="H26" s="34"/>
      <c r="I26" s="32">
        <v>2.0</v>
      </c>
    </row>
    <row r="27" ht="15.75" customHeight="1">
      <c r="B27" s="20" t="s">
        <v>94</v>
      </c>
      <c r="C27" s="33" t="s">
        <v>95</v>
      </c>
      <c r="D27" s="18"/>
      <c r="E27" s="18"/>
      <c r="F27" s="19"/>
      <c r="G27" s="32" t="s">
        <v>93</v>
      </c>
      <c r="H27" s="34"/>
      <c r="I27" s="32">
        <v>1.0</v>
      </c>
    </row>
    <row r="28" ht="15.75" customHeight="1">
      <c r="B28" s="32" t="s">
        <v>96</v>
      </c>
      <c r="C28" s="33" t="s">
        <v>97</v>
      </c>
      <c r="D28" s="18"/>
      <c r="E28" s="18"/>
      <c r="F28" s="19"/>
      <c r="G28" s="32" t="s">
        <v>93</v>
      </c>
      <c r="H28" s="34"/>
      <c r="I28" s="32">
        <v>2.0</v>
      </c>
    </row>
    <row r="29" ht="15.75" customHeight="1">
      <c r="B29" s="12" t="s">
        <v>37</v>
      </c>
      <c r="C29" s="12" t="s">
        <v>38</v>
      </c>
      <c r="D29" s="13" t="s">
        <v>10</v>
      </c>
      <c r="E29" s="12" t="s">
        <v>39</v>
      </c>
      <c r="F29" s="12" t="s">
        <v>40</v>
      </c>
      <c r="G29" s="12" t="s">
        <v>41</v>
      </c>
      <c r="H29" s="13" t="s">
        <v>14</v>
      </c>
      <c r="I29" s="12" t="s">
        <v>90</v>
      </c>
    </row>
    <row r="30" ht="15.75" customHeight="1">
      <c r="B30" s="23"/>
      <c r="C30" s="24" t="s">
        <v>55</v>
      </c>
      <c r="D30" s="25"/>
      <c r="E30" s="25"/>
      <c r="F30" s="25"/>
      <c r="G30" s="32" t="s">
        <v>56</v>
      </c>
      <c r="H30" s="34"/>
      <c r="I30" s="34"/>
    </row>
    <row r="31" ht="15.75" customHeight="1">
      <c r="B31" s="20" t="s">
        <v>98</v>
      </c>
      <c r="C31" s="17" t="s">
        <v>99</v>
      </c>
      <c r="D31" s="18"/>
      <c r="E31" s="18"/>
      <c r="F31" s="19"/>
      <c r="G31" s="32" t="s">
        <v>93</v>
      </c>
      <c r="H31" s="34"/>
      <c r="I31" s="32">
        <v>2.0</v>
      </c>
    </row>
    <row r="32" ht="15.75" customHeight="1">
      <c r="B32" s="20" t="s">
        <v>100</v>
      </c>
      <c r="C32" s="33" t="s">
        <v>101</v>
      </c>
      <c r="D32" s="18"/>
      <c r="E32" s="18"/>
      <c r="F32" s="19"/>
      <c r="G32" s="32" t="s">
        <v>93</v>
      </c>
      <c r="H32" s="34"/>
      <c r="I32" s="32">
        <v>3.0</v>
      </c>
    </row>
    <row r="33" ht="15.75" customHeight="1">
      <c r="B33" s="32" t="s">
        <v>102</v>
      </c>
      <c r="C33" s="33" t="s">
        <v>103</v>
      </c>
      <c r="D33" s="18"/>
      <c r="E33" s="18"/>
      <c r="F33" s="19"/>
      <c r="G33" s="32" t="s">
        <v>93</v>
      </c>
      <c r="H33" s="34"/>
      <c r="I33" s="32">
        <v>1.0</v>
      </c>
    </row>
    <row r="34" ht="15.75" customHeight="1">
      <c r="A34" s="37" t="s">
        <v>104</v>
      </c>
      <c r="B34" s="12" t="s">
        <v>42</v>
      </c>
      <c r="C34" s="12" t="s">
        <v>43</v>
      </c>
      <c r="D34" s="13" t="s">
        <v>10</v>
      </c>
      <c r="E34" s="12" t="s">
        <v>44</v>
      </c>
      <c r="F34" s="12" t="s">
        <v>45</v>
      </c>
      <c r="G34" s="12" t="s">
        <v>46</v>
      </c>
      <c r="H34" s="13" t="s">
        <v>14</v>
      </c>
      <c r="I34" s="12" t="s">
        <v>90</v>
      </c>
    </row>
    <row r="35" ht="15.75" customHeight="1">
      <c r="B35" s="23"/>
      <c r="C35" s="24" t="s">
        <v>55</v>
      </c>
      <c r="D35" s="25"/>
      <c r="E35" s="25"/>
      <c r="F35" s="25"/>
      <c r="G35" s="32" t="s">
        <v>105</v>
      </c>
      <c r="H35" s="34"/>
      <c r="I35" s="34"/>
    </row>
    <row r="36" ht="15.75" customHeight="1">
      <c r="B36" s="20" t="s">
        <v>106</v>
      </c>
      <c r="C36" s="17" t="s">
        <v>107</v>
      </c>
      <c r="D36" s="18"/>
      <c r="E36" s="18"/>
      <c r="F36" s="19"/>
      <c r="G36" s="32" t="s">
        <v>108</v>
      </c>
      <c r="H36" s="34"/>
      <c r="I36" s="32">
        <v>3.0</v>
      </c>
    </row>
    <row r="37" ht="15.75" customHeight="1">
      <c r="B37" s="20" t="s">
        <v>109</v>
      </c>
      <c r="C37" s="33" t="s">
        <v>110</v>
      </c>
      <c r="D37" s="18"/>
      <c r="E37" s="18"/>
      <c r="F37" s="19"/>
      <c r="G37" s="32" t="s">
        <v>108</v>
      </c>
      <c r="H37" s="34"/>
      <c r="I37" s="32">
        <v>2.0</v>
      </c>
    </row>
    <row r="38" ht="15.75" customHeight="1">
      <c r="B38" s="32" t="s">
        <v>111</v>
      </c>
      <c r="C38" s="33" t="s">
        <v>112</v>
      </c>
      <c r="D38" s="18"/>
      <c r="E38" s="18"/>
      <c r="F38" s="19"/>
      <c r="G38" s="32" t="s">
        <v>108</v>
      </c>
      <c r="H38" s="34"/>
      <c r="I38" s="32">
        <v>2.0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4">
    <mergeCell ref="C16:F16"/>
    <mergeCell ref="C17:F17"/>
    <mergeCell ref="C18:F18"/>
    <mergeCell ref="C21:F21"/>
    <mergeCell ref="C22:F22"/>
    <mergeCell ref="C23:F23"/>
    <mergeCell ref="A4:A13"/>
    <mergeCell ref="C6:F6"/>
    <mergeCell ref="C7:F7"/>
    <mergeCell ref="C8:F8"/>
    <mergeCell ref="C11:F11"/>
    <mergeCell ref="C13:F13"/>
    <mergeCell ref="A14:A23"/>
    <mergeCell ref="C33:F33"/>
    <mergeCell ref="C36:F36"/>
    <mergeCell ref="C37:F37"/>
    <mergeCell ref="C38:F38"/>
    <mergeCell ref="A24:A33"/>
    <mergeCell ref="C26:F26"/>
    <mergeCell ref="C27:F27"/>
    <mergeCell ref="C28:F28"/>
    <mergeCell ref="C31:F31"/>
    <mergeCell ref="C32:F32"/>
    <mergeCell ref="A34:A3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75"/>
    <col customWidth="1" min="3" max="3" width="12.5"/>
    <col customWidth="1" min="4" max="4" width="11.25"/>
    <col customWidth="1" min="5" max="26" width="12.5"/>
  </cols>
  <sheetData>
    <row r="1" ht="15.75" customHeight="1"/>
    <row r="2" ht="15.75" customHeight="1"/>
    <row r="3" ht="15.75" customHeight="1">
      <c r="B3" s="38"/>
      <c r="C3" s="38" t="s">
        <v>57</v>
      </c>
      <c r="D3" s="38" t="s">
        <v>113</v>
      </c>
      <c r="E3" s="38" t="s">
        <v>114</v>
      </c>
      <c r="F3" s="38" t="s">
        <v>115</v>
      </c>
      <c r="G3" s="38" t="s">
        <v>116</v>
      </c>
      <c r="H3" s="38" t="s">
        <v>117</v>
      </c>
      <c r="I3" s="38" t="s">
        <v>118</v>
      </c>
      <c r="J3" s="38" t="s">
        <v>119</v>
      </c>
      <c r="K3" s="38" t="s">
        <v>120</v>
      </c>
    </row>
    <row r="4" ht="15.75" customHeight="1">
      <c r="B4" s="39" t="s">
        <v>121</v>
      </c>
      <c r="C4" s="40">
        <v>4.0</v>
      </c>
      <c r="D4" s="39">
        <v>0.0</v>
      </c>
      <c r="E4" s="41">
        <v>0.0</v>
      </c>
      <c r="F4" s="41">
        <v>0.0</v>
      </c>
      <c r="G4" s="39">
        <v>0.0</v>
      </c>
      <c r="H4" s="41">
        <v>1.0</v>
      </c>
      <c r="I4" s="41">
        <v>1.0</v>
      </c>
      <c r="J4" s="41">
        <v>4.0</v>
      </c>
      <c r="K4" s="42">
        <v>0.0</v>
      </c>
    </row>
    <row r="5" ht="15.75" customHeight="1">
      <c r="B5" s="39" t="s">
        <v>122</v>
      </c>
      <c r="C5" s="40">
        <v>1.0</v>
      </c>
      <c r="D5" s="39">
        <v>0.0</v>
      </c>
      <c r="E5" s="41">
        <v>0.0</v>
      </c>
      <c r="F5" s="39">
        <v>0.0</v>
      </c>
      <c r="G5" s="39">
        <v>0.0</v>
      </c>
      <c r="H5" s="39">
        <v>0.0</v>
      </c>
      <c r="I5" s="41">
        <v>0.0</v>
      </c>
      <c r="J5" s="39">
        <v>0.0</v>
      </c>
      <c r="K5" s="42">
        <v>0.0</v>
      </c>
    </row>
    <row r="6" ht="15.75" customHeight="1">
      <c r="A6" s="38"/>
      <c r="B6" s="39" t="s">
        <v>123</v>
      </c>
      <c r="C6" s="40">
        <v>2.0</v>
      </c>
      <c r="D6" s="41">
        <v>0.0</v>
      </c>
      <c r="E6" s="39">
        <v>0.0</v>
      </c>
      <c r="F6" s="41">
        <v>0.0</v>
      </c>
      <c r="G6" s="39">
        <v>0.0</v>
      </c>
      <c r="H6" s="39">
        <v>0.0</v>
      </c>
      <c r="I6" s="39">
        <v>0.0</v>
      </c>
      <c r="J6" s="41">
        <v>0.0</v>
      </c>
      <c r="K6" s="42">
        <v>0.0</v>
      </c>
    </row>
    <row r="7" ht="15.75" customHeight="1">
      <c r="A7" s="38"/>
      <c r="B7" s="39" t="s">
        <v>124</v>
      </c>
      <c r="C7" s="43">
        <v>4.0</v>
      </c>
      <c r="D7" s="41">
        <v>0.0</v>
      </c>
      <c r="E7" s="39">
        <v>0.0</v>
      </c>
      <c r="F7" s="41">
        <v>0.0</v>
      </c>
      <c r="G7" s="41">
        <v>0.0</v>
      </c>
      <c r="H7" s="39">
        <v>0.0</v>
      </c>
      <c r="I7" s="41">
        <v>0.0</v>
      </c>
      <c r="J7" s="39">
        <v>0.0</v>
      </c>
      <c r="K7" s="42">
        <v>0.0</v>
      </c>
    </row>
    <row r="8" ht="15.75" customHeight="1"/>
    <row r="9" ht="15.75" customHeight="1">
      <c r="B9" s="44" t="s">
        <v>125</v>
      </c>
      <c r="C9" s="45">
        <f>SUM(C4:C7)</f>
        <v>11</v>
      </c>
      <c r="D9" s="45">
        <f t="shared" ref="D9:J9" si="1">C9-SUM(D4:D7)</f>
        <v>11</v>
      </c>
      <c r="E9" s="46">
        <f t="shared" si="1"/>
        <v>11</v>
      </c>
      <c r="F9" s="45">
        <f t="shared" si="1"/>
        <v>11</v>
      </c>
      <c r="G9" s="45">
        <f t="shared" si="1"/>
        <v>11</v>
      </c>
      <c r="H9" s="45">
        <f t="shared" si="1"/>
        <v>10</v>
      </c>
      <c r="I9" s="45">
        <f t="shared" si="1"/>
        <v>9</v>
      </c>
      <c r="J9" s="45">
        <f t="shared" si="1"/>
        <v>5</v>
      </c>
    </row>
    <row r="10" ht="15.75" customHeight="1">
      <c r="B10" s="44" t="s">
        <v>126</v>
      </c>
      <c r="C10" s="45">
        <f>SUM(C4:C7)</f>
        <v>11</v>
      </c>
      <c r="D10" s="45">
        <f>C10-(SUM(C4:C7)/7)</f>
        <v>9.428571429</v>
      </c>
      <c r="E10" s="46">
        <f>D10-(SUM(C4:C7)/7)</f>
        <v>7.857142857</v>
      </c>
      <c r="F10" s="45">
        <f>E10-(SUM(C4:C7)/7)</f>
        <v>6.285714286</v>
      </c>
      <c r="G10" s="45">
        <f>F10-(SUM(C4:C7)/7)</f>
        <v>4.714285714</v>
      </c>
      <c r="H10" s="45">
        <f>G10-(SUM(C4:C7)/7)</f>
        <v>3.142857143</v>
      </c>
      <c r="I10" s="45">
        <f>H10-(SUM(C4:C7)/7)</f>
        <v>1.571428571</v>
      </c>
      <c r="J10" s="45">
        <f>I10-(SUM(C4:C7)/7)</f>
        <v>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4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9:E29"/>
  </mergeCells>
  <printOptions/>
  <pageMargins bottom="0.75" footer="0.0" header="0.0" left="0.7" right="0.7" top="0.75"/>
  <pageSetup orientation="landscape"/>
  <drawing r:id="rId1"/>
</worksheet>
</file>