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<sst xmlns="http://schemas.openxmlformats.org/spreadsheetml/2006/main" count="225" uniqueCount="127">
  <si>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</si>
  <si>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</si>
  <si>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</si>
  <si>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</si>
  <si>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</si>
  <si>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</si>
  <si>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</si>
  <si>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</si>
  <si>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</si>
  <si>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</si>
  <si>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</si>
  <si>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</si>
  <si>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</si>
  <si>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</si>
  <si>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</si>
  <si>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</si>
  <si>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</si>
  <si>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</si>
  <si>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</si>
  <si>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</si>
  <si>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</si>
  <si>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</si>
  <si>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</si>
  <si>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</si>
  <si>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</si>
  <si>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</si>
  <si>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No iniciado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</si>
  <si>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</si>
  <si>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</si>
  <si>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</si>
  <si>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</si>
  <si>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</si>
  <si>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</si>
  <si>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</si>
  <si>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</si>
  <si>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</si>
  <si>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</si>
  <si>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TAR006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</si>
  <si>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</si>
  <si>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</si>
  <si>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</si>
  <si>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</si>
  <si>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TAR007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</si>
  <si>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</si>
  <si>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</si>
  <si>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</si>
  <si>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</si>
  <si>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</si>
  <si>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</si>
  <si>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</si>
  <si>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</si>
  <si>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</si>
  <si>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</si>
  <si>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</si>
  <si>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</si>
  <si>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</si>
  <si>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</si>
  <si>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</si>
  <si>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</si>
  <si>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</si>
  <si>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</si>
  <si>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</si>
  <si>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</si>
  <si>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</si>
  <si>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</si>
  <si>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</si>
  <si>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</si>
  <si>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</si>
  <si>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</si>
  <si>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</si>
  <si>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</si>
  <si>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</si>
  <si>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</si>
  <si>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</si>
  <si>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</si>
  <si>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En proceso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</si>
  <si>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</si>
  <si>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</si>
  <si>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</si>
  <si>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</si>
  <si>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</si>
  <si>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</si>
  <si>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</si>
  <si>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</si>
  <si>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</si>
  <si>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</si>
  <si>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</si>
  <si>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</si>
  <si>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</si>
  <si>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</si>
  <si>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SPRING 3</t>
  </si>
  <si>
    <t>TAR005-1</t>
  </si>
  <si>
    <t>Diseñar el formulario de captura para datos personales del cliente.</t>
  </si>
  <si>
    <t>Mery Velasquez</t>
  </si>
  <si>
    <t>TAR005-2</t>
  </si>
  <si>
    <t>Establecer validaciones de formato en los campos de entrada (Cédula, Teléfono).</t>
  </si>
  <si>
    <t>TAR005-3</t>
  </si>
  <si>
    <t>Configurar el guardado del perfil del cliente en los registros</t>
  </si>
  <si>
    <t>TAR006-1</t>
  </si>
  <si>
    <t>Crear un campo de consulta para ingresar el número de cédula del cliente.</t>
  </si>
  <si>
    <t>TAR006-2</t>
  </si>
  <si>
    <t>Configurar el proceso de verificación en los registros existentes.</t>
  </si>
  <si>
    <t>TAR006-3</t>
  </si>
  <si>
    <t>Implementar notificaciones visuales para confirmar si el cliente ya está registrado.</t>
  </si>
  <si>
    <t xml:space="preserve">SPRING 4 </t>
  </si>
  <si>
    <t>Asigando</t>
  </si>
  <si>
    <t>TAR007-1</t>
  </si>
  <si>
    <t>Desplegar un calendario de disponibilidad para la selección de fechas.</t>
  </si>
  <si>
    <t>Valeria Sosa</t>
  </si>
  <si>
    <t>TAR007-2</t>
  </si>
  <si>
    <t>Configurar la asociación de la reserva con el cliente y el tipo de evento.</t>
  </si>
  <si>
    <t>TAR007-3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</si>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</sst>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readingOrder="0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7" fillId="0" fontId="8" numFmtId="0" xfId="0" applyBorder="1" applyFont="1"/>
    <xf borderId="8" fillId="5" fontId="6" numFmtId="0" xfId="0" applyAlignment="1" applyBorder="1" applyFill="1" applyFont="1">
      <alignment readingOrder="0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6" fontId="6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0" fillId="0" fontId="6" numFmtId="0" xfId="0" applyAlignment="1" applyFont="1">
      <alignment readingOrder="0"/>
    </xf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1530944873"/>
        <c:axId val="2087641409"/>
      </c:lineChart>
      <c:catAx>
        <c:axId val="1530944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087641409"/>
      </c:catAx>
      <c:valAx>
        <c:axId val="2087641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309448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72.88"/>
    <col customWidth="1" min="5" max="5" width="74.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26</v>
      </c>
    </row>
    <row r="5" ht="15.75" customHeight="1">
      <c r="A5" s="2" t="s">
        <v>27</v>
      </c>
      <c r="B5" s="2" t="s">
        <v>28</v>
      </c>
      <c r="C5" s="2" t="s">
        <v>10</v>
      </c>
      <c r="D5" s="6" t="s">
        <v>29</v>
      </c>
      <c r="E5" s="7" t="s">
        <v>30</v>
      </c>
      <c r="F5" s="7" t="s">
        <v>31</v>
      </c>
      <c r="G5" s="4" t="s">
        <v>14</v>
      </c>
      <c r="H5" s="4" t="s">
        <v>26</v>
      </c>
    </row>
    <row r="6" ht="15.75" customHeight="1">
      <c r="A6" s="2" t="s">
        <v>32</v>
      </c>
      <c r="B6" s="6" t="s">
        <v>33</v>
      </c>
      <c r="C6" s="2" t="s">
        <v>10</v>
      </c>
      <c r="D6" s="6" t="s">
        <v>34</v>
      </c>
      <c r="E6" s="7" t="s">
        <v>35</v>
      </c>
      <c r="F6" s="7" t="s">
        <v>36</v>
      </c>
      <c r="G6" s="7" t="s">
        <v>14</v>
      </c>
      <c r="H6" s="4" t="s">
        <v>26</v>
      </c>
    </row>
    <row r="7" ht="15.75" customHeight="1">
      <c r="A7" s="2" t="s">
        <v>37</v>
      </c>
      <c r="B7" s="6" t="s">
        <v>38</v>
      </c>
      <c r="C7" s="2" t="s">
        <v>10</v>
      </c>
      <c r="D7" s="6" t="s">
        <v>39</v>
      </c>
      <c r="E7" s="7" t="s">
        <v>40</v>
      </c>
      <c r="F7" s="7" t="s">
        <v>41</v>
      </c>
      <c r="G7" s="7" t="s">
        <v>14</v>
      </c>
      <c r="H7" s="4" t="s">
        <v>26</v>
      </c>
    </row>
    <row r="8" ht="15.75" customHeight="1">
      <c r="A8" s="2" t="s">
        <v>42</v>
      </c>
      <c r="B8" s="6" t="s">
        <v>43</v>
      </c>
      <c r="C8" s="6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7" t="s">
        <v>47</v>
      </c>
    </row>
    <row r="9" ht="15.75" customHeight="1">
      <c r="A9" s="2"/>
      <c r="B9" s="8"/>
      <c r="C9" s="8"/>
      <c r="D9" s="8"/>
      <c r="E9" s="9"/>
      <c r="F9" s="9"/>
      <c r="G9" s="9"/>
      <c r="H9" s="9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93.25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0" t="s">
        <v>0</v>
      </c>
      <c r="C3" s="10" t="s">
        <v>1</v>
      </c>
      <c r="D3" s="10" t="s">
        <v>2</v>
      </c>
      <c r="E3" s="10" t="s">
        <v>48</v>
      </c>
      <c r="F3" s="10" t="s">
        <v>49</v>
      </c>
      <c r="G3" s="10" t="s">
        <v>5</v>
      </c>
      <c r="H3" s="10" t="s">
        <v>50</v>
      </c>
      <c r="I3" s="10" t="s">
        <v>51</v>
      </c>
    </row>
    <row r="4" ht="15.75" customHeight="1">
      <c r="A4" s="11" t="s">
        <v>52</v>
      </c>
      <c r="B4" s="12" t="s">
        <v>8</v>
      </c>
      <c r="C4" s="12" t="s">
        <v>9</v>
      </c>
      <c r="D4" s="13" t="s">
        <v>10</v>
      </c>
      <c r="E4" s="12" t="s">
        <v>11</v>
      </c>
      <c r="F4" s="12" t="s">
        <v>12</v>
      </c>
      <c r="G4" s="12" t="s">
        <v>53</v>
      </c>
      <c r="H4" s="13" t="s">
        <v>14</v>
      </c>
      <c r="I4" s="13" t="s">
        <v>54</v>
      </c>
    </row>
    <row r="5" ht="15.75" customHeight="1">
      <c r="A5" s="14"/>
      <c r="B5" s="15"/>
      <c r="C5" s="16" t="s">
        <v>55</v>
      </c>
      <c r="D5" s="15"/>
      <c r="E5" s="15"/>
      <c r="F5" s="15"/>
      <c r="G5" s="16" t="s">
        <v>56</v>
      </c>
      <c r="H5" s="15"/>
      <c r="I5" s="16" t="s">
        <v>57</v>
      </c>
    </row>
    <row r="6" ht="15.75" customHeight="1">
      <c r="A6" s="14"/>
      <c r="B6" s="4" t="s">
        <v>58</v>
      </c>
      <c r="C6" s="17" t="s">
        <v>59</v>
      </c>
      <c r="D6" s="18"/>
      <c r="E6" s="18"/>
      <c r="F6" s="19"/>
      <c r="G6" s="20" t="s">
        <v>60</v>
      </c>
      <c r="H6" s="15"/>
      <c r="I6" s="21">
        <v>4.0</v>
      </c>
    </row>
    <row r="7" ht="15.75" customHeight="1">
      <c r="A7" s="14"/>
      <c r="B7" s="4" t="s">
        <v>61</v>
      </c>
      <c r="C7" s="17" t="s">
        <v>62</v>
      </c>
      <c r="D7" s="18"/>
      <c r="E7" s="18"/>
      <c r="F7" s="19"/>
      <c r="G7" s="20" t="s">
        <v>60</v>
      </c>
      <c r="H7" s="15"/>
      <c r="I7" s="21">
        <v>1.0</v>
      </c>
    </row>
    <row r="8" ht="15.75" customHeight="1">
      <c r="A8" s="14"/>
      <c r="B8" s="4" t="s">
        <v>63</v>
      </c>
      <c r="C8" s="20" t="s">
        <v>64</v>
      </c>
      <c r="D8" s="20"/>
      <c r="E8" s="20"/>
      <c r="F8" s="20"/>
      <c r="G8" s="20" t="s">
        <v>60</v>
      </c>
      <c r="H8" s="15"/>
      <c r="I8" s="22">
        <v>1.0</v>
      </c>
    </row>
    <row r="9" ht="15.75" customHeight="1">
      <c r="A9" s="14"/>
      <c r="B9" s="12" t="s">
        <v>16</v>
      </c>
      <c r="C9" s="12" t="s">
        <v>17</v>
      </c>
      <c r="D9" s="13" t="s">
        <v>10</v>
      </c>
      <c r="E9" s="12" t="s">
        <v>18</v>
      </c>
      <c r="F9" s="12" t="s">
        <v>19</v>
      </c>
      <c r="G9" s="12" t="s">
        <v>65</v>
      </c>
      <c r="H9" s="13" t="s">
        <v>14</v>
      </c>
      <c r="I9" s="13" t="s">
        <v>54</v>
      </c>
    </row>
    <row r="10" ht="15.75" customHeight="1">
      <c r="A10" s="14"/>
      <c r="B10" s="23"/>
      <c r="C10" s="24" t="s">
        <v>55</v>
      </c>
      <c r="D10" s="25"/>
      <c r="E10" s="25"/>
      <c r="F10" s="25"/>
      <c r="G10" s="20" t="s">
        <v>56</v>
      </c>
      <c r="H10" s="10"/>
      <c r="I10" s="21"/>
    </row>
    <row r="11" ht="15.75" customHeight="1">
      <c r="A11" s="14"/>
      <c r="B11" s="20" t="s">
        <v>66</v>
      </c>
      <c r="C11" s="17" t="s">
        <v>67</v>
      </c>
      <c r="D11" s="18"/>
      <c r="E11" s="18"/>
      <c r="F11" s="19"/>
      <c r="G11" s="20" t="s">
        <v>60</v>
      </c>
      <c r="H11" s="26"/>
      <c r="I11" s="4">
        <v>2.0</v>
      </c>
    </row>
    <row r="12" ht="15.75" customHeight="1">
      <c r="A12" s="14"/>
      <c r="B12" s="20" t="s">
        <v>68</v>
      </c>
      <c r="C12" s="20" t="s">
        <v>69</v>
      </c>
      <c r="D12" s="20"/>
      <c r="E12" s="20"/>
      <c r="F12" s="20"/>
      <c r="G12" s="20" t="s">
        <v>60</v>
      </c>
      <c r="H12" s="26"/>
      <c r="I12" s="4">
        <v>2.0</v>
      </c>
    </row>
    <row r="13" ht="15.75" customHeight="1">
      <c r="A13" s="27"/>
      <c r="B13" s="20" t="s">
        <v>70</v>
      </c>
      <c r="C13" s="20" t="s">
        <v>71</v>
      </c>
      <c r="D13" s="20"/>
      <c r="E13" s="20"/>
      <c r="F13" s="20"/>
      <c r="G13" s="20" t="s">
        <v>60</v>
      </c>
      <c r="H13" s="26"/>
      <c r="I13" s="4">
        <v>2.0</v>
      </c>
    </row>
    <row r="14" ht="15.75" customHeight="1">
      <c r="A14" s="28" t="s">
        <v>72</v>
      </c>
      <c r="B14" s="12" t="s">
        <v>21</v>
      </c>
      <c r="C14" s="12" t="s">
        <v>22</v>
      </c>
      <c r="D14" s="13" t="s">
        <v>10</v>
      </c>
      <c r="E14" s="12" t="s">
        <v>73</v>
      </c>
      <c r="F14" s="12" t="s">
        <v>24</v>
      </c>
      <c r="G14" s="12" t="s">
        <v>74</v>
      </c>
      <c r="H14" s="13" t="s">
        <v>14</v>
      </c>
      <c r="I14" s="12" t="s">
        <v>75</v>
      </c>
    </row>
    <row r="15" ht="15.75" customHeight="1">
      <c r="A15" s="29"/>
      <c r="B15" s="23"/>
      <c r="C15" s="24" t="s">
        <v>55</v>
      </c>
      <c r="D15" s="25"/>
      <c r="E15" s="25"/>
      <c r="F15" s="25"/>
      <c r="G15" s="20" t="s">
        <v>56</v>
      </c>
      <c r="H15" s="10"/>
      <c r="I15" s="21"/>
    </row>
    <row r="16" ht="15.75" customHeight="1">
      <c r="A16" s="29"/>
      <c r="B16" s="20" t="s">
        <v>76</v>
      </c>
      <c r="C16" s="17" t="s">
        <v>77</v>
      </c>
      <c r="D16" s="18"/>
      <c r="E16" s="18"/>
      <c r="F16" s="19"/>
      <c r="G16" s="20" t="s">
        <v>78</v>
      </c>
      <c r="H16" s="26"/>
      <c r="I16" s="4">
        <v>2.0</v>
      </c>
    </row>
    <row r="17" ht="15.75" customHeight="1">
      <c r="A17" s="29"/>
      <c r="B17" s="30" t="s">
        <v>79</v>
      </c>
      <c r="C17" s="30" t="s">
        <v>80</v>
      </c>
      <c r="D17" s="31"/>
      <c r="E17" s="31"/>
      <c r="F17" s="31"/>
      <c r="G17" s="30" t="s">
        <v>78</v>
      </c>
      <c r="H17" s="31"/>
      <c r="I17" s="30">
        <v>2.0</v>
      </c>
    </row>
    <row r="18" ht="15.75" customHeight="1">
      <c r="A18" s="29"/>
      <c r="B18" s="30" t="s">
        <v>81</v>
      </c>
      <c r="C18" s="30" t="s">
        <v>82</v>
      </c>
      <c r="D18" s="31"/>
      <c r="E18" s="31"/>
      <c r="F18" s="31"/>
      <c r="G18" s="30" t="s">
        <v>78</v>
      </c>
      <c r="H18" s="31"/>
      <c r="I18" s="30">
        <v>2.0</v>
      </c>
    </row>
    <row r="19" ht="15.75" customHeight="1">
      <c r="A19" s="29"/>
      <c r="B19" s="12" t="s">
        <v>27</v>
      </c>
      <c r="C19" s="12" t="s">
        <v>28</v>
      </c>
      <c r="D19" s="13" t="s">
        <v>10</v>
      </c>
      <c r="E19" s="12" t="s">
        <v>29</v>
      </c>
      <c r="F19" s="12" t="s">
        <v>30</v>
      </c>
      <c r="G19" s="12" t="s">
        <v>83</v>
      </c>
      <c r="H19" s="13" t="s">
        <v>14</v>
      </c>
      <c r="I19" s="12" t="s">
        <v>75</v>
      </c>
    </row>
    <row r="20" ht="15.75" customHeight="1">
      <c r="A20" s="29"/>
      <c r="B20" s="23"/>
      <c r="C20" s="24" t="s">
        <v>55</v>
      </c>
      <c r="D20" s="25"/>
      <c r="E20" s="25"/>
      <c r="F20" s="25"/>
      <c r="G20" s="20" t="s">
        <v>56</v>
      </c>
      <c r="H20" s="31"/>
      <c r="I20" s="31"/>
    </row>
    <row r="21" ht="15.75" customHeight="1">
      <c r="A21" s="29"/>
      <c r="B21" s="20" t="s">
        <v>84</v>
      </c>
      <c r="C21" s="17" t="s">
        <v>85</v>
      </c>
      <c r="D21" s="18"/>
      <c r="E21" s="18"/>
      <c r="F21" s="19"/>
      <c r="G21" s="20" t="s">
        <v>78</v>
      </c>
      <c r="H21" s="31"/>
      <c r="I21" s="30">
        <v>2.0</v>
      </c>
    </row>
    <row r="22" ht="15.75" customHeight="1">
      <c r="A22" s="29"/>
      <c r="B22" s="20" t="s">
        <v>86</v>
      </c>
      <c r="C22" s="30" t="s">
        <v>87</v>
      </c>
      <c r="D22" s="31"/>
      <c r="E22" s="31"/>
      <c r="F22" s="31"/>
      <c r="G22" s="30" t="s">
        <v>78</v>
      </c>
      <c r="H22" s="31"/>
      <c r="I22" s="30">
        <v>2.0</v>
      </c>
    </row>
    <row r="23" ht="15.75" customHeight="1">
      <c r="A23" s="32"/>
      <c r="B23" s="30" t="s">
        <v>88</v>
      </c>
      <c r="C23" s="30" t="s">
        <v>89</v>
      </c>
      <c r="D23" s="31"/>
      <c r="E23" s="31"/>
      <c r="F23" s="31"/>
      <c r="G23" s="30" t="s">
        <v>78</v>
      </c>
      <c r="H23" s="31"/>
      <c r="I23" s="30">
        <v>1.0</v>
      </c>
    </row>
    <row r="24" ht="15.75" customHeight="1">
      <c r="A24" s="33" t="s">
        <v>90</v>
      </c>
      <c r="B24" s="12" t="s">
        <v>32</v>
      </c>
      <c r="C24" s="12" t="s">
        <v>33</v>
      </c>
      <c r="D24" s="13" t="s">
        <v>10</v>
      </c>
      <c r="E24" s="12" t="s">
        <v>34</v>
      </c>
      <c r="F24" s="12" t="s">
        <v>35</v>
      </c>
      <c r="G24" s="12" t="s">
        <v>36</v>
      </c>
      <c r="H24" s="13" t="s">
        <v>14</v>
      </c>
      <c r="I24" s="12" t="s">
        <v>75</v>
      </c>
    </row>
    <row r="25" ht="15.75" customHeight="1">
      <c r="B25" s="23"/>
      <c r="C25" s="24" t="s">
        <v>55</v>
      </c>
      <c r="D25" s="25"/>
      <c r="E25" s="25"/>
      <c r="F25" s="25"/>
      <c r="G25" s="30" t="s">
        <v>56</v>
      </c>
      <c r="H25" s="31"/>
      <c r="I25" s="31"/>
    </row>
    <row r="26" ht="15.75" customHeight="1">
      <c r="B26" s="20" t="s">
        <v>91</v>
      </c>
      <c r="C26" s="17" t="s">
        <v>92</v>
      </c>
      <c r="D26" s="18"/>
      <c r="E26" s="18"/>
      <c r="F26" s="19"/>
      <c r="G26" s="30" t="s">
        <v>93</v>
      </c>
      <c r="H26" s="31"/>
      <c r="I26" s="30">
        <v>2.0</v>
      </c>
    </row>
    <row r="27" ht="15.75" customHeight="1">
      <c r="B27" s="20" t="s">
        <v>94</v>
      </c>
      <c r="C27" s="30" t="s">
        <v>95</v>
      </c>
      <c r="D27" s="31"/>
      <c r="E27" s="31"/>
      <c r="F27" s="31"/>
      <c r="G27" s="30" t="s">
        <v>93</v>
      </c>
      <c r="H27" s="31"/>
      <c r="I27" s="30">
        <v>1.0</v>
      </c>
    </row>
    <row r="28" ht="15.75" customHeight="1">
      <c r="B28" s="30" t="s">
        <v>96</v>
      </c>
      <c r="C28" s="30" t="s">
        <v>97</v>
      </c>
      <c r="D28" s="31"/>
      <c r="E28" s="31"/>
      <c r="F28" s="31"/>
      <c r="G28" s="30" t="s">
        <v>93</v>
      </c>
      <c r="H28" s="31"/>
      <c r="I28" s="30">
        <v>2.0</v>
      </c>
    </row>
    <row r="29" ht="15.75" customHeight="1">
      <c r="B29" s="12" t="s">
        <v>37</v>
      </c>
      <c r="C29" s="12" t="s">
        <v>38</v>
      </c>
      <c r="D29" s="13" t="s">
        <v>10</v>
      </c>
      <c r="E29" s="12" t="s">
        <v>39</v>
      </c>
      <c r="F29" s="12" t="s">
        <v>40</v>
      </c>
      <c r="G29" s="12" t="s">
        <v>41</v>
      </c>
      <c r="H29" s="13" t="s">
        <v>14</v>
      </c>
      <c r="I29" s="12" t="s">
        <v>75</v>
      </c>
    </row>
    <row r="30" ht="15.75" customHeight="1">
      <c r="B30" s="23"/>
      <c r="C30" s="24" t="s">
        <v>55</v>
      </c>
      <c r="D30" s="25"/>
      <c r="E30" s="25"/>
      <c r="F30" s="25"/>
      <c r="G30" s="30" t="s">
        <v>56</v>
      </c>
      <c r="H30" s="31"/>
      <c r="I30" s="31"/>
    </row>
    <row r="31" ht="15.75" customHeight="1">
      <c r="B31" s="20" t="s">
        <v>98</v>
      </c>
      <c r="C31" s="17" t="s">
        <v>99</v>
      </c>
      <c r="D31" s="18"/>
      <c r="E31" s="18"/>
      <c r="F31" s="19"/>
      <c r="G31" s="30" t="s">
        <v>93</v>
      </c>
      <c r="H31" s="31"/>
      <c r="I31" s="30">
        <v>2.0</v>
      </c>
    </row>
    <row r="32" ht="15.75" customHeight="1">
      <c r="B32" s="20" t="s">
        <v>100</v>
      </c>
      <c r="C32" s="30" t="s">
        <v>101</v>
      </c>
      <c r="D32" s="31"/>
      <c r="E32" s="31"/>
      <c r="F32" s="31"/>
      <c r="G32" s="30" t="s">
        <v>93</v>
      </c>
      <c r="H32" s="31"/>
      <c r="I32" s="30">
        <v>3.0</v>
      </c>
    </row>
    <row r="33" ht="15.75" customHeight="1">
      <c r="B33" s="30" t="s">
        <v>102</v>
      </c>
      <c r="C33" s="30" t="s">
        <v>103</v>
      </c>
      <c r="D33" s="31"/>
      <c r="E33" s="31"/>
      <c r="F33" s="31"/>
      <c r="G33" s="30" t="s">
        <v>93</v>
      </c>
      <c r="H33" s="31"/>
      <c r="I33" s="30">
        <v>1.0</v>
      </c>
    </row>
    <row r="34" ht="15.75" customHeight="1">
      <c r="A34" s="34" t="s">
        <v>104</v>
      </c>
      <c r="B34" s="12" t="s">
        <v>42</v>
      </c>
      <c r="C34" s="12" t="s">
        <v>43</v>
      </c>
      <c r="D34" s="13" t="s">
        <v>10</v>
      </c>
      <c r="E34" s="12" t="s">
        <v>44</v>
      </c>
      <c r="F34" s="12" t="s">
        <v>45</v>
      </c>
      <c r="G34" s="12" t="s">
        <v>46</v>
      </c>
      <c r="H34" s="13" t="s">
        <v>14</v>
      </c>
      <c r="I34" s="12" t="s">
        <v>75</v>
      </c>
    </row>
    <row r="35" ht="15.75" customHeight="1">
      <c r="B35" s="23"/>
      <c r="C35" s="24" t="s">
        <v>55</v>
      </c>
      <c r="D35" s="25"/>
      <c r="E35" s="25"/>
      <c r="F35" s="25"/>
      <c r="G35" s="30" t="s">
        <v>105</v>
      </c>
      <c r="H35" s="31"/>
      <c r="I35" s="31"/>
    </row>
    <row r="36" ht="15.75" customHeight="1">
      <c r="B36" s="20" t="s">
        <v>106</v>
      </c>
      <c r="C36" s="17" t="s">
        <v>107</v>
      </c>
      <c r="D36" s="18"/>
      <c r="E36" s="18"/>
      <c r="F36" s="19"/>
      <c r="G36" s="30" t="s">
        <v>108</v>
      </c>
      <c r="H36" s="31"/>
      <c r="I36" s="30">
        <v>3.0</v>
      </c>
    </row>
    <row r="37" ht="15.75" customHeight="1">
      <c r="B37" s="20" t="s">
        <v>109</v>
      </c>
      <c r="C37" s="30" t="s">
        <v>110</v>
      </c>
      <c r="D37" s="31"/>
      <c r="E37" s="31"/>
      <c r="F37" s="31"/>
      <c r="G37" s="30" t="s">
        <v>108</v>
      </c>
      <c r="H37" s="31"/>
      <c r="I37" s="30">
        <v>2.0</v>
      </c>
    </row>
    <row r="38" ht="15.75" customHeight="1">
      <c r="B38" s="30" t="s">
        <v>111</v>
      </c>
      <c r="C38" s="30" t="s">
        <v>112</v>
      </c>
      <c r="D38" s="31"/>
      <c r="E38" s="31"/>
      <c r="F38" s="31"/>
      <c r="G38" s="30" t="s">
        <v>108</v>
      </c>
      <c r="H38" s="31"/>
      <c r="I38" s="30">
        <v>2.0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C11:F11"/>
    <mergeCell ref="A4:A13"/>
    <mergeCell ref="A14:A23"/>
    <mergeCell ref="A24:A33"/>
    <mergeCell ref="A34:A38"/>
    <mergeCell ref="C6:F6"/>
    <mergeCell ref="C7:F7"/>
    <mergeCell ref="C16:F16"/>
    <mergeCell ref="C21:F21"/>
    <mergeCell ref="C26:F26"/>
    <mergeCell ref="C31:F31"/>
    <mergeCell ref="C36:F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35"/>
      <c r="C3" s="35" t="s">
        <v>57</v>
      </c>
      <c r="D3" s="35" t="s">
        <v>113</v>
      </c>
      <c r="E3" s="35" t="s">
        <v>114</v>
      </c>
      <c r="F3" s="35" t="s">
        <v>115</v>
      </c>
      <c r="G3" s="35" t="s">
        <v>116</v>
      </c>
      <c r="H3" s="35" t="s">
        <v>117</v>
      </c>
      <c r="I3" s="35" t="s">
        <v>118</v>
      </c>
      <c r="J3" s="35" t="s">
        <v>119</v>
      </c>
      <c r="K3" s="35" t="s">
        <v>120</v>
      </c>
    </row>
    <row r="4" ht="15.75" customHeight="1">
      <c r="B4" s="36" t="s">
        <v>121</v>
      </c>
      <c r="C4" s="37">
        <v>4.0</v>
      </c>
      <c r="D4" s="36">
        <v>0.0</v>
      </c>
      <c r="E4" s="38">
        <v>0.0</v>
      </c>
      <c r="F4" s="38">
        <v>0.0</v>
      </c>
      <c r="G4" s="36">
        <v>0.0</v>
      </c>
      <c r="H4" s="38">
        <v>1.0</v>
      </c>
      <c r="I4" s="38">
        <v>1.0</v>
      </c>
      <c r="J4" s="38">
        <v>4.0</v>
      </c>
      <c r="K4" s="39">
        <v>0.0</v>
      </c>
    </row>
    <row r="5" ht="15.75" customHeight="1">
      <c r="B5" s="36" t="s">
        <v>122</v>
      </c>
      <c r="C5" s="37">
        <v>1.0</v>
      </c>
      <c r="D5" s="36">
        <v>0.0</v>
      </c>
      <c r="E5" s="38">
        <v>0.0</v>
      </c>
      <c r="F5" s="36">
        <v>0.0</v>
      </c>
      <c r="G5" s="36">
        <v>0.0</v>
      </c>
      <c r="H5" s="36">
        <v>0.0</v>
      </c>
      <c r="I5" s="38">
        <v>0.0</v>
      </c>
      <c r="J5" s="36">
        <v>0.0</v>
      </c>
      <c r="K5" s="39">
        <v>0.0</v>
      </c>
    </row>
    <row r="6" ht="15.75" customHeight="1">
      <c r="A6" s="35"/>
      <c r="B6" s="36" t="s">
        <v>123</v>
      </c>
      <c r="C6" s="37">
        <v>2.0</v>
      </c>
      <c r="D6" s="38">
        <v>0.0</v>
      </c>
      <c r="E6" s="36">
        <v>0.0</v>
      </c>
      <c r="F6" s="38">
        <v>0.0</v>
      </c>
      <c r="G6" s="36">
        <v>0.0</v>
      </c>
      <c r="H6" s="36">
        <v>0.0</v>
      </c>
      <c r="I6" s="36">
        <v>0.0</v>
      </c>
      <c r="J6" s="38">
        <v>0.0</v>
      </c>
      <c r="K6" s="39">
        <v>0.0</v>
      </c>
    </row>
    <row r="7" ht="15.75" customHeight="1">
      <c r="A7" s="35"/>
      <c r="B7" s="36" t="s">
        <v>124</v>
      </c>
      <c r="C7" s="40">
        <v>4.0</v>
      </c>
      <c r="D7" s="38">
        <v>0.0</v>
      </c>
      <c r="E7" s="36">
        <v>0.0</v>
      </c>
      <c r="F7" s="38">
        <v>0.0</v>
      </c>
      <c r="G7" s="38">
        <v>0.0</v>
      </c>
      <c r="H7" s="36">
        <v>0.0</v>
      </c>
      <c r="I7" s="38">
        <v>0.0</v>
      </c>
      <c r="J7" s="36">
        <v>0.0</v>
      </c>
      <c r="K7" s="39">
        <v>0.0</v>
      </c>
    </row>
    <row r="8" ht="15.75" customHeight="1"/>
    <row r="9" ht="15.75" customHeight="1">
      <c r="B9" s="41" t="s">
        <v>125</v>
      </c>
      <c r="C9" s="42">
        <f>SUM(C4:C7)</f>
        <v>11</v>
      </c>
      <c r="D9" s="42">
        <f t="shared" ref="D9:J9" si="1">C9-SUM(D4:D7)</f>
        <v>11</v>
      </c>
      <c r="E9" s="43">
        <f t="shared" si="1"/>
        <v>11</v>
      </c>
      <c r="F9" s="42">
        <f t="shared" si="1"/>
        <v>11</v>
      </c>
      <c r="G9" s="42">
        <f t="shared" si="1"/>
        <v>11</v>
      </c>
      <c r="H9" s="42">
        <f t="shared" si="1"/>
        <v>10</v>
      </c>
      <c r="I9" s="42">
        <f t="shared" si="1"/>
        <v>9</v>
      </c>
      <c r="J9" s="42">
        <f t="shared" si="1"/>
        <v>5</v>
      </c>
    </row>
    <row r="10" ht="15.75" customHeight="1">
      <c r="B10" s="41" t="s">
        <v>126</v>
      </c>
      <c r="C10" s="42">
        <f>SUM(C4:C7)</f>
        <v>11</v>
      </c>
      <c r="D10" s="42">
        <f>C10-(SUM(C4:C7)/7)</f>
        <v>9.428571429</v>
      </c>
      <c r="E10" s="43">
        <f>D10-(SUM(C4:C7)/7)</f>
        <v>7.857142857</v>
      </c>
      <c r="F10" s="42">
        <f>E10-(SUM(C4:C7)/7)</f>
        <v>6.285714286</v>
      </c>
      <c r="G10" s="42">
        <f>F10-(SUM(C4:C7)/7)</f>
        <v>4.714285714</v>
      </c>
      <c r="H10" s="42">
        <f>G10-(SUM(C4:C7)/7)</f>
        <v>3.142857143</v>
      </c>
      <c r="I10" s="42">
        <f>H10-(SUM(C4:C7)/7)</f>
        <v>1.571428571</v>
      </c>
      <c r="J10" s="42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