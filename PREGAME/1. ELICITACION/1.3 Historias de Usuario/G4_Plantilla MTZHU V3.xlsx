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<sst xmlns="http://schemas.openxmlformats.org/spreadsheetml/2006/main" count="129" uniqueCount="96">
  <si>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</si>
  <si>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</si>
  <si>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</si>
  <si>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</si>
  <si>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</si>
  <si>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</si>
  <si>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</si>
  <si>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</si>
  <si>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</si>
  <si>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</si>
  <si>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</si>
  <si>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</si>
  <si>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</si>
  <si>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</si>
  <si>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</si>
  <si>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</si>
  <si>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</si>
  <si>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</si>
  <si>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</si>
  <si>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</si>
  <si>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</si>
  <si>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</si>
  <si>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</si>
  <si>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</si>
  <si>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</si>
  <si>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</si>
  <si>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</si>
  <si>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</si>
  <si>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</si>
  <si>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</si>
  <si>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</si>
  <si>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</si>
  <si>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</si>
  <si>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En proceso</t>
  </si>
  <si>
    <t>El usuario deberá ingresar previamente, únicamente el ingreso de administrador tendrá acceso a todos los datos necesarios de gestión, si no ingresa el administrador no se visualizará esa ventana.</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</si>
  <si>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</si>
  <si>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</si>
  <si>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</si>
  <si>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</si>
  <si>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</si>
  <si>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</si>
  <si>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Sosa Valeria
Velasquez Mery 
Verdezoto Miguel
</t>
  </si>
  <si>
    <t>No iniciado</t>
  </si>
  <si>
    <t xml:space="preserve">Las credenciales de un empleado son únicas, para poder ingresar al sistema. </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</si>
  <si>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</si>
  <si>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</si>
  <si>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</si>
  <si>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</si>
  <si>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</si>
  <si>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</si>
  <si>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t>
  </si>
  <si>
    <t>El sistema será capaz de eliminar las credenciales de un empleado pero no se perderá información de las reservas,</t>
  </si>
  <si>
    <t>Eliminar credenciales de un colaborador</t>
  </si>
  <si>
    <t>TAR005</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</si>
  <si>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</si>
  <si>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</si>
  <si>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</si>
  <si>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</si>
  <si>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</si>
  <si>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</si>
  <si>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</si>
  <si>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TAR006</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</si>
  <si>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</si>
  <si>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</si>
  <si>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</si>
  <si>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</si>
  <si>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</si>
  <si>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</si>
  <si>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TAR007</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</si>
  <si>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</si>
  <si>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</si>
  <si>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</si>
  <si>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</si>
  <si>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</si>
  <si>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</si>
  <si>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</si>
  <si>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TAR008</t>
  </si>
  <si>
    <t xml:space="preserve"> </t>
  </si>
  <si>
    <t>TAR009</t>
  </si>
  <si>
    <t>TAR010</t>
  </si>
  <si>
    <t>TAR011</t>
  </si>
  <si>
    <t>TAR012</t>
  </si>
  <si>
    <t>TAR013</t>
  </si>
  <si>
    <t>TAR014</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</si>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</sst>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164" xfId="0" applyAlignment="1" applyBorder="1" applyFont="1" applyNumberForma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0" fillId="0" fontId="2" numFmtId="0" xfId="0" applyFont="1"/>
    <xf borderId="5" fillId="0" fontId="7" numFmtId="165" xfId="0" applyAlignment="1" applyBorder="1" applyFont="1" applyNumberFormat="1">
      <alignment horizontal="center" shrinkToFit="0" vertical="center" wrapText="1"/>
    </xf>
    <xf borderId="5" fillId="0" fontId="1"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top" wrapText="1"/>
    </xf>
    <xf borderId="5" fillId="0" fontId="7" numFmtId="0" xfId="0" applyAlignment="1" applyBorder="1" applyFont="1">
      <alignment shrinkToFit="0" vertical="center" wrapText="1"/>
    </xf>
    <xf borderId="5" fillId="0" fontId="7" numFmtId="0" xfId="0" applyAlignment="1" applyBorder="1" applyFont="1">
      <alignment vertical="center"/>
    </xf>
    <xf borderId="5" fillId="0" fontId="10" numFmtId="0" xfId="0" applyBorder="1" applyFont="1"/>
    <xf borderId="5" fillId="0" fontId="2" numFmtId="0" xfId="0" applyAlignment="1" applyBorder="1" applyFont="1">
      <alignment horizontal="center" vertical="center"/>
    </xf>
    <xf borderId="5" fillId="0" fontId="2" numFmtId="0" xfId="0" applyAlignment="1" applyBorder="1" applyFont="1">
      <alignment horizontal="center"/>
    </xf>
    <xf borderId="5" fillId="0" fontId="1" numFmtId="0" xfId="0" applyAlignment="1" applyBorder="1" applyFont="1">
      <alignment horizontal="center" vertical="center"/>
    </xf>
    <xf borderId="5" fillId="0" fontId="1" numFmtId="0" xfId="0" applyAlignment="1" applyBorder="1" applyFont="1">
      <alignment horizontal="center"/>
    </xf>
    <xf borderId="5" fillId="0" fontId="11" numFmtId="0" xfId="0" applyAlignment="1" applyBorder="1" applyFont="1">
      <alignment horizontal="center"/>
    </xf>
    <xf borderId="5" fillId="0" fontId="1" numFmtId="0" xfId="0" applyBorder="1" applyFont="1"/>
    <xf borderId="0" fillId="0" fontId="12" numFmtId="0" xfId="0" applyAlignment="1" applyFont="1">
      <alignment horizontal="left" shrinkToFit="0" vertical="center" wrapText="1"/>
    </xf>
    <xf borderId="1" fillId="3" fontId="13"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6" fillId="3" fontId="2" numFmtId="0" xfId="0" applyBorder="1" applyFont="1"/>
    <xf borderId="7" fillId="3" fontId="12" numFmtId="0" xfId="0" applyAlignment="1" applyBorder="1" applyFont="1">
      <alignment horizontal="left" shrinkToFit="0" vertical="center" wrapText="1"/>
    </xf>
    <xf borderId="7" fillId="3" fontId="1" numFmtId="0" xfId="0" applyBorder="1" applyFont="1"/>
    <xf borderId="7" fillId="3" fontId="2" numFmtId="0" xfId="0" applyBorder="1" applyFont="1"/>
    <xf borderId="8" fillId="3" fontId="2" numFmtId="0" xfId="0" applyBorder="1" applyFont="1"/>
    <xf borderId="9" fillId="3" fontId="2" numFmtId="0" xfId="0" applyBorder="1" applyFont="1"/>
    <xf borderId="5" fillId="4" fontId="14" numFmtId="0" xfId="0" applyAlignment="1" applyBorder="1" applyFill="1" applyFont="1">
      <alignment horizontal="center" vertical="center"/>
    </xf>
    <xf borderId="10" fillId="3" fontId="15" numFmtId="0" xfId="0" applyAlignment="1" applyBorder="1" applyFont="1">
      <alignment vertical="center"/>
    </xf>
    <xf borderId="1" fillId="4" fontId="14" numFmtId="0" xfId="0" applyAlignment="1" applyBorder="1" applyFont="1">
      <alignment horizontal="center" vertical="center"/>
    </xf>
    <xf borderId="10" fillId="3" fontId="2" numFmtId="0" xfId="0" applyBorder="1" applyFont="1"/>
    <xf borderId="11" fillId="3" fontId="2" numFmtId="0" xfId="0" applyBorder="1" applyFont="1"/>
    <xf borderId="5" fillId="5" fontId="16" numFmtId="0" xfId="0" applyAlignment="1" applyBorder="1" applyFill="1" applyFont="1">
      <alignment horizontal="center" readingOrder="0" vertical="center"/>
    </xf>
    <xf borderId="10"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0" fillId="3" fontId="1" numFmtId="0" xfId="0" applyAlignment="1" applyBorder="1" applyFont="1">
      <alignment vertical="center"/>
    </xf>
    <xf borderId="1" fillId="5" fontId="1" numFmtId="0" xfId="0" applyAlignment="1" applyBorder="1" applyFont="1">
      <alignment horizontal="center" vertical="center"/>
    </xf>
    <xf borderId="10" fillId="3" fontId="16" numFmtId="0" xfId="0" applyAlignment="1" applyBorder="1" applyFont="1">
      <alignment horizontal="center" vertical="center"/>
    </xf>
    <xf borderId="10" fillId="3" fontId="1" numFmtId="0" xfId="0" applyAlignment="1" applyBorder="1" applyFont="1">
      <alignment horizontal="center" vertical="center"/>
    </xf>
    <xf borderId="5" fillId="5" fontId="16" numFmtId="0" xfId="0" applyAlignment="1" applyBorder="1" applyFont="1">
      <alignment horizontal="center" vertical="center"/>
    </xf>
    <xf borderId="12" fillId="6" fontId="14" numFmtId="0" xfId="0" applyAlignment="1" applyBorder="1" applyFill="1" applyFont="1">
      <alignment horizontal="center" vertical="center"/>
    </xf>
    <xf borderId="13" fillId="5" fontId="1" numFmtId="0" xfId="0" applyAlignment="1" applyBorder="1" applyFont="1">
      <alignment horizontal="center" shrinkToFit="0" vertical="center" wrapText="1"/>
    </xf>
    <xf borderId="14" fillId="0" fontId="4" numFmtId="0" xfId="0" applyBorder="1" applyFont="1"/>
    <xf borderId="15" fillId="0" fontId="4" numFmtId="0" xfId="0" applyBorder="1" applyFont="1"/>
    <xf borderId="13" fillId="5" fontId="17" numFmtId="0" xfId="0" applyAlignment="1" applyBorder="1" applyFon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3"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3" fillId="4" fontId="14"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4" width="20.63"/>
    <col customWidth="1" min="5" max="5" width="24.25"/>
    <col customWidth="1" min="6" max="6" width="15.0"/>
    <col customWidth="1" min="7" max="7" width="28.5"/>
    <col customWidth="1" min="8" max="8" width="16.13"/>
    <col customWidth="1" min="9" max="9" width="14.13"/>
    <col customWidth="1" min="10" max="12" width="10.63"/>
    <col customWidth="1" min="13" max="13" width="31.25"/>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79.5" customHeight="1">
      <c r="B6" s="10" t="s">
        <v>15</v>
      </c>
      <c r="C6" s="11" t="s">
        <v>16</v>
      </c>
      <c r="D6" s="11" t="s">
        <v>17</v>
      </c>
      <c r="E6" s="11" t="s">
        <v>18</v>
      </c>
      <c r="F6" s="11" t="s">
        <v>19</v>
      </c>
      <c r="G6" s="11" t="s">
        <v>20</v>
      </c>
      <c r="H6" s="11" t="s">
        <v>21</v>
      </c>
      <c r="I6" s="11">
        <v>3.0</v>
      </c>
      <c r="J6" s="12">
        <v>46168.0</v>
      </c>
      <c r="K6" s="13" t="s">
        <v>22</v>
      </c>
      <c r="L6" s="11" t="s">
        <v>23</v>
      </c>
      <c r="M6" s="14" t="s">
        <v>24</v>
      </c>
      <c r="N6" s="11" t="s">
        <v>25</v>
      </c>
      <c r="O6" s="11" t="s">
        <v>26</v>
      </c>
    </row>
    <row r="7" ht="89.25" customHeight="1">
      <c r="B7" s="10" t="s">
        <v>27</v>
      </c>
      <c r="C7" s="11" t="s">
        <v>28</v>
      </c>
      <c r="D7" s="11" t="s">
        <v>29</v>
      </c>
      <c r="E7" s="11" t="s">
        <v>30</v>
      </c>
      <c r="F7" s="11" t="s">
        <v>31</v>
      </c>
      <c r="G7" s="11" t="s">
        <v>32</v>
      </c>
      <c r="H7" s="11" t="s">
        <v>21</v>
      </c>
      <c r="I7" s="10">
        <v>1.0</v>
      </c>
      <c r="J7" s="12">
        <v>46168.0</v>
      </c>
      <c r="K7" s="11" t="s">
        <v>22</v>
      </c>
      <c r="L7" s="11" t="s">
        <v>33</v>
      </c>
      <c r="M7" s="11" t="s">
        <v>34</v>
      </c>
      <c r="N7" s="11" t="s">
        <v>35</v>
      </c>
      <c r="O7" s="11" t="s">
        <v>28</v>
      </c>
    </row>
    <row r="8" ht="77.25" customHeight="1">
      <c r="B8" s="10" t="s">
        <v>36</v>
      </c>
      <c r="C8" s="11" t="s">
        <v>37</v>
      </c>
      <c r="D8" s="11" t="s">
        <v>38</v>
      </c>
      <c r="E8" s="11" t="s">
        <v>39</v>
      </c>
      <c r="F8" s="11" t="s">
        <v>31</v>
      </c>
      <c r="G8" s="11" t="s">
        <v>40</v>
      </c>
      <c r="H8" s="11" t="s">
        <v>41</v>
      </c>
      <c r="I8" s="11">
        <v>1.0</v>
      </c>
      <c r="J8" s="11"/>
      <c r="K8" s="11" t="s">
        <v>22</v>
      </c>
      <c r="L8" s="11" t="s">
        <v>42</v>
      </c>
      <c r="M8" s="11" t="s">
        <v>43</v>
      </c>
      <c r="N8" s="11" t="s">
        <v>44</v>
      </c>
      <c r="O8" s="11" t="s">
        <v>45</v>
      </c>
      <c r="P8" s="15"/>
    </row>
    <row r="9" ht="77.25" customHeight="1">
      <c r="B9" s="10" t="s">
        <v>46</v>
      </c>
      <c r="C9" s="11" t="s">
        <v>37</v>
      </c>
      <c r="D9" s="11" t="s">
        <v>47</v>
      </c>
      <c r="E9" s="11" t="s">
        <v>48</v>
      </c>
      <c r="F9" s="11" t="s">
        <v>31</v>
      </c>
      <c r="G9" s="11" t="s">
        <v>49</v>
      </c>
      <c r="H9" s="11" t="s">
        <v>41</v>
      </c>
      <c r="I9" s="11">
        <v>1.0</v>
      </c>
      <c r="J9" s="11"/>
      <c r="K9" s="11" t="s">
        <v>22</v>
      </c>
      <c r="L9" s="11" t="s">
        <v>42</v>
      </c>
      <c r="M9" s="11" t="s">
        <v>50</v>
      </c>
      <c r="N9" s="11" t="s">
        <v>51</v>
      </c>
      <c r="O9" s="11" t="s">
        <v>52</v>
      </c>
      <c r="P9" s="15"/>
    </row>
    <row r="10" ht="75.0" customHeight="1">
      <c r="B10" s="10" t="s">
        <v>53</v>
      </c>
      <c r="C10" s="11" t="s">
        <v>54</v>
      </c>
      <c r="D10" s="11" t="s">
        <v>55</v>
      </c>
      <c r="E10" s="11" t="s">
        <v>56</v>
      </c>
      <c r="F10" s="11" t="s">
        <v>31</v>
      </c>
      <c r="G10" s="11" t="s">
        <v>57</v>
      </c>
      <c r="H10" s="11" t="s">
        <v>41</v>
      </c>
      <c r="I10" s="11">
        <v>1.0</v>
      </c>
      <c r="J10" s="16"/>
      <c r="K10" s="11" t="s">
        <v>22</v>
      </c>
      <c r="L10" s="11" t="s">
        <v>42</v>
      </c>
      <c r="M10" s="14" t="s">
        <v>58</v>
      </c>
      <c r="N10" s="11" t="s">
        <v>59</v>
      </c>
      <c r="O10" s="11" t="s">
        <v>60</v>
      </c>
      <c r="P10" s="15"/>
    </row>
    <row r="11" ht="73.5" customHeight="1">
      <c r="B11" s="10" t="s">
        <v>61</v>
      </c>
      <c r="C11" s="11" t="s">
        <v>54</v>
      </c>
      <c r="D11" s="11" t="s">
        <v>62</v>
      </c>
      <c r="E11" s="11" t="s">
        <v>63</v>
      </c>
      <c r="F11" s="11" t="s">
        <v>31</v>
      </c>
      <c r="G11" s="11" t="s">
        <v>64</v>
      </c>
      <c r="H11" s="11" t="s">
        <v>41</v>
      </c>
      <c r="I11" s="10">
        <v>1.0</v>
      </c>
      <c r="J11" s="16"/>
      <c r="K11" s="11" t="s">
        <v>22</v>
      </c>
      <c r="L11" s="11" t="s">
        <v>42</v>
      </c>
      <c r="M11" s="14" t="s">
        <v>65</v>
      </c>
      <c r="N11" s="11" t="s">
        <v>66</v>
      </c>
      <c r="O11" s="11" t="s">
        <v>67</v>
      </c>
    </row>
    <row r="12" ht="107.25" customHeight="1">
      <c r="B12" s="10" t="s">
        <v>68</v>
      </c>
      <c r="C12" s="11" t="s">
        <v>69</v>
      </c>
      <c r="D12" s="11" t="s">
        <v>70</v>
      </c>
      <c r="E12" s="11" t="s">
        <v>71</v>
      </c>
      <c r="F12" s="11" t="s">
        <v>31</v>
      </c>
      <c r="G12" s="11" t="s">
        <v>72</v>
      </c>
      <c r="H12" s="11" t="s">
        <v>41</v>
      </c>
      <c r="J12" s="16"/>
      <c r="K12" s="11" t="s">
        <v>22</v>
      </c>
      <c r="L12" s="11" t="s">
        <v>42</v>
      </c>
      <c r="M12" s="14" t="s">
        <v>73</v>
      </c>
      <c r="N12" s="11" t="s">
        <v>74</v>
      </c>
      <c r="O12" s="11" t="s">
        <v>75</v>
      </c>
    </row>
    <row r="13" ht="53.25" customHeight="1">
      <c r="B13" s="10" t="s">
        <v>76</v>
      </c>
      <c r="C13" s="11"/>
      <c r="D13" s="11"/>
      <c r="E13" s="11"/>
      <c r="F13" s="11"/>
      <c r="G13" s="11"/>
      <c r="H13" s="11"/>
      <c r="I13" s="10"/>
      <c r="J13" s="16"/>
      <c r="K13" s="11"/>
      <c r="L13" s="17"/>
      <c r="M13" s="18" t="s">
        <v>77</v>
      </c>
      <c r="N13" s="16"/>
      <c r="O13" s="19"/>
    </row>
    <row r="14" ht="39.75" customHeight="1">
      <c r="B14" s="10" t="s">
        <v>78</v>
      </c>
      <c r="C14" s="19"/>
      <c r="D14" s="19"/>
      <c r="E14" s="19"/>
      <c r="F14" s="19"/>
      <c r="G14" s="19"/>
      <c r="H14" s="19"/>
      <c r="I14" s="13"/>
      <c r="J14" s="16"/>
      <c r="K14" s="13"/>
      <c r="L14" s="13"/>
      <c r="M14" s="16"/>
      <c r="N14" s="16"/>
      <c r="O14" s="16"/>
    </row>
    <row r="15" ht="39.75" customHeight="1">
      <c r="B15" s="10" t="s">
        <v>79</v>
      </c>
      <c r="C15" s="19"/>
      <c r="D15" s="19"/>
      <c r="E15" s="19"/>
      <c r="F15" s="19"/>
      <c r="G15" s="19"/>
      <c r="H15" s="19"/>
      <c r="I15" s="13"/>
      <c r="J15" s="16"/>
      <c r="K15" s="13"/>
      <c r="L15" s="13"/>
      <c r="M15" s="19"/>
      <c r="N15" s="19"/>
      <c r="O15" s="19"/>
    </row>
    <row r="16" ht="39.75" customHeight="1">
      <c r="B16" s="10" t="s">
        <v>80</v>
      </c>
      <c r="C16" s="19"/>
      <c r="D16" s="19"/>
      <c r="E16" s="19"/>
      <c r="F16" s="19"/>
      <c r="G16" s="19"/>
      <c r="H16" s="19"/>
      <c r="I16" s="13"/>
      <c r="J16" s="16"/>
      <c r="K16" s="13"/>
      <c r="L16" s="13"/>
      <c r="M16" s="19"/>
      <c r="N16" s="19"/>
      <c r="O16" s="19"/>
    </row>
    <row r="17" ht="39.75" customHeight="1">
      <c r="B17" s="10" t="s">
        <v>81</v>
      </c>
      <c r="C17" s="19"/>
      <c r="D17" s="19"/>
      <c r="E17" s="19"/>
      <c r="F17" s="19"/>
      <c r="G17" s="19"/>
      <c r="H17" s="19"/>
      <c r="I17" s="13"/>
      <c r="J17" s="16"/>
      <c r="K17" s="13"/>
      <c r="L17" s="13"/>
      <c r="M17" s="19"/>
      <c r="N17" s="19"/>
      <c r="O17" s="19"/>
    </row>
    <row r="18" ht="39.75" customHeight="1">
      <c r="B18" s="10" t="s">
        <v>82</v>
      </c>
      <c r="C18" s="19"/>
      <c r="D18" s="19"/>
      <c r="E18" s="19"/>
      <c r="F18" s="19"/>
      <c r="G18" s="19"/>
      <c r="H18" s="19"/>
      <c r="I18" s="13"/>
      <c r="J18" s="16"/>
      <c r="K18" s="13"/>
      <c r="L18" s="13"/>
      <c r="M18" s="19"/>
      <c r="N18" s="19"/>
      <c r="O18" s="19"/>
    </row>
    <row r="19" ht="39.75" customHeight="1">
      <c r="B19" s="10" t="s">
        <v>83</v>
      </c>
      <c r="C19" s="19"/>
      <c r="D19" s="19"/>
      <c r="E19" s="19"/>
      <c r="F19" s="19"/>
      <c r="G19" s="19"/>
      <c r="H19" s="19"/>
      <c r="I19" s="13"/>
      <c r="J19" s="16"/>
      <c r="K19" s="13"/>
      <c r="L19" s="13"/>
      <c r="M19" s="19"/>
      <c r="N19" s="19"/>
      <c r="O19" s="19"/>
    </row>
    <row r="20" ht="39.75" customHeight="1">
      <c r="B20" s="20"/>
      <c r="C20" s="19"/>
      <c r="D20" s="19"/>
      <c r="E20" s="19"/>
      <c r="F20" s="19"/>
      <c r="G20" s="19"/>
      <c r="H20" s="19"/>
      <c r="I20" s="13"/>
      <c r="J20" s="16"/>
      <c r="K20" s="13"/>
      <c r="L20" s="13"/>
      <c r="M20" s="19"/>
      <c r="N20" s="19"/>
      <c r="O20" s="19"/>
    </row>
    <row r="21" ht="19.5" customHeight="1">
      <c r="B21" s="20"/>
      <c r="C21" s="19"/>
      <c r="D21" s="19"/>
      <c r="E21" s="19"/>
      <c r="F21" s="19"/>
      <c r="G21" s="19"/>
      <c r="H21" s="19"/>
      <c r="I21" s="13"/>
      <c r="J21" s="16"/>
      <c r="K21" s="13"/>
      <c r="L21" s="13"/>
      <c r="M21" s="19"/>
      <c r="N21" s="19"/>
      <c r="O21" s="19"/>
    </row>
    <row r="22" ht="19.5" customHeight="1">
      <c r="B22" s="21"/>
      <c r="C22" s="21"/>
      <c r="D22" s="21"/>
      <c r="E22" s="21"/>
      <c r="F22" s="21"/>
      <c r="G22" s="21"/>
      <c r="H22" s="21"/>
      <c r="I22" s="22"/>
      <c r="J22" s="22"/>
      <c r="K22" s="23"/>
      <c r="L22" s="22"/>
      <c r="M22" s="21"/>
      <c r="N22" s="21"/>
      <c r="O22" s="21"/>
    </row>
    <row r="23" ht="19.5" customHeight="1">
      <c r="B23" s="21"/>
      <c r="C23" s="21"/>
      <c r="D23" s="21"/>
      <c r="E23" s="21"/>
      <c r="F23" s="21"/>
      <c r="G23" s="21"/>
      <c r="H23" s="21"/>
      <c r="I23" s="24"/>
      <c r="J23" s="24"/>
      <c r="K23" s="25"/>
      <c r="L23" s="22"/>
      <c r="M23" s="21"/>
      <c r="N23" s="21"/>
      <c r="O23" s="21"/>
    </row>
    <row r="24" ht="19.5" customHeight="1">
      <c r="B24" s="21"/>
      <c r="C24" s="21"/>
      <c r="D24" s="21"/>
      <c r="E24" s="21"/>
      <c r="F24" s="21"/>
      <c r="G24" s="21"/>
      <c r="H24" s="21"/>
      <c r="I24" s="24"/>
      <c r="J24" s="24"/>
      <c r="K24" s="25"/>
      <c r="L24" s="22"/>
      <c r="M24" s="21"/>
      <c r="N24" s="21"/>
      <c r="O24" s="21"/>
    </row>
    <row r="25" ht="51.0" customHeight="1">
      <c r="B25" s="10"/>
      <c r="C25" s="11"/>
      <c r="D25" s="11"/>
      <c r="E25" s="11"/>
      <c r="F25" s="11"/>
      <c r="G25" s="11"/>
      <c r="H25" s="11"/>
      <c r="I25" s="10"/>
      <c r="J25" s="11"/>
      <c r="K25" s="11" t="s">
        <v>22</v>
      </c>
      <c r="L25" s="22"/>
      <c r="M25" s="21"/>
      <c r="N25" s="21"/>
      <c r="O25" s="21"/>
    </row>
    <row r="26" ht="59.25" customHeight="1">
      <c r="B26" s="10"/>
      <c r="C26" s="11"/>
      <c r="D26" s="11"/>
      <c r="E26" s="11"/>
      <c r="F26" s="11"/>
      <c r="G26" s="11"/>
      <c r="H26" s="11"/>
      <c r="I26" s="11"/>
      <c r="J26" s="11"/>
      <c r="K26" s="11"/>
      <c r="L26" s="22"/>
      <c r="M26" s="21"/>
      <c r="N26" s="21"/>
      <c r="O26" s="21"/>
    </row>
    <row r="27" ht="19.5" customHeight="1">
      <c r="B27" s="21"/>
      <c r="C27" s="21"/>
      <c r="D27" s="21"/>
      <c r="E27" s="21"/>
      <c r="F27" s="21"/>
      <c r="G27" s="21"/>
      <c r="H27" s="21"/>
      <c r="I27" s="24"/>
      <c r="J27" s="24"/>
      <c r="K27" s="26"/>
      <c r="L27" s="22"/>
      <c r="M27" s="21"/>
      <c r="N27" s="21"/>
      <c r="O27" s="21"/>
    </row>
    <row r="28" ht="19.5" customHeight="1">
      <c r="B28" s="21"/>
      <c r="C28" s="21"/>
      <c r="D28" s="21"/>
      <c r="E28" s="21"/>
      <c r="F28" s="21"/>
      <c r="G28" s="21"/>
      <c r="H28" s="21"/>
      <c r="I28" s="24"/>
      <c r="J28" s="24"/>
      <c r="K28" s="25"/>
      <c r="L28" s="22"/>
      <c r="M28" s="21"/>
      <c r="N28" s="21"/>
      <c r="O28" s="21"/>
    </row>
    <row r="29" ht="19.5" customHeight="1">
      <c r="B29" s="21"/>
      <c r="C29" s="21"/>
      <c r="D29" s="21"/>
      <c r="E29" s="21"/>
      <c r="F29" s="21"/>
      <c r="G29" s="21"/>
      <c r="H29" s="21"/>
      <c r="I29" s="24"/>
      <c r="J29" s="24"/>
      <c r="K29" s="25"/>
      <c r="L29" s="22"/>
      <c r="M29" s="21"/>
      <c r="N29" s="21"/>
      <c r="O29" s="21"/>
    </row>
    <row r="30" ht="19.5" customHeight="1">
      <c r="B30" s="21"/>
      <c r="C30" s="21"/>
      <c r="D30" s="21"/>
      <c r="E30" s="21"/>
      <c r="F30" s="21"/>
      <c r="G30" s="21"/>
      <c r="H30" s="21"/>
      <c r="I30" s="24"/>
      <c r="J30" s="24"/>
      <c r="K30" s="25"/>
      <c r="L30" s="22"/>
      <c r="M30" s="21"/>
      <c r="N30" s="21"/>
      <c r="O30" s="21"/>
    </row>
    <row r="31" ht="19.5" customHeight="1">
      <c r="B31" s="21"/>
      <c r="C31" s="21"/>
      <c r="D31" s="21"/>
      <c r="E31" s="21"/>
      <c r="F31" s="21"/>
      <c r="G31" s="21"/>
      <c r="H31" s="21"/>
      <c r="I31" s="24"/>
      <c r="J31" s="24"/>
      <c r="K31" s="25" t="s">
        <v>22</v>
      </c>
      <c r="L31" s="24" t="s">
        <v>42</v>
      </c>
      <c r="M31" s="27"/>
      <c r="N31" s="21"/>
      <c r="O31" s="21"/>
    </row>
    <row r="32" ht="19.5" customHeight="1">
      <c r="B32" s="21"/>
      <c r="C32" s="21"/>
      <c r="D32" s="21"/>
      <c r="E32" s="21"/>
      <c r="F32" s="21"/>
      <c r="G32" s="21"/>
      <c r="H32" s="21"/>
      <c r="I32" s="24"/>
      <c r="J32" s="24"/>
      <c r="K32" s="25" t="s">
        <v>84</v>
      </c>
      <c r="L32" s="24" t="s">
        <v>33</v>
      </c>
      <c r="M32" s="27"/>
      <c r="N32" s="21"/>
      <c r="O32" s="21"/>
    </row>
    <row r="33" ht="19.5" customHeight="1">
      <c r="B33" s="21"/>
      <c r="C33" s="21"/>
      <c r="D33" s="21"/>
      <c r="E33" s="21"/>
      <c r="F33" s="21"/>
      <c r="G33" s="21"/>
      <c r="H33" s="21"/>
      <c r="I33" s="24"/>
      <c r="J33" s="24"/>
      <c r="K33" s="25" t="s">
        <v>85</v>
      </c>
      <c r="L33" s="24" t="s">
        <v>23</v>
      </c>
      <c r="M33" s="27"/>
      <c r="N33" s="21"/>
      <c r="O33" s="21"/>
    </row>
    <row r="34" ht="19.5" customHeight="1">
      <c r="B34" s="21"/>
      <c r="C34" s="21"/>
      <c r="D34" s="21"/>
      <c r="E34" s="21"/>
      <c r="F34" s="21"/>
      <c r="G34" s="21"/>
      <c r="H34" s="21"/>
      <c r="I34" s="24"/>
      <c r="J34" s="24"/>
      <c r="K34" s="25"/>
      <c r="L34" s="24" t="s">
        <v>86</v>
      </c>
      <c r="M34" s="27"/>
      <c r="N34" s="21"/>
      <c r="O34" s="21"/>
    </row>
    <row r="35" ht="19.5" customHeight="1">
      <c r="B35" s="21"/>
      <c r="C35" s="21"/>
      <c r="D35" s="21"/>
      <c r="E35" s="21"/>
      <c r="F35" s="21"/>
      <c r="G35" s="21"/>
      <c r="H35" s="21"/>
      <c r="I35" s="24"/>
      <c r="J35" s="24"/>
      <c r="K35" s="25"/>
      <c r="L35" s="22"/>
      <c r="M35" s="21"/>
      <c r="N35" s="21"/>
      <c r="O35" s="21"/>
    </row>
    <row r="36" ht="15.75" customHeight="1">
      <c r="I36" s="1"/>
      <c r="J36" s="1"/>
      <c r="K36" s="25"/>
      <c r="L36" s="22"/>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c r="I234" s="1"/>
      <c r="J234" s="1"/>
      <c r="K234" s="2"/>
      <c r="L234" s="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dataValidation type="list" allowBlank="1" showErrorMessage="1" sqref="L6:L21">
      <formula1>$L$31:$L$34</formula1>
    </dataValidation>
    <dataValidation type="list" allowBlank="1" showErrorMessage="1" sqref="K6:K21 K25:K26">
      <formula1>$K$31:$K$33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8" width="10.63"/>
    <col customWidth="1" min="9" max="9" width="10.5"/>
    <col customWidth="1" min="10" max="15" width="10.63"/>
    <col customWidth="1" min="16" max="16" width="2.63"/>
  </cols>
  <sheetData>
    <row r="2" ht="15.0" hidden="1" customHeight="1"/>
    <row r="3" ht="15.0" hidden="1" customHeight="1"/>
    <row r="4" hidden="1">
      <c r="C4" s="28"/>
      <c r="D4" s="28"/>
      <c r="E4" s="28"/>
      <c r="F4" s="7"/>
    </row>
    <row r="5" hidden="1">
      <c r="C5" s="28"/>
      <c r="D5" s="28"/>
      <c r="E5" s="28"/>
      <c r="F5" s="7"/>
    </row>
    <row r="6" ht="39.75" customHeight="1">
      <c r="B6" s="29" t="s">
        <v>87</v>
      </c>
      <c r="C6" s="5"/>
      <c r="D6" s="5"/>
      <c r="E6" s="5"/>
      <c r="F6" s="5"/>
      <c r="G6" s="5"/>
      <c r="H6" s="5"/>
      <c r="I6" s="5"/>
      <c r="J6" s="5"/>
      <c r="K6" s="5"/>
      <c r="L6" s="5"/>
      <c r="M6" s="5"/>
      <c r="N6" s="5"/>
      <c r="O6" s="5"/>
      <c r="P6" s="6"/>
    </row>
    <row r="7" ht="9.75" customHeight="1">
      <c r="C7" s="30"/>
      <c r="D7" s="30"/>
      <c r="E7" s="30"/>
      <c r="F7" s="30"/>
      <c r="G7" s="30"/>
      <c r="H7" s="30"/>
      <c r="I7" s="30"/>
      <c r="J7" s="30"/>
      <c r="K7" s="30"/>
      <c r="L7" s="30"/>
      <c r="M7" s="30"/>
      <c r="N7" s="30"/>
      <c r="O7" s="30"/>
    </row>
    <row r="8" ht="9.75" customHeight="1">
      <c r="B8" s="31"/>
      <c r="C8" s="32"/>
      <c r="D8" s="32"/>
      <c r="E8" s="32"/>
      <c r="F8" s="33"/>
      <c r="G8" s="34"/>
      <c r="H8" s="34"/>
      <c r="I8" s="34"/>
      <c r="J8" s="34"/>
      <c r="K8" s="34"/>
      <c r="L8" s="34"/>
      <c r="M8" s="34"/>
      <c r="N8" s="34"/>
      <c r="O8" s="34"/>
      <c r="P8" s="35"/>
    </row>
    <row r="9" ht="30.0" customHeight="1">
      <c r="B9" s="36"/>
      <c r="C9" s="37" t="s">
        <v>1</v>
      </c>
      <c r="D9" s="38"/>
      <c r="E9" s="39" t="s">
        <v>88</v>
      </c>
      <c r="F9" s="6"/>
      <c r="G9" s="38"/>
      <c r="H9" s="39" t="s">
        <v>11</v>
      </c>
      <c r="I9" s="6"/>
      <c r="J9" s="40"/>
      <c r="K9" s="40"/>
      <c r="L9" s="40"/>
      <c r="M9" s="40"/>
      <c r="N9" s="40"/>
      <c r="O9" s="40"/>
      <c r="P9" s="41"/>
    </row>
    <row r="10" ht="30.0" customHeight="1">
      <c r="B10" s="36"/>
      <c r="C10" s="42" t="s">
        <v>15</v>
      </c>
      <c r="D10" s="43"/>
      <c r="E10" s="44" t="str">
        <f>VLOOKUP(C10,'Formato descripción HU'!B6:O21,5,0)</f>
        <v>Administrador/Colaborador del emprendimento</v>
      </c>
      <c r="F10" s="6"/>
      <c r="G10" s="45"/>
      <c r="H10" s="46" t="str">
        <f>VLOOKUP(C10,'Formato descripción HU'!B6:O21,11,0)</f>
        <v>Terminado</v>
      </c>
      <c r="I10" s="6"/>
      <c r="J10" s="45"/>
      <c r="K10" s="40"/>
      <c r="L10" s="40"/>
      <c r="M10" s="40"/>
      <c r="N10" s="40"/>
      <c r="O10" s="40"/>
      <c r="P10" s="41"/>
    </row>
    <row r="11" ht="9.75" customHeight="1">
      <c r="B11" s="36"/>
      <c r="C11" s="47"/>
      <c r="D11" s="43"/>
      <c r="E11" s="48"/>
      <c r="F11" s="48"/>
      <c r="G11" s="45"/>
      <c r="H11" s="48"/>
      <c r="I11" s="48"/>
      <c r="J11" s="45"/>
      <c r="K11" s="48"/>
      <c r="L11" s="48"/>
      <c r="M11" s="40"/>
      <c r="N11" s="48"/>
      <c r="O11" s="48"/>
      <c r="P11" s="41"/>
    </row>
    <row r="12" ht="30.0" customHeight="1">
      <c r="B12" s="36"/>
      <c r="C12" s="37" t="s">
        <v>89</v>
      </c>
      <c r="D12" s="43"/>
      <c r="E12" s="39" t="s">
        <v>10</v>
      </c>
      <c r="F12" s="6"/>
      <c r="G12" s="45"/>
      <c r="H12" s="39" t="s">
        <v>90</v>
      </c>
      <c r="I12" s="6"/>
      <c r="J12" s="45"/>
      <c r="K12" s="48"/>
      <c r="L12" s="48"/>
      <c r="M12" s="40"/>
      <c r="N12" s="48"/>
      <c r="O12" s="48"/>
      <c r="P12" s="41"/>
    </row>
    <row r="13" ht="60.75" customHeight="1">
      <c r="B13" s="36"/>
      <c r="C13" s="49">
        <f>VLOOKUP('Historia de Usuario'!C10,'Formato descripción HU'!B6:O21,8,0)</f>
        <v>3</v>
      </c>
      <c r="D13" s="43"/>
      <c r="E13" s="46" t="str">
        <f>VLOOKUP(C10,'Formato descripción HU'!B6:O21,10,0)</f>
        <v>Alta</v>
      </c>
      <c r="F13" s="6"/>
      <c r="G13" s="45"/>
      <c r="H13" s="46" t="str">
        <f>VLOOKUP(C10,'Formato descripción HU'!B6:O21,7,0)</f>
        <v>Verdezoto Miguel
</v>
      </c>
      <c r="I13" s="6"/>
      <c r="J13" s="45"/>
      <c r="K13" s="48"/>
      <c r="L13" s="48"/>
      <c r="M13" s="40"/>
      <c r="N13" s="48"/>
      <c r="O13" s="48"/>
      <c r="P13" s="41"/>
    </row>
    <row r="14" ht="9.75" customHeight="1">
      <c r="B14" s="36"/>
      <c r="C14" s="40"/>
      <c r="D14" s="43"/>
      <c r="E14" s="40"/>
      <c r="F14" s="40"/>
      <c r="G14" s="45"/>
      <c r="H14" s="45"/>
      <c r="I14" s="40"/>
      <c r="J14" s="40"/>
      <c r="K14" s="40"/>
      <c r="L14" s="40"/>
      <c r="M14" s="40"/>
      <c r="N14" s="40"/>
      <c r="O14" s="40"/>
      <c r="P14" s="41"/>
    </row>
    <row r="15" ht="19.5" customHeight="1">
      <c r="B15" s="36"/>
      <c r="C15" s="50" t="s">
        <v>91</v>
      </c>
      <c r="D15" s="51" t="str">
        <f>VLOOKUP(C10,'Formato descripción HU'!B6:O21,3,0)</f>
        <v>El programa deberá validar las credenciales, el ingreso a la aplicación que se encargará de gestionar el emprendimiento</v>
      </c>
      <c r="E15" s="52"/>
      <c r="F15" s="40"/>
      <c r="G15" s="50" t="s">
        <v>92</v>
      </c>
      <c r="H15" s="51" t="str">
        <f>VLOOKUP(C10,'Formato descripción HU'!B6:O21,4,0)</f>
        <v>El adminstrador valdiará sus credenciales y tendrá un acceso al sistema de gestión de eventos</v>
      </c>
      <c r="I15" s="53"/>
      <c r="J15" s="52"/>
      <c r="K15" s="40"/>
      <c r="L15" s="50" t="s">
        <v>93</v>
      </c>
      <c r="M15" s="54" t="str">
        <f>VLOOKUP(C10,'Formato descripción HU'!B6:O21,6,0)</f>
        <v>Ingresar con usuario y contraseña (Nombre del usuario para que sea facil de recrodar) contraseña(Contenida por letras y numeros, para mayor seguridad del negocio)</v>
      </c>
      <c r="N15" s="53"/>
      <c r="O15" s="52"/>
      <c r="P15" s="41"/>
    </row>
    <row r="16" ht="19.5" customHeight="1">
      <c r="B16" s="36"/>
      <c r="C16" s="55"/>
      <c r="D16" s="56"/>
      <c r="E16" s="57"/>
      <c r="F16" s="40"/>
      <c r="G16" s="55"/>
      <c r="H16" s="56"/>
      <c r="J16" s="57"/>
      <c r="K16" s="40"/>
      <c r="L16" s="55"/>
      <c r="M16" s="56"/>
      <c r="O16" s="57"/>
      <c r="P16" s="41"/>
    </row>
    <row r="17" ht="19.5" customHeight="1">
      <c r="B17" s="36"/>
      <c r="C17" s="58"/>
      <c r="D17" s="59"/>
      <c r="E17" s="60"/>
      <c r="F17" s="40"/>
      <c r="G17" s="58"/>
      <c r="H17" s="59"/>
      <c r="I17" s="61"/>
      <c r="J17" s="60"/>
      <c r="K17" s="40"/>
      <c r="L17" s="58"/>
      <c r="M17" s="59"/>
      <c r="N17" s="61"/>
      <c r="O17" s="60"/>
      <c r="P17" s="41"/>
    </row>
    <row r="18" ht="9.75" customHeight="1">
      <c r="B18" s="36"/>
      <c r="C18" s="40"/>
      <c r="D18" s="40"/>
      <c r="E18" s="40"/>
      <c r="F18" s="40"/>
      <c r="G18" s="45"/>
      <c r="H18" s="45"/>
      <c r="I18" s="45"/>
      <c r="J18" s="40"/>
      <c r="K18" s="40"/>
      <c r="L18" s="40"/>
      <c r="M18" s="40"/>
      <c r="N18" s="40"/>
      <c r="O18" s="40"/>
      <c r="P18" s="41"/>
    </row>
    <row r="19" ht="19.5" customHeight="1">
      <c r="B19" s="36"/>
      <c r="C19" s="62" t="s">
        <v>94</v>
      </c>
      <c r="D19" s="52"/>
      <c r="E19" s="63" t="str">
        <f>VLOOKUP(C10,'Formato descripción HU'!B6:O20,14,0)</f>
        <v>Ingreso al sistema</v>
      </c>
      <c r="F19" s="64"/>
      <c r="G19" s="64"/>
      <c r="H19" s="64"/>
      <c r="I19" s="64"/>
      <c r="J19" s="64"/>
      <c r="K19" s="64"/>
      <c r="L19" s="64"/>
      <c r="M19" s="64"/>
      <c r="N19" s="64"/>
      <c r="O19" s="65"/>
      <c r="P19" s="41"/>
    </row>
    <row r="20" ht="19.5" customHeight="1">
      <c r="B20" s="36"/>
      <c r="C20" s="59"/>
      <c r="D20" s="60"/>
      <c r="E20" s="66"/>
      <c r="F20" s="67"/>
      <c r="G20" s="67"/>
      <c r="H20" s="67"/>
      <c r="I20" s="67"/>
      <c r="J20" s="67"/>
      <c r="K20" s="67"/>
      <c r="L20" s="67"/>
      <c r="M20" s="67"/>
      <c r="N20" s="67"/>
      <c r="O20" s="68"/>
      <c r="P20" s="41"/>
    </row>
    <row r="21" ht="9.75" customHeight="1">
      <c r="B21" s="36"/>
      <c r="C21" s="40"/>
      <c r="D21" s="40"/>
      <c r="E21" s="40"/>
      <c r="F21" s="40"/>
      <c r="G21" s="40"/>
      <c r="H21" s="40"/>
      <c r="I21" s="40"/>
      <c r="J21" s="40"/>
      <c r="K21" s="40"/>
      <c r="L21" s="40"/>
      <c r="M21" s="40"/>
      <c r="N21" s="40"/>
      <c r="O21" s="40"/>
      <c r="P21" s="41"/>
    </row>
    <row r="22" ht="19.5" customHeight="1">
      <c r="B22" s="36"/>
      <c r="C22" s="69" t="s">
        <v>95</v>
      </c>
      <c r="D22" s="52"/>
      <c r="E22" s="51" t="str">
        <f>VLOOKUP(C10,'Formato descripción HU'!B6:O21,12,0)</f>
        <v>Si usuario y contraseña son correctos puede ingresar al sistema (se despliega una nueva ventana)</v>
      </c>
      <c r="F22" s="53"/>
      <c r="G22" s="53"/>
      <c r="H22" s="52"/>
      <c r="I22" s="40"/>
      <c r="J22" s="69" t="s">
        <v>13</v>
      </c>
      <c r="K22" s="52"/>
      <c r="L22" s="51" t="str">
        <f>VLOOKUP(C10,'Formato descripción HU'!B6:O21,13,0)</f>
        <v>Informar al usuario si sus credenciales son correctas o no, caso contrario si no existe en la basa de datos registrada</v>
      </c>
      <c r="M22" s="53"/>
      <c r="N22" s="53"/>
      <c r="O22" s="52"/>
      <c r="P22" s="41"/>
    </row>
    <row r="23" ht="19.5" customHeight="1">
      <c r="B23" s="36"/>
      <c r="C23" s="56"/>
      <c r="D23" s="57"/>
      <c r="E23" s="56"/>
      <c r="H23" s="57"/>
      <c r="I23" s="40"/>
      <c r="J23" s="56"/>
      <c r="K23" s="57"/>
      <c r="L23" s="56"/>
      <c r="O23" s="57"/>
      <c r="P23" s="41"/>
    </row>
    <row r="24" ht="19.5" customHeight="1">
      <c r="B24" s="36"/>
      <c r="C24" s="59"/>
      <c r="D24" s="60"/>
      <c r="E24" s="59"/>
      <c r="F24" s="61"/>
      <c r="G24" s="61"/>
      <c r="H24" s="60"/>
      <c r="I24" s="40"/>
      <c r="J24" s="59"/>
      <c r="K24" s="60"/>
      <c r="L24" s="59"/>
      <c r="M24" s="61"/>
      <c r="N24" s="61"/>
      <c r="O24" s="60"/>
      <c r="P24" s="41"/>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