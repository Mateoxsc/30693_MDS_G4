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<sst xmlns="http://schemas.openxmlformats.org/spreadsheetml/2006/main" count="129" uniqueCount="97">
  <si>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</si>
  <si>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</si>
  <si>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</si>
  <si>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</si>
  <si>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</si>
  <si>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</si>
  <si>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</si>
  <si>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</si>
  <si>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</si>
  <si>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</si>
  <si>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</si>
  <si>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</si>
  <si>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</si>
  <si>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</si>
  <si>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</si>
  <si>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TAR001</t>
  </si>
  <si>
    <t xml:space="preserve">Ingreso al sistema </t>
  </si>
  <si>
    <t>El programa deberá validar las credenciales, el ingreso a la aplicación que se encargará de gestionar el emprendimiento</t>
  </si>
  <si>
    <t>El adminstrador valdiará sus credenciales y tendrá un acceso al sistema de gestión de eventos</t>
  </si>
  <si>
    <t>Administrador/Colaborador del emprendimento</t>
  </si>
  <si>
    <t>Ingresar con usuario y contraseña (Nombre del usuario para que sea facil de recrodar) contraseña(Contenida por letras y numeros, para mayor seguridad del negocio)</t>
  </si>
  <si>
    <t xml:space="preserve">Verdezoto Miguel
</t>
  </si>
  <si>
    <t>Alta</t>
  </si>
  <si>
    <t>Terminado</t>
  </si>
  <si>
    <t>Si usuario y contraseña son correctos puede ingresar al sistema (se despliega una nueva ventana muestra un mensaje que la sesión se ha iniciado con éxito). Se crearon diferentes validaciones: 1. Si el usuario ingresa su usuario o contraseña incorrectos, no permite el acceso  y se despliega un mensaje de error por motivos de seguridad. 2. Si el usuario intenta presionar el botón de ingreso dejando los campos obligatorios en blanco, el sistema detiene la ejecución, muestra un mensaje de ERROR y solicita completar los datos requeridos. 3. En caso de que existan 3 equivocaciones al escribir el usuario o la contraseña, tendrá 3 intentos para ponerlos correctamente, caso contrario se bloqueará la ventana y y tendra un límite de 3 minutos para volver a intentar ingresar.</t>
  </si>
  <si>
    <t>Informar al usuario si sus credenciales son correctas o no, caso contrario si no existe en la basa de datos registrada</t>
  </si>
  <si>
    <t>Ingreso al sistema</t>
  </si>
  <si>
    <t>TAR002</t>
  </si>
  <si>
    <t>Ventana administrador</t>
  </si>
  <si>
    <t>El programa deberá  llevar una gestión de colaboradores, gestión de clientes, gestión de eventos, gestión de reservas</t>
  </si>
  <si>
    <t xml:space="preserve">
Tener una correcta organización de las funciones que gestionará el administrador</t>
  </si>
  <si>
    <t>Administrador del emprendimento</t>
  </si>
  <si>
    <t>En la ventana administrador se podrá acceder a formualrios para llevar un correcta gestión de clientes, empleados y eventos.</t>
  </si>
  <si>
    <t>En proceso</t>
  </si>
  <si>
    <t>Únicamente el administrador tendrá acceso a todos los datos necesarios para facilitar el control del sistema. Tendrá un centro de mandos. Donde cada botón estará vinculado directamente a Gestión Colaboradores, Clientes, Reserva y Cerrar Sesión.</t>
  </si>
  <si>
    <t xml:space="preserve">El sistema no permite ingresos externos a datos importantes. </t>
  </si>
  <si>
    <t>TAR003</t>
  </si>
  <si>
    <t>Gestión de Colaboradores</t>
  </si>
  <si>
    <t>El programa deberá asignar credenciales unicas a un colaborador y llevar su respectivo registro, almacenando los datos en una base datos</t>
  </si>
  <si>
    <t>Llevar un control de colaboradores que tendrán acceso al sistema</t>
  </si>
  <si>
    <t>Formulario que permita llevar un regsitro de los colaboradores y crear credenciales para que puedan tener acceso al sistema.</t>
  </si>
  <si>
    <t xml:space="preserve">Jaramillo Mateo
</t>
  </si>
  <si>
    <t>Las credenciales de un empleado son únicas,si llena correctamente todos los campos podrá ser añadido correctamente al sistema y se mostrará una tabla con todos los datos anteriores. Para eso debe llenar un formulario con su NOMBRE COMPLETO, CÉDULA, USUARIO y CONTRASEÑA. Donde si el sistema verifica que  existan campos, en caso de que eso ocurra, saldrá un mensaje de Advertencia. También si se colocan letras en el apartado de cédula, saldrá un mensaje de error(indicando que la cédula solo debe contener números). Si se repiten los nombres de usario o el número de cédula saldrá un mensaje diciend( que ese nombre o cedula ya existen).</t>
  </si>
  <si>
    <t>El sistema será capaz de registrar empleados y sus credenciales para el loggin</t>
  </si>
  <si>
    <t>Registro de empleados</t>
  </si>
  <si>
    <t>TAR004</t>
  </si>
  <si>
    <t xml:space="preserve">El programa deberá tener un formulario para buscar a un colaborador mediante su id y poder eliminar sus credenciales de la base de datos. </t>
  </si>
  <si>
    <t>Eliminar las credenciales de un colaborador para que impedir su acceso al sistema</t>
  </si>
  <si>
    <t xml:space="preserve">Formulario para buscar a un colaborador mediante su id y poder eliminar sus credenciales de la base de datos. </t>
  </si>
  <si>
    <t>Verificar las credenciales de un empleado y eliminar esos datos para el logginVerificar las credenciales de un empleado y eliminar esos datos para el loggin. Al implementar un  buscador por número de identificación (ID) del colaborador, si se coloca un número de cédula incorrecto el sistema mostrará un mensaje de ERROR(Pidiendo que ingrese un número de cédula válidos). Si se ingresa una cédula que este registrada, se despelgará una ventana con la información del colaborador. Y para eliminar el colaborador mostrará un mensaje de ADVERTENCIA(Seleccione un colaborador de la tabla para eliminarlo), al momento de selecionar saldrá otro mensaje(Estás seguro de eliminar este colaborador?) Y si colocas en la opción SÍ, se mostrará un mensaje indicando que el Colaborador se ha eliminado exitosamente.</t>
  </si>
  <si>
    <t>El sistema será capaz de eliminar las credenciales de un empleado pero no se perderá información de las reservas,</t>
  </si>
  <si>
    <t>Eliminar credenciales de un colaborador</t>
  </si>
  <si>
    <t>TAR005</t>
  </si>
  <si>
    <t>Gestión de Clientes</t>
  </si>
  <si>
    <t>El programa deberá contar con un formulario para llenar con los datos del cliente</t>
  </si>
  <si>
    <t>Digitalizar en una base de datos los registros de los clientes</t>
  </si>
  <si>
    <t>Formulario que permita ingresar la información del cliente, opcion de eliiminar a un cliente, opción de editar la información de un cliente, buscar si un cliente ya ha sido registrado.</t>
  </si>
  <si>
    <t xml:space="preserve">Jaramillo Mateo
Sosa Valeria
Velasquez Mery 
Verdezoto Miguel
</t>
  </si>
  <si>
    <t>No iniciado</t>
  </si>
  <si>
    <t>Cada cliente tendrá su número de cédula único y sus datos personales, para que no se repitan los registros de usuarios.</t>
  </si>
  <si>
    <t>El sistema será capaz de registrar errores como el número de cédula inválidó o que los campos del formualriode registro no se encuentren vaciós</t>
  </si>
  <si>
    <t>Registro Cliente</t>
  </si>
  <si>
    <t>TAR006</t>
  </si>
  <si>
    <t xml:space="preserve">El programa deberá contar con un formulario para ingresar la cédula de un cliente y comprobar que se encuentre resgistrado en la base de datos </t>
  </si>
  <si>
    <t>En el caso de ser necesario eliminar el registro de un cliente se lo pueda hacer de manera rápida.</t>
  </si>
  <si>
    <t>Ingresar el número de cédula de un cliente, veríficar que el cliente existe, si existe se podrá eiminar sus registros</t>
  </si>
  <si>
    <t>Si el cliente existe dentro de la base de datos, se podrá visualizar su información para estar seguro que ese registro se desea eliminar</t>
  </si>
  <si>
    <t>El sistema será capaz de encontrar los registros de un cliente y elimianrlo de su base de datos.</t>
  </si>
  <si>
    <t>Eliminar Cliente</t>
  </si>
  <si>
    <t>TAR007</t>
  </si>
  <si>
    <t>Gestión Eventos</t>
  </si>
  <si>
    <t>El programa deberá llevar un registro de reservas con los diferentes tipos de servicios que ofrece el emprendimiento</t>
  </si>
  <si>
    <t>Evitar que se crucen eventos en la misma hora y temática de evento, también poder observar los eventos que se tienen agendados</t>
  </si>
  <si>
    <t>Formulario que permita ingresar fehcha de evento, escoger el tipo de evento y poder ingresar el costo de ese evento.</t>
  </si>
  <si>
    <t>Cada evento que se quiera registrar tendrá un contador para llevar el conteo de eventos que se proporcionan, también cada evento será registrado con el número de cedula de un cleinte para llevar un mayor control</t>
  </si>
  <si>
    <t>El sistema será capaz de comprobar que la fecha y hora de un evento no se crucen para registrar eventos con la mejor eficiencia posible.</t>
  </si>
  <si>
    <t>Registro de Reservas</t>
  </si>
  <si>
    <t>TAR008</t>
  </si>
  <si>
    <t xml:space="preserve"> </t>
  </si>
  <si>
    <t>TAR009</t>
  </si>
  <si>
    <t>TAR010</t>
  </si>
  <si>
    <t>TAR011</t>
  </si>
  <si>
    <t>TAR012</t>
  </si>
  <si>
    <t>TAR013</t>
  </si>
  <si>
    <t>TAR014</t>
  </si>
  <si>
    <t xml:space="preserve">Media </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</si>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</sst>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numFmts>
  <fonts count="19">
    <font>
      <sz val="11.0"/>
      <color theme="1"/>
      <name val="Arial"/>
      <scheme val="minor"/>
    </font>
    <font>
      <sz val="11.0"/>
      <color theme="1"/>
      <name val="Calibri"/>
    </font>
    <font>
      <sz val="11.0"/>
      <color theme="1"/>
      <name val="Arial"/>
    </font>
    <font>
      <b/>
      <i/>
      <sz val="16.0"/>
      <color theme="1"/>
      <name val="Calibri"/>
    </font>
    <font/>
    <font>
      <b/>
      <i/>
      <sz val="11.0"/>
      <color rgb="FF9C6500"/>
      <name val="Calibri"/>
    </font>
    <font>
      <b/>
      <i/>
      <sz val="11.0"/>
      <color rgb="FFFF0000"/>
      <name val="Calibri"/>
    </font>
    <font>
      <sz val="10.0"/>
      <color theme="1"/>
      <name val="Calibri"/>
    </font>
    <font>
      <sz val="10.0"/>
      <color rgb="FF000000"/>
      <name val="Calibri"/>
    </font>
    <font>
      <sz val="9.0"/>
      <color rgb="FF000000"/>
      <name val="Calibri"/>
    </font>
    <font>
      <color theme="1"/>
      <name val="Arial"/>
      <scheme val="minor"/>
    </font>
    <font>
      <sz val="11.0"/>
      <color rgb="FF000000"/>
      <name val="Arial"/>
    </font>
    <font>
      <b/>
      <sz val="11.0"/>
      <color theme="1"/>
      <name val="Calibri"/>
    </font>
    <font>
      <b/>
      <sz val="16.0"/>
      <color theme="1"/>
      <name val="Calibri"/>
    </font>
    <font>
      <b/>
      <sz val="11.0"/>
      <color theme="0"/>
      <name val="Calibri"/>
    </font>
    <font>
      <b/>
      <sz val="11.0"/>
      <color rgb="FFFA7D00"/>
      <name val="Calibri"/>
    </font>
    <font>
      <sz val="12.0"/>
      <color theme="1"/>
      <name val="Calibri"/>
    </font>
    <font>
      <sz val="9.0"/>
      <color theme="1"/>
      <name val="Calibri"/>
    </font>
    <font>
      <b/>
      <i/>
      <sz val="12.0"/>
      <color rgb="FF9C6500"/>
      <name val="Calibri"/>
    </font>
  </fonts>
  <fills count="8">
    <fill>
      <patternFill patternType="none"/>
    </fill>
    <fill>
      <patternFill patternType="lightGray"/>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2B2B2"/>
      </left>
      <right style="thin">
        <color rgb="FFB2B2B2"/>
      </right>
      <top style="thin">
        <color rgb="FFB2B2B2"/>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xf>
    <xf borderId="0" fillId="0" fontId="2" numFmtId="0" xfId="0" applyAlignment="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Font="1"/>
    <xf borderId="4" fillId="2" fontId="5" numFmtId="0" xfId="0" applyAlignment="1" applyBorder="1" applyFill="1" applyFont="1">
      <alignment horizontal="center" shrinkToFit="0" vertical="center" wrapText="1"/>
    </xf>
    <xf borderId="4" fillId="2" fontId="6" numFmtId="0" xfId="0" applyAlignment="1" applyBorder="1" applyFont="1">
      <alignment horizontal="center" shrinkToFit="0" vertical="center" wrapText="1"/>
    </xf>
    <xf borderId="5" fillId="0" fontId="7" numFmtId="0" xfId="0" applyAlignment="1" applyBorder="1" applyFont="1">
      <alignment horizontal="center" readingOrder="0" vertical="center"/>
    </xf>
    <xf borderId="5" fillId="0" fontId="7" numFmtId="0" xfId="0" applyAlignment="1" applyBorder="1" applyFont="1">
      <alignment horizontal="center" readingOrder="0" shrinkToFit="0" vertical="center" wrapText="1"/>
    </xf>
    <xf borderId="5" fillId="0" fontId="7" numFmtId="164" xfId="0" applyAlignment="1" applyBorder="1" applyFont="1" applyNumberFormat="1">
      <alignment horizontal="center" readingOrder="0" shrinkToFit="0" vertical="center" wrapText="1"/>
    </xf>
    <xf borderId="5" fillId="0" fontId="7" numFmtId="0" xfId="0" applyAlignment="1" applyBorder="1" applyFont="1">
      <alignment horizontal="center" shrinkToFit="0" vertical="center" wrapText="1"/>
    </xf>
    <xf borderId="5" fillId="0" fontId="8" numFmtId="0" xfId="0" applyAlignment="1" applyBorder="1" applyFont="1">
      <alignment horizontal="center" readingOrder="0" shrinkToFit="0" vertical="center" wrapText="1"/>
    </xf>
    <xf borderId="0" fillId="0" fontId="2" numFmtId="0" xfId="0" applyFont="1"/>
    <xf borderId="5" fillId="0" fontId="7" numFmtId="165" xfId="0" applyAlignment="1" applyBorder="1" applyFont="1" applyNumberFormat="1">
      <alignment horizontal="center" shrinkToFit="0" vertical="center" wrapText="1"/>
    </xf>
    <xf borderId="5" fillId="0" fontId="1" numFmtId="0" xfId="0" applyAlignment="1" applyBorder="1" applyFont="1">
      <alignment horizontal="center" readingOrder="0" shrinkToFit="0" vertical="center" wrapText="1"/>
    </xf>
    <xf borderId="5" fillId="0" fontId="9" numFmtId="0" xfId="0" applyAlignment="1" applyBorder="1" applyFont="1">
      <alignment horizontal="left" readingOrder="0" shrinkToFit="0" vertical="top" wrapText="1"/>
    </xf>
    <xf borderId="5" fillId="0" fontId="7" numFmtId="0" xfId="0" applyAlignment="1" applyBorder="1" applyFont="1">
      <alignment shrinkToFit="0" vertical="center" wrapText="1"/>
    </xf>
    <xf borderId="5" fillId="0" fontId="7" numFmtId="0" xfId="0" applyAlignment="1" applyBorder="1" applyFont="1">
      <alignment vertical="center"/>
    </xf>
    <xf borderId="5" fillId="0" fontId="10" numFmtId="0" xfId="0" applyBorder="1" applyFont="1"/>
    <xf borderId="5" fillId="0" fontId="2" numFmtId="0" xfId="0" applyAlignment="1" applyBorder="1" applyFont="1">
      <alignment horizontal="center" vertical="center"/>
    </xf>
    <xf borderId="5" fillId="0" fontId="2" numFmtId="0" xfId="0" applyAlignment="1" applyBorder="1" applyFont="1">
      <alignment horizontal="center"/>
    </xf>
    <xf borderId="5" fillId="0" fontId="1" numFmtId="0" xfId="0" applyAlignment="1" applyBorder="1" applyFont="1">
      <alignment horizontal="center" vertical="center"/>
    </xf>
    <xf borderId="5" fillId="0" fontId="1" numFmtId="0" xfId="0" applyAlignment="1" applyBorder="1" applyFont="1">
      <alignment horizontal="center"/>
    </xf>
    <xf borderId="5" fillId="0" fontId="11" numFmtId="0" xfId="0" applyAlignment="1" applyBorder="1" applyFont="1">
      <alignment horizontal="center"/>
    </xf>
    <xf borderId="5" fillId="0" fontId="1" numFmtId="0" xfId="0" applyBorder="1" applyFont="1"/>
    <xf borderId="0" fillId="0" fontId="12" numFmtId="0" xfId="0" applyAlignment="1" applyFont="1">
      <alignment horizontal="left" shrinkToFit="0" vertical="center" wrapText="1"/>
    </xf>
    <xf borderId="1" fillId="3" fontId="13" numFmtId="0" xfId="0" applyAlignment="1" applyBorder="1" applyFill="1" applyFont="1">
      <alignment horizontal="center" shrinkToFit="0" vertical="center" wrapText="1"/>
    </xf>
    <xf borderId="0" fillId="0" fontId="12" numFmtId="0" xfId="0" applyAlignment="1" applyFont="1">
      <alignment horizontal="center" shrinkToFit="0" vertical="center" wrapText="1"/>
    </xf>
    <xf borderId="6" fillId="3" fontId="2" numFmtId="0" xfId="0" applyBorder="1" applyFont="1"/>
    <xf borderId="7" fillId="3" fontId="12" numFmtId="0" xfId="0" applyAlignment="1" applyBorder="1" applyFont="1">
      <alignment horizontal="left" shrinkToFit="0" vertical="center" wrapText="1"/>
    </xf>
    <xf borderId="7" fillId="3" fontId="1" numFmtId="0" xfId="0" applyBorder="1" applyFont="1"/>
    <xf borderId="7" fillId="3" fontId="2" numFmtId="0" xfId="0" applyBorder="1" applyFont="1"/>
    <xf borderId="8" fillId="3" fontId="2" numFmtId="0" xfId="0" applyBorder="1" applyFont="1"/>
    <xf borderId="9" fillId="3" fontId="2" numFmtId="0" xfId="0" applyBorder="1" applyFont="1"/>
    <xf borderId="5" fillId="4" fontId="14" numFmtId="0" xfId="0" applyAlignment="1" applyBorder="1" applyFill="1" applyFont="1">
      <alignment horizontal="center" vertical="center"/>
    </xf>
    <xf borderId="10" fillId="3" fontId="15" numFmtId="0" xfId="0" applyAlignment="1" applyBorder="1" applyFont="1">
      <alignment vertical="center"/>
    </xf>
    <xf borderId="1" fillId="4" fontId="14" numFmtId="0" xfId="0" applyAlignment="1" applyBorder="1" applyFont="1">
      <alignment horizontal="center" vertical="center"/>
    </xf>
    <xf borderId="10" fillId="3" fontId="2" numFmtId="0" xfId="0" applyBorder="1" applyFont="1"/>
    <xf borderId="11" fillId="3" fontId="2" numFmtId="0" xfId="0" applyBorder="1" applyFont="1"/>
    <xf borderId="5" fillId="5" fontId="16" numFmtId="0" xfId="0" applyAlignment="1" applyBorder="1" applyFill="1" applyFont="1">
      <alignment horizontal="center" readingOrder="0" vertical="center"/>
    </xf>
    <xf borderId="10" fillId="3" fontId="1" numFmtId="0" xfId="0" applyAlignment="1" applyBorder="1" applyFont="1">
      <alignment shrinkToFit="0" vertical="center" wrapText="1"/>
    </xf>
    <xf borderId="1" fillId="5" fontId="1" numFmtId="0" xfId="0" applyAlignment="1" applyBorder="1" applyFont="1">
      <alignment horizontal="center" shrinkToFit="0" vertical="center" wrapText="1"/>
    </xf>
    <xf borderId="10" fillId="3" fontId="1" numFmtId="0" xfId="0" applyAlignment="1" applyBorder="1" applyFont="1">
      <alignment vertical="center"/>
    </xf>
    <xf borderId="1" fillId="5" fontId="1" numFmtId="0" xfId="0" applyAlignment="1" applyBorder="1" applyFont="1">
      <alignment horizontal="center" vertical="center"/>
    </xf>
    <xf borderId="10" fillId="3" fontId="16" numFmtId="0" xfId="0" applyAlignment="1" applyBorder="1" applyFont="1">
      <alignment horizontal="center" vertical="center"/>
    </xf>
    <xf borderId="10" fillId="3" fontId="1" numFmtId="0" xfId="0" applyAlignment="1" applyBorder="1" applyFont="1">
      <alignment horizontal="center" vertical="center"/>
    </xf>
    <xf borderId="5" fillId="5" fontId="16" numFmtId="0" xfId="0" applyAlignment="1" applyBorder="1" applyFont="1">
      <alignment horizontal="center" vertical="center"/>
    </xf>
    <xf borderId="12" fillId="6" fontId="14" numFmtId="0" xfId="0" applyAlignment="1" applyBorder="1" applyFill="1" applyFont="1">
      <alignment horizontal="center" vertical="center"/>
    </xf>
    <xf borderId="13" fillId="5" fontId="1" numFmtId="0" xfId="0" applyAlignment="1" applyBorder="1" applyFont="1">
      <alignment horizontal="center" shrinkToFit="0" vertical="center" wrapText="1"/>
    </xf>
    <xf borderId="14" fillId="0" fontId="4" numFmtId="0" xfId="0" applyBorder="1" applyFont="1"/>
    <xf borderId="15" fillId="0" fontId="4" numFmtId="0" xfId="0" applyBorder="1" applyFont="1"/>
    <xf borderId="13" fillId="5" fontId="17" numFmtId="0" xfId="0" applyAlignment="1" applyBorder="1" applyFont="1">
      <alignment horizontal="center" shrinkToFit="0" vertical="center" wrapText="1"/>
    </xf>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13" fillId="7" fontId="18" numFmtId="0" xfId="0" applyAlignment="1" applyBorder="1" applyFill="1" applyFont="1">
      <alignment horizontal="center" vertical="center"/>
    </xf>
    <xf borderId="23" fillId="2" fontId="16" numFmtId="0" xfId="0" applyAlignment="1" applyBorder="1" applyFont="1">
      <alignment horizontal="center" vertical="center"/>
    </xf>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28" fillId="0" fontId="4" numFmtId="0" xfId="0" applyBorder="1" applyFont="1"/>
    <xf borderId="13" fillId="4" fontId="14" numFmtId="0" xfId="0" applyAlignment="1" applyBorder="1" applyFont="1">
      <alignment horizontal="center" vertical="center"/>
    </xf>
    <xf borderId="29" fillId="3" fontId="2" numFmtId="0" xfId="0" applyBorder="1" applyFont="1"/>
    <xf borderId="30" fillId="3" fontId="2" numFmtId="0" xfId="0" applyBorder="1" applyFont="1"/>
    <xf borderId="31" fillId="3" fontId="2"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8</xdr:row>
      <xdr:rowOff>266700</xdr:rowOff>
    </xdr:from>
    <xdr:ext cx="1095375"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238125</xdr:colOff>
      <xdr:row>8</xdr:row>
      <xdr:rowOff>266700</xdr:rowOff>
    </xdr:from>
    <xdr:ext cx="1200150" cy="1162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8.0"/>
    <col customWidth="1" min="3" max="4" width="20.63"/>
    <col customWidth="1" min="5" max="5" width="24.25"/>
    <col customWidth="1" min="6" max="6" width="15.0"/>
    <col customWidth="1" min="7" max="7" width="28.5"/>
    <col customWidth="1" min="8" max="8" width="16.13"/>
    <col customWidth="1" min="9" max="9" width="14.13"/>
    <col customWidth="1" min="10" max="12" width="10.63"/>
    <col customWidth="1" min="13" max="13" width="64.88"/>
    <col customWidth="1" min="14" max="15" width="20.63"/>
    <col customWidth="1" min="16" max="16" width="9.38"/>
  </cols>
  <sheetData>
    <row r="1">
      <c r="I1" s="1"/>
      <c r="J1" s="1"/>
      <c r="K1" s="2"/>
      <c r="L1" s="3"/>
    </row>
    <row r="2">
      <c r="I2" s="1"/>
      <c r="J2" s="1"/>
      <c r="K2" s="2"/>
      <c r="L2" s="3"/>
    </row>
    <row r="3" ht="45.0" customHeight="1">
      <c r="B3" s="4" t="s">
        <v>0</v>
      </c>
      <c r="C3" s="5"/>
      <c r="D3" s="5"/>
      <c r="E3" s="5"/>
      <c r="F3" s="5"/>
      <c r="G3" s="5"/>
      <c r="H3" s="5"/>
      <c r="I3" s="5"/>
      <c r="J3" s="5"/>
      <c r="K3" s="5"/>
      <c r="L3" s="5"/>
      <c r="M3" s="5"/>
      <c r="N3" s="5"/>
      <c r="O3" s="6"/>
    </row>
    <row r="4">
      <c r="H4" s="7"/>
      <c r="I4" s="1"/>
      <c r="J4" s="1"/>
      <c r="K4" s="2"/>
      <c r="L4" s="3"/>
    </row>
    <row r="5" ht="39.75" customHeight="1">
      <c r="B5" s="8" t="s">
        <v>1</v>
      </c>
      <c r="C5" s="8" t="s">
        <v>2</v>
      </c>
      <c r="D5" s="9" t="s">
        <v>3</v>
      </c>
      <c r="E5" s="8" t="s">
        <v>4</v>
      </c>
      <c r="F5" s="8" t="s">
        <v>5</v>
      </c>
      <c r="G5" s="8" t="s">
        <v>6</v>
      </c>
      <c r="H5" s="8" t="s">
        <v>7</v>
      </c>
      <c r="I5" s="8" t="s">
        <v>8</v>
      </c>
      <c r="J5" s="8" t="s">
        <v>9</v>
      </c>
      <c r="K5" s="8" t="s">
        <v>10</v>
      </c>
      <c r="L5" s="8" t="s">
        <v>11</v>
      </c>
      <c r="M5" s="8" t="s">
        <v>12</v>
      </c>
      <c r="N5" s="8" t="s">
        <v>13</v>
      </c>
      <c r="O5" s="8" t="s">
        <v>14</v>
      </c>
    </row>
    <row r="6" ht="144.75" customHeight="1">
      <c r="B6" s="10" t="s">
        <v>15</v>
      </c>
      <c r="C6" s="11" t="s">
        <v>16</v>
      </c>
      <c r="D6" s="11" t="s">
        <v>17</v>
      </c>
      <c r="E6" s="11" t="s">
        <v>18</v>
      </c>
      <c r="F6" s="11" t="s">
        <v>19</v>
      </c>
      <c r="G6" s="11" t="s">
        <v>20</v>
      </c>
      <c r="H6" s="11" t="s">
        <v>21</v>
      </c>
      <c r="I6" s="11">
        <v>3.0</v>
      </c>
      <c r="J6" s="12">
        <v>46168.0</v>
      </c>
      <c r="K6" s="13" t="s">
        <v>22</v>
      </c>
      <c r="L6" s="11" t="s">
        <v>23</v>
      </c>
      <c r="M6" s="14" t="s">
        <v>24</v>
      </c>
      <c r="N6" s="11" t="s">
        <v>25</v>
      </c>
      <c r="O6" s="11" t="s">
        <v>26</v>
      </c>
    </row>
    <row r="7" ht="89.25" customHeight="1">
      <c r="B7" s="10" t="s">
        <v>27</v>
      </c>
      <c r="C7" s="11" t="s">
        <v>28</v>
      </c>
      <c r="D7" s="11" t="s">
        <v>29</v>
      </c>
      <c r="E7" s="11" t="s">
        <v>30</v>
      </c>
      <c r="F7" s="11" t="s">
        <v>31</v>
      </c>
      <c r="G7" s="11" t="s">
        <v>32</v>
      </c>
      <c r="H7" s="11" t="s">
        <v>21</v>
      </c>
      <c r="I7" s="10">
        <v>1.0</v>
      </c>
      <c r="J7" s="12">
        <v>46168.0</v>
      </c>
      <c r="K7" s="11" t="s">
        <v>22</v>
      </c>
      <c r="L7" s="11" t="s">
        <v>33</v>
      </c>
      <c r="M7" s="11" t="s">
        <v>34</v>
      </c>
      <c r="N7" s="11" t="s">
        <v>35</v>
      </c>
      <c r="O7" s="11" t="s">
        <v>28</v>
      </c>
    </row>
    <row r="8" ht="120.0" customHeight="1">
      <c r="B8" s="10" t="s">
        <v>36</v>
      </c>
      <c r="C8" s="11" t="s">
        <v>37</v>
      </c>
      <c r="D8" s="11" t="s">
        <v>38</v>
      </c>
      <c r="E8" s="11" t="s">
        <v>39</v>
      </c>
      <c r="F8" s="11" t="s">
        <v>31</v>
      </c>
      <c r="G8" s="11" t="s">
        <v>40</v>
      </c>
      <c r="H8" s="11" t="s">
        <v>41</v>
      </c>
      <c r="I8" s="11">
        <v>1.0</v>
      </c>
      <c r="J8" s="11"/>
      <c r="K8" s="11" t="s">
        <v>22</v>
      </c>
      <c r="L8" s="11" t="s">
        <v>33</v>
      </c>
      <c r="M8" s="11" t="s">
        <v>42</v>
      </c>
      <c r="N8" s="11" t="s">
        <v>43</v>
      </c>
      <c r="O8" s="11" t="s">
        <v>44</v>
      </c>
      <c r="P8" s="15"/>
    </row>
    <row r="9" ht="126.75" customHeight="1">
      <c r="B9" s="10" t="s">
        <v>45</v>
      </c>
      <c r="C9" s="11" t="s">
        <v>37</v>
      </c>
      <c r="D9" s="11" t="s">
        <v>46</v>
      </c>
      <c r="E9" s="11" t="s">
        <v>47</v>
      </c>
      <c r="F9" s="11" t="s">
        <v>31</v>
      </c>
      <c r="G9" s="11" t="s">
        <v>48</v>
      </c>
      <c r="H9" s="11" t="s">
        <v>41</v>
      </c>
      <c r="I9" s="11">
        <v>1.0</v>
      </c>
      <c r="J9" s="11"/>
      <c r="K9" s="11" t="s">
        <v>22</v>
      </c>
      <c r="L9" s="11" t="s">
        <v>33</v>
      </c>
      <c r="M9" s="11" t="s">
        <v>49</v>
      </c>
      <c r="N9" s="11" t="s">
        <v>50</v>
      </c>
      <c r="O9" s="11" t="s">
        <v>51</v>
      </c>
      <c r="P9" s="15"/>
    </row>
    <row r="10" ht="75.0" customHeight="1">
      <c r="B10" s="10" t="s">
        <v>52</v>
      </c>
      <c r="C10" s="11" t="s">
        <v>53</v>
      </c>
      <c r="D10" s="11" t="s">
        <v>54</v>
      </c>
      <c r="E10" s="11" t="s">
        <v>55</v>
      </c>
      <c r="F10" s="11" t="s">
        <v>31</v>
      </c>
      <c r="G10" s="11" t="s">
        <v>56</v>
      </c>
      <c r="H10" s="11" t="s">
        <v>57</v>
      </c>
      <c r="I10" s="11">
        <v>1.0</v>
      </c>
      <c r="J10" s="16"/>
      <c r="K10" s="11" t="s">
        <v>22</v>
      </c>
      <c r="L10" s="11" t="s">
        <v>58</v>
      </c>
      <c r="M10" s="14" t="s">
        <v>59</v>
      </c>
      <c r="N10" s="11" t="s">
        <v>60</v>
      </c>
      <c r="O10" s="11" t="s">
        <v>61</v>
      </c>
      <c r="P10" s="15"/>
    </row>
    <row r="11" ht="73.5" customHeight="1">
      <c r="B11" s="10" t="s">
        <v>62</v>
      </c>
      <c r="C11" s="11" t="s">
        <v>53</v>
      </c>
      <c r="D11" s="11" t="s">
        <v>63</v>
      </c>
      <c r="E11" s="11" t="s">
        <v>64</v>
      </c>
      <c r="F11" s="11" t="s">
        <v>31</v>
      </c>
      <c r="G11" s="11" t="s">
        <v>65</v>
      </c>
      <c r="H11" s="11" t="s">
        <v>57</v>
      </c>
      <c r="I11" s="10">
        <v>1.0</v>
      </c>
      <c r="J11" s="16"/>
      <c r="K11" s="11" t="s">
        <v>22</v>
      </c>
      <c r="L11" s="11" t="s">
        <v>58</v>
      </c>
      <c r="M11" s="14" t="s">
        <v>66</v>
      </c>
      <c r="N11" s="11" t="s">
        <v>67</v>
      </c>
      <c r="O11" s="11" t="s">
        <v>68</v>
      </c>
    </row>
    <row r="12" ht="107.25" customHeight="1">
      <c r="B12" s="10" t="s">
        <v>69</v>
      </c>
      <c r="C12" s="11" t="s">
        <v>70</v>
      </c>
      <c r="D12" s="11" t="s">
        <v>71</v>
      </c>
      <c r="E12" s="11" t="s">
        <v>72</v>
      </c>
      <c r="F12" s="11" t="s">
        <v>31</v>
      </c>
      <c r="G12" s="11" t="s">
        <v>73</v>
      </c>
      <c r="H12" s="11" t="s">
        <v>57</v>
      </c>
      <c r="J12" s="16"/>
      <c r="K12" s="11" t="s">
        <v>22</v>
      </c>
      <c r="L12" s="11" t="s">
        <v>58</v>
      </c>
      <c r="M12" s="14" t="s">
        <v>74</v>
      </c>
      <c r="N12" s="11" t="s">
        <v>75</v>
      </c>
      <c r="O12" s="11" t="s">
        <v>76</v>
      </c>
    </row>
    <row r="13" ht="53.25" customHeight="1">
      <c r="B13" s="10" t="s">
        <v>77</v>
      </c>
      <c r="C13" s="11"/>
      <c r="D13" s="11"/>
      <c r="E13" s="11"/>
      <c r="F13" s="11"/>
      <c r="G13" s="11"/>
      <c r="H13" s="11"/>
      <c r="I13" s="10"/>
      <c r="J13" s="16"/>
      <c r="K13" s="11"/>
      <c r="L13" s="17"/>
      <c r="M13" s="18" t="s">
        <v>78</v>
      </c>
      <c r="N13" s="16"/>
      <c r="O13" s="19"/>
    </row>
    <row r="14" ht="39.75" customHeight="1">
      <c r="B14" s="10" t="s">
        <v>79</v>
      </c>
      <c r="C14" s="19"/>
      <c r="D14" s="19"/>
      <c r="E14" s="19"/>
      <c r="F14" s="19"/>
      <c r="G14" s="19"/>
      <c r="H14" s="19"/>
      <c r="I14" s="13"/>
      <c r="J14" s="16"/>
      <c r="K14" s="13"/>
      <c r="L14" s="13"/>
      <c r="M14" s="16"/>
      <c r="N14" s="16"/>
      <c r="O14" s="16"/>
    </row>
    <row r="15" ht="39.75" customHeight="1">
      <c r="B15" s="10" t="s">
        <v>80</v>
      </c>
      <c r="C15" s="19"/>
      <c r="D15" s="19"/>
      <c r="E15" s="19"/>
      <c r="F15" s="19"/>
      <c r="G15" s="19"/>
      <c r="H15" s="19"/>
      <c r="I15" s="13"/>
      <c r="J15" s="16"/>
      <c r="K15" s="13"/>
      <c r="L15" s="13"/>
      <c r="M15" s="19"/>
      <c r="N15" s="19"/>
      <c r="O15" s="19"/>
    </row>
    <row r="16" ht="39.75" customHeight="1">
      <c r="B16" s="10" t="s">
        <v>81</v>
      </c>
      <c r="C16" s="19"/>
      <c r="D16" s="19"/>
      <c r="E16" s="19"/>
      <c r="F16" s="19"/>
      <c r="G16" s="19"/>
      <c r="H16" s="19"/>
      <c r="I16" s="13"/>
      <c r="J16" s="16"/>
      <c r="K16" s="13"/>
      <c r="L16" s="13"/>
      <c r="M16" s="19"/>
      <c r="N16" s="19"/>
      <c r="O16" s="19"/>
    </row>
    <row r="17" ht="39.75" customHeight="1">
      <c r="B17" s="10" t="s">
        <v>82</v>
      </c>
      <c r="C17" s="19"/>
      <c r="D17" s="19"/>
      <c r="E17" s="19"/>
      <c r="F17" s="19"/>
      <c r="G17" s="19"/>
      <c r="H17" s="19"/>
      <c r="I17" s="13"/>
      <c r="J17" s="16"/>
      <c r="K17" s="13"/>
      <c r="L17" s="13"/>
      <c r="M17" s="19"/>
      <c r="N17" s="19"/>
      <c r="O17" s="19"/>
    </row>
    <row r="18" ht="39.75" customHeight="1">
      <c r="B18" s="10" t="s">
        <v>83</v>
      </c>
      <c r="C18" s="19"/>
      <c r="D18" s="19"/>
      <c r="E18" s="19"/>
      <c r="F18" s="19"/>
      <c r="G18" s="19"/>
      <c r="H18" s="19"/>
      <c r="I18" s="13"/>
      <c r="J18" s="16"/>
      <c r="K18" s="13"/>
      <c r="L18" s="13"/>
      <c r="M18" s="19"/>
      <c r="N18" s="19"/>
      <c r="O18" s="19"/>
    </row>
    <row r="19" ht="39.75" customHeight="1">
      <c r="B19" s="10" t="s">
        <v>84</v>
      </c>
      <c r="C19" s="19"/>
      <c r="D19" s="19"/>
      <c r="E19" s="19"/>
      <c r="F19" s="19"/>
      <c r="G19" s="19"/>
      <c r="H19" s="19"/>
      <c r="I19" s="13"/>
      <c r="J19" s="16"/>
      <c r="K19" s="13"/>
      <c r="L19" s="13"/>
      <c r="M19" s="19"/>
      <c r="N19" s="19"/>
      <c r="O19" s="19"/>
    </row>
    <row r="20" ht="39.75" customHeight="1">
      <c r="B20" s="20"/>
      <c r="C20" s="19"/>
      <c r="D20" s="19"/>
      <c r="E20" s="19"/>
      <c r="F20" s="19"/>
      <c r="G20" s="19"/>
      <c r="H20" s="19"/>
      <c r="I20" s="13"/>
      <c r="J20" s="16"/>
      <c r="K20" s="13"/>
      <c r="L20" s="13"/>
      <c r="M20" s="19"/>
      <c r="N20" s="19"/>
      <c r="O20" s="19"/>
    </row>
    <row r="21" ht="19.5" customHeight="1">
      <c r="B21" s="20"/>
      <c r="C21" s="19"/>
      <c r="D21" s="19"/>
      <c r="E21" s="19"/>
      <c r="F21" s="19"/>
      <c r="G21" s="19"/>
      <c r="H21" s="19"/>
      <c r="I21" s="13"/>
      <c r="J21" s="16"/>
      <c r="K21" s="13"/>
      <c r="L21" s="13"/>
      <c r="M21" s="19"/>
      <c r="N21" s="19"/>
      <c r="O21" s="19"/>
    </row>
    <row r="22" ht="19.5" customHeight="1">
      <c r="B22" s="21"/>
      <c r="C22" s="21"/>
      <c r="D22" s="21"/>
      <c r="E22" s="21"/>
      <c r="F22" s="21"/>
      <c r="G22" s="21"/>
      <c r="H22" s="21"/>
      <c r="I22" s="22"/>
      <c r="J22" s="22"/>
      <c r="K22" s="23"/>
      <c r="L22" s="22"/>
      <c r="M22" s="21"/>
      <c r="N22" s="21"/>
      <c r="O22" s="21"/>
    </row>
    <row r="23" ht="19.5" customHeight="1">
      <c r="B23" s="21"/>
      <c r="C23" s="21"/>
      <c r="D23" s="21"/>
      <c r="E23" s="21"/>
      <c r="F23" s="21"/>
      <c r="G23" s="21"/>
      <c r="H23" s="21"/>
      <c r="I23" s="24"/>
      <c r="J23" s="24"/>
      <c r="K23" s="25"/>
      <c r="L23" s="22"/>
      <c r="M23" s="21"/>
      <c r="N23" s="21"/>
      <c r="O23" s="21"/>
    </row>
    <row r="24" ht="19.5" customHeight="1">
      <c r="B24" s="21"/>
      <c r="C24" s="21"/>
      <c r="D24" s="21"/>
      <c r="E24" s="21"/>
      <c r="F24" s="21"/>
      <c r="G24" s="21"/>
      <c r="H24" s="21"/>
      <c r="I24" s="24"/>
      <c r="J24" s="24"/>
      <c r="K24" s="25"/>
      <c r="L24" s="22"/>
      <c r="M24" s="21"/>
      <c r="N24" s="21"/>
      <c r="O24" s="21"/>
    </row>
    <row r="25" ht="51.0" customHeight="1">
      <c r="B25" s="10"/>
      <c r="C25" s="11"/>
      <c r="D25" s="11"/>
      <c r="E25" s="11"/>
      <c r="F25" s="11"/>
      <c r="G25" s="11"/>
      <c r="H25" s="11"/>
      <c r="I25" s="10"/>
      <c r="J25" s="11"/>
      <c r="K25" s="11" t="s">
        <v>22</v>
      </c>
      <c r="L25" s="22"/>
      <c r="M25" s="21"/>
      <c r="N25" s="21"/>
      <c r="O25" s="21"/>
    </row>
    <row r="26" ht="59.25" customHeight="1">
      <c r="B26" s="10"/>
      <c r="C26" s="11"/>
      <c r="D26" s="11"/>
      <c r="E26" s="11"/>
      <c r="F26" s="11"/>
      <c r="G26" s="11"/>
      <c r="H26" s="11"/>
      <c r="I26" s="11"/>
      <c r="J26" s="11"/>
      <c r="K26" s="11"/>
      <c r="L26" s="22"/>
      <c r="M26" s="21"/>
      <c r="N26" s="21"/>
      <c r="O26" s="21"/>
    </row>
    <row r="27" ht="19.5" customHeight="1">
      <c r="B27" s="21"/>
      <c r="C27" s="21"/>
      <c r="D27" s="21"/>
      <c r="E27" s="21"/>
      <c r="F27" s="21"/>
      <c r="G27" s="21"/>
      <c r="H27" s="21"/>
      <c r="I27" s="24"/>
      <c r="J27" s="24"/>
      <c r="K27" s="26"/>
      <c r="L27" s="22"/>
      <c r="M27" s="21"/>
      <c r="N27" s="21"/>
      <c r="O27" s="21"/>
    </row>
    <row r="28" ht="19.5" customHeight="1">
      <c r="B28" s="21"/>
      <c r="C28" s="21"/>
      <c r="D28" s="21"/>
      <c r="E28" s="21"/>
      <c r="F28" s="21"/>
      <c r="G28" s="21"/>
      <c r="H28" s="21"/>
      <c r="I28" s="24"/>
      <c r="J28" s="24"/>
      <c r="K28" s="25"/>
      <c r="L28" s="22"/>
      <c r="M28" s="21"/>
      <c r="N28" s="21"/>
      <c r="O28" s="21"/>
    </row>
    <row r="29" ht="19.5" customHeight="1">
      <c r="B29" s="21"/>
      <c r="C29" s="21"/>
      <c r="D29" s="21"/>
      <c r="E29" s="21"/>
      <c r="F29" s="21"/>
      <c r="G29" s="21"/>
      <c r="H29" s="21"/>
      <c r="I29" s="24"/>
      <c r="J29" s="24"/>
      <c r="K29" s="25"/>
      <c r="L29" s="22"/>
      <c r="M29" s="21"/>
      <c r="N29" s="21"/>
      <c r="O29" s="21"/>
    </row>
    <row r="30" ht="19.5" customHeight="1">
      <c r="B30" s="21"/>
      <c r="C30" s="21"/>
      <c r="D30" s="21"/>
      <c r="E30" s="21"/>
      <c r="F30" s="21"/>
      <c r="G30" s="21"/>
      <c r="H30" s="21"/>
      <c r="I30" s="24"/>
      <c r="J30" s="24"/>
      <c r="K30" s="25"/>
      <c r="L30" s="22"/>
      <c r="M30" s="21"/>
      <c r="N30" s="21"/>
      <c r="O30" s="21"/>
    </row>
    <row r="31" ht="19.5" customHeight="1">
      <c r="B31" s="21"/>
      <c r="C31" s="21"/>
      <c r="D31" s="21"/>
      <c r="E31" s="21"/>
      <c r="F31" s="21"/>
      <c r="G31" s="21"/>
      <c r="H31" s="21"/>
      <c r="I31" s="24"/>
      <c r="J31" s="24"/>
      <c r="K31" s="25" t="s">
        <v>22</v>
      </c>
      <c r="L31" s="24" t="s">
        <v>58</v>
      </c>
      <c r="M31" s="27"/>
      <c r="N31" s="21"/>
      <c r="O31" s="21"/>
    </row>
    <row r="32" ht="19.5" customHeight="1">
      <c r="B32" s="21"/>
      <c r="C32" s="21"/>
      <c r="D32" s="21"/>
      <c r="E32" s="21"/>
      <c r="F32" s="21"/>
      <c r="G32" s="21"/>
      <c r="H32" s="21"/>
      <c r="I32" s="24"/>
      <c r="J32" s="24"/>
      <c r="K32" s="25" t="s">
        <v>85</v>
      </c>
      <c r="L32" s="24" t="s">
        <v>33</v>
      </c>
      <c r="M32" s="27"/>
      <c r="N32" s="21"/>
      <c r="O32" s="21"/>
    </row>
    <row r="33" ht="19.5" customHeight="1">
      <c r="B33" s="21"/>
      <c r="C33" s="21"/>
      <c r="D33" s="21"/>
      <c r="E33" s="21"/>
      <c r="F33" s="21"/>
      <c r="G33" s="21"/>
      <c r="H33" s="21"/>
      <c r="I33" s="24"/>
      <c r="J33" s="24"/>
      <c r="K33" s="25" t="s">
        <v>86</v>
      </c>
      <c r="L33" s="24" t="s">
        <v>23</v>
      </c>
      <c r="M33" s="27"/>
      <c r="N33" s="21"/>
      <c r="O33" s="21"/>
    </row>
    <row r="34" ht="19.5" customHeight="1">
      <c r="B34" s="21"/>
      <c r="C34" s="21"/>
      <c r="D34" s="21"/>
      <c r="E34" s="21"/>
      <c r="F34" s="21"/>
      <c r="G34" s="21"/>
      <c r="H34" s="21"/>
      <c r="I34" s="24"/>
      <c r="J34" s="24"/>
      <c r="K34" s="25"/>
      <c r="L34" s="24" t="s">
        <v>87</v>
      </c>
      <c r="M34" s="27"/>
      <c r="N34" s="21"/>
      <c r="O34" s="21"/>
    </row>
    <row r="35" ht="19.5" customHeight="1">
      <c r="B35" s="21"/>
      <c r="C35" s="21"/>
      <c r="D35" s="21"/>
      <c r="E35" s="21"/>
      <c r="F35" s="21"/>
      <c r="G35" s="21"/>
      <c r="H35" s="21"/>
      <c r="I35" s="24"/>
      <c r="J35" s="24"/>
      <c r="K35" s="25"/>
      <c r="L35" s="22"/>
      <c r="M35" s="21"/>
      <c r="N35" s="21"/>
      <c r="O35" s="21"/>
    </row>
    <row r="36" ht="15.75" customHeight="1">
      <c r="I36" s="1"/>
      <c r="J36" s="1"/>
      <c r="K36" s="25"/>
      <c r="L36" s="22"/>
    </row>
    <row r="37" ht="15.75" customHeight="1">
      <c r="I37" s="1"/>
      <c r="J37" s="1"/>
      <c r="K37" s="2"/>
      <c r="L37" s="3"/>
    </row>
    <row r="38" ht="15.75" customHeight="1">
      <c r="I38" s="1"/>
      <c r="J38" s="1"/>
      <c r="K38" s="2"/>
      <c r="L38" s="3"/>
    </row>
    <row r="39" ht="15.75" customHeight="1">
      <c r="I39" s="1"/>
      <c r="J39" s="1"/>
      <c r="K39" s="2"/>
      <c r="L39" s="3"/>
    </row>
    <row r="40" ht="15.75" customHeight="1">
      <c r="I40" s="1"/>
      <c r="J40" s="1"/>
      <c r="K40" s="2"/>
      <c r="L40" s="3"/>
    </row>
    <row r="41" ht="15.75" customHeight="1">
      <c r="I41" s="1"/>
      <c r="J41" s="1"/>
      <c r="K41" s="2"/>
      <c r="L41" s="3"/>
    </row>
    <row r="42" ht="15.75" customHeight="1">
      <c r="I42" s="1"/>
      <c r="J42" s="1"/>
      <c r="K42" s="2"/>
      <c r="L42" s="3"/>
    </row>
    <row r="43" ht="15.75" customHeight="1">
      <c r="I43" s="1"/>
      <c r="J43" s="1"/>
      <c r="K43" s="2"/>
      <c r="L43" s="3"/>
    </row>
    <row r="44" ht="15.75" customHeight="1">
      <c r="I44" s="1"/>
      <c r="J44" s="1"/>
      <c r="K44" s="2"/>
      <c r="L44" s="3"/>
    </row>
    <row r="45" ht="15.75" customHeight="1">
      <c r="I45" s="1"/>
      <c r="J45" s="1"/>
      <c r="K45" s="2"/>
      <c r="L45" s="3"/>
    </row>
    <row r="46" ht="15.75" customHeight="1">
      <c r="I46" s="1"/>
      <c r="J46" s="1"/>
      <c r="K46" s="2"/>
      <c r="L46" s="3"/>
    </row>
    <row r="47" ht="15.75" customHeight="1">
      <c r="I47" s="1"/>
      <c r="J47" s="1"/>
      <c r="K47" s="2"/>
      <c r="L47" s="3"/>
    </row>
    <row r="48" ht="15.75" customHeight="1">
      <c r="I48" s="1"/>
      <c r="J48" s="1"/>
      <c r="K48" s="2"/>
      <c r="L48" s="3"/>
    </row>
    <row r="49" ht="15.75" customHeight="1">
      <c r="I49" s="1"/>
      <c r="J49" s="1"/>
      <c r="K49" s="2"/>
      <c r="L49" s="3"/>
    </row>
    <row r="50" ht="15.75" customHeight="1">
      <c r="I50" s="1"/>
      <c r="J50" s="1"/>
      <c r="K50" s="2"/>
      <c r="L50" s="3"/>
    </row>
    <row r="51" ht="15.75" customHeight="1">
      <c r="I51" s="1"/>
      <c r="J51" s="1"/>
      <c r="K51" s="2"/>
      <c r="L51" s="3"/>
    </row>
    <row r="52" ht="15.75" customHeight="1">
      <c r="I52" s="1"/>
      <c r="J52" s="1"/>
      <c r="K52" s="2"/>
      <c r="L52" s="3"/>
    </row>
    <row r="53" ht="15.75" customHeight="1">
      <c r="I53" s="1"/>
      <c r="J53" s="1"/>
      <c r="K53" s="2"/>
      <c r="L53" s="3"/>
    </row>
    <row r="54" ht="15.75" customHeight="1">
      <c r="I54" s="1"/>
      <c r="J54" s="1"/>
      <c r="K54" s="2"/>
      <c r="L54" s="3"/>
    </row>
    <row r="55" ht="15.75" customHeight="1">
      <c r="I55" s="1"/>
      <c r="J55" s="1"/>
      <c r="K55" s="2"/>
      <c r="L55" s="3"/>
    </row>
    <row r="56" ht="15.75" customHeight="1">
      <c r="I56" s="1"/>
      <c r="J56" s="1"/>
      <c r="K56" s="2"/>
      <c r="L56" s="3"/>
    </row>
    <row r="57" ht="15.75" customHeight="1">
      <c r="I57" s="1"/>
      <c r="J57" s="1"/>
      <c r="K57" s="2"/>
      <c r="L57" s="3"/>
    </row>
    <row r="58" ht="15.75" customHeight="1">
      <c r="I58" s="1"/>
      <c r="J58" s="1"/>
      <c r="K58" s="2"/>
      <c r="L58" s="3"/>
    </row>
    <row r="59" ht="15.75" customHeight="1">
      <c r="I59" s="1"/>
      <c r="J59" s="1"/>
      <c r="K59" s="2"/>
      <c r="L59" s="3"/>
    </row>
    <row r="60" ht="15.75" customHeight="1">
      <c r="I60" s="1"/>
      <c r="J60" s="1"/>
      <c r="K60" s="2"/>
      <c r="L60" s="3"/>
    </row>
    <row r="61" ht="15.75" customHeight="1">
      <c r="I61" s="1"/>
      <c r="J61" s="1"/>
      <c r="K61" s="2"/>
      <c r="L61" s="3"/>
    </row>
    <row r="62" ht="15.75" customHeight="1">
      <c r="I62" s="1"/>
      <c r="J62" s="1"/>
      <c r="K62" s="2"/>
      <c r="L62" s="3"/>
    </row>
    <row r="63" ht="15.75" customHeight="1">
      <c r="I63" s="1"/>
      <c r="J63" s="1"/>
      <c r="K63" s="2"/>
      <c r="L63" s="3"/>
    </row>
    <row r="64" ht="15.75" customHeight="1">
      <c r="I64" s="1"/>
      <c r="J64" s="1"/>
      <c r="K64" s="2"/>
      <c r="L64" s="3"/>
    </row>
    <row r="65" ht="15.75" customHeight="1">
      <c r="I65" s="1"/>
      <c r="J65" s="1"/>
      <c r="K65" s="2"/>
      <c r="L65" s="3"/>
    </row>
    <row r="66" ht="15.75" customHeight="1">
      <c r="I66" s="1"/>
      <c r="J66" s="1"/>
      <c r="K66" s="2"/>
      <c r="L66" s="3"/>
    </row>
    <row r="67" ht="15.75" customHeight="1">
      <c r="I67" s="1"/>
      <c r="J67" s="1"/>
      <c r="K67" s="2"/>
      <c r="L67" s="3"/>
    </row>
    <row r="68" ht="15.75" customHeight="1">
      <c r="I68" s="1"/>
      <c r="J68" s="1"/>
      <c r="K68" s="2"/>
      <c r="L68" s="3"/>
    </row>
    <row r="69" ht="15.75" customHeight="1">
      <c r="I69" s="1"/>
      <c r="J69" s="1"/>
      <c r="K69" s="2"/>
      <c r="L69" s="3"/>
    </row>
    <row r="70" ht="15.75" customHeight="1">
      <c r="I70" s="1"/>
      <c r="J70" s="1"/>
      <c r="K70" s="2"/>
      <c r="L70" s="3"/>
    </row>
    <row r="71" ht="15.75" customHeight="1">
      <c r="I71" s="1"/>
      <c r="J71" s="1"/>
      <c r="K71" s="2"/>
      <c r="L71" s="3"/>
    </row>
    <row r="72" ht="15.75" customHeight="1">
      <c r="I72" s="1"/>
      <c r="J72" s="1"/>
      <c r="K72" s="2"/>
      <c r="L72" s="3"/>
    </row>
    <row r="73" ht="15.75" customHeight="1">
      <c r="I73" s="1"/>
      <c r="J73" s="1"/>
      <c r="K73" s="2"/>
      <c r="L73" s="3"/>
    </row>
    <row r="74" ht="15.75" customHeight="1">
      <c r="I74" s="1"/>
      <c r="J74" s="1"/>
      <c r="K74" s="2"/>
      <c r="L74" s="3"/>
    </row>
    <row r="75" ht="15.75" customHeight="1">
      <c r="I75" s="1"/>
      <c r="J75" s="1"/>
      <c r="K75" s="2"/>
      <c r="L75" s="3"/>
    </row>
    <row r="76" ht="15.75" customHeight="1">
      <c r="I76" s="1"/>
      <c r="J76" s="1"/>
      <c r="K76" s="2"/>
      <c r="L76" s="3"/>
    </row>
    <row r="77" ht="15.75" customHeight="1">
      <c r="I77" s="1"/>
      <c r="J77" s="1"/>
      <c r="K77" s="2"/>
      <c r="L77" s="3"/>
    </row>
    <row r="78" ht="15.75" customHeight="1">
      <c r="I78" s="1"/>
      <c r="J78" s="1"/>
      <c r="K78" s="2"/>
      <c r="L78" s="3"/>
    </row>
    <row r="79" ht="15.75" customHeight="1">
      <c r="I79" s="1"/>
      <c r="J79" s="1"/>
      <c r="K79" s="2"/>
      <c r="L79" s="3"/>
    </row>
    <row r="80" ht="15.75" customHeight="1">
      <c r="I80" s="1"/>
      <c r="J80" s="1"/>
      <c r="K80" s="2"/>
      <c r="L80" s="3"/>
    </row>
    <row r="81" ht="15.75" customHeight="1">
      <c r="I81" s="1"/>
      <c r="J81" s="1"/>
      <c r="K81" s="2"/>
      <c r="L81" s="3"/>
    </row>
    <row r="82" ht="15.75" customHeight="1">
      <c r="I82" s="1"/>
      <c r="J82" s="1"/>
      <c r="K82" s="2"/>
      <c r="L82" s="3"/>
    </row>
    <row r="83" ht="15.75" customHeight="1">
      <c r="I83" s="1"/>
      <c r="J83" s="1"/>
      <c r="K83" s="2"/>
      <c r="L83" s="3"/>
    </row>
    <row r="84" ht="15.75" customHeight="1">
      <c r="I84" s="1"/>
      <c r="J84" s="1"/>
      <c r="K84" s="2"/>
      <c r="L84" s="3"/>
    </row>
    <row r="85" ht="15.75" customHeight="1">
      <c r="I85" s="1"/>
      <c r="J85" s="1"/>
      <c r="K85" s="2"/>
      <c r="L85" s="3"/>
    </row>
    <row r="86" ht="15.75" customHeight="1">
      <c r="I86" s="1"/>
      <c r="J86" s="1"/>
      <c r="K86" s="2"/>
      <c r="L86" s="3"/>
    </row>
    <row r="87" ht="15.75" customHeight="1">
      <c r="I87" s="1"/>
      <c r="J87" s="1"/>
      <c r="K87" s="2"/>
      <c r="L87" s="3"/>
    </row>
    <row r="88" ht="15.75" customHeight="1">
      <c r="I88" s="1"/>
      <c r="J88" s="1"/>
      <c r="K88" s="2"/>
      <c r="L88" s="3"/>
    </row>
    <row r="89" ht="15.75" customHeight="1">
      <c r="I89" s="1"/>
      <c r="J89" s="1"/>
      <c r="K89" s="2"/>
      <c r="L89" s="3"/>
    </row>
    <row r="90" ht="15.75" customHeight="1">
      <c r="I90" s="1"/>
      <c r="J90" s="1"/>
      <c r="K90" s="2"/>
      <c r="L90" s="3"/>
    </row>
    <row r="91" ht="15.75" customHeight="1">
      <c r="I91" s="1"/>
      <c r="J91" s="1"/>
      <c r="K91" s="2"/>
      <c r="L91" s="3"/>
    </row>
    <row r="92" ht="15.75" customHeight="1">
      <c r="I92" s="1"/>
      <c r="J92" s="1"/>
      <c r="K92" s="2"/>
      <c r="L92" s="3"/>
    </row>
    <row r="93" ht="15.75" customHeight="1">
      <c r="I93" s="1"/>
      <c r="J93" s="1"/>
      <c r="K93" s="2"/>
      <c r="L93" s="3"/>
    </row>
    <row r="94" ht="15.75" customHeight="1">
      <c r="I94" s="1"/>
      <c r="J94" s="1"/>
      <c r="K94" s="2"/>
      <c r="L94" s="3"/>
    </row>
    <row r="95" ht="15.75" customHeight="1">
      <c r="I95" s="1"/>
      <c r="J95" s="1"/>
      <c r="K95" s="2"/>
      <c r="L95" s="3"/>
    </row>
    <row r="96" ht="15.75" customHeight="1">
      <c r="I96" s="1"/>
      <c r="J96" s="1"/>
      <c r="K96" s="2"/>
      <c r="L96" s="3"/>
    </row>
    <row r="97" ht="15.75" customHeight="1">
      <c r="I97" s="1"/>
      <c r="J97" s="1"/>
      <c r="K97" s="2"/>
      <c r="L97" s="3"/>
    </row>
    <row r="98" ht="15.75" customHeight="1">
      <c r="I98" s="1"/>
      <c r="J98" s="1"/>
      <c r="K98" s="2"/>
      <c r="L98" s="3"/>
    </row>
    <row r="99" ht="15.75" customHeight="1">
      <c r="I99" s="1"/>
      <c r="J99" s="1"/>
      <c r="K99" s="2"/>
      <c r="L99" s="3"/>
    </row>
    <row r="100" ht="15.75" customHeight="1">
      <c r="I100" s="1"/>
      <c r="J100" s="1"/>
      <c r="K100" s="2"/>
      <c r="L100" s="3"/>
    </row>
    <row r="101" ht="15.75" customHeight="1">
      <c r="I101" s="1"/>
      <c r="J101" s="1"/>
      <c r="K101" s="2"/>
      <c r="L101" s="3"/>
    </row>
    <row r="102" ht="15.75" customHeight="1">
      <c r="I102" s="1"/>
      <c r="J102" s="1"/>
      <c r="K102" s="2"/>
      <c r="L102" s="3"/>
    </row>
    <row r="103" ht="15.75" customHeight="1">
      <c r="I103" s="1"/>
      <c r="J103" s="1"/>
      <c r="K103" s="2"/>
      <c r="L103" s="3"/>
    </row>
    <row r="104" ht="15.75" customHeight="1">
      <c r="I104" s="1"/>
      <c r="J104" s="1"/>
      <c r="K104" s="2"/>
      <c r="L104" s="3"/>
    </row>
    <row r="105" ht="15.75" customHeight="1">
      <c r="I105" s="1"/>
      <c r="J105" s="1"/>
      <c r="K105" s="2"/>
      <c r="L105" s="3"/>
    </row>
    <row r="106" ht="15.75" customHeight="1">
      <c r="I106" s="1"/>
      <c r="J106" s="1"/>
      <c r="K106" s="2"/>
      <c r="L106" s="3"/>
    </row>
    <row r="107" ht="15.75" customHeight="1">
      <c r="I107" s="1"/>
      <c r="J107" s="1"/>
      <c r="K107" s="2"/>
      <c r="L107" s="3"/>
    </row>
    <row r="108" ht="15.75" customHeight="1">
      <c r="I108" s="1"/>
      <c r="J108" s="1"/>
      <c r="K108" s="2"/>
      <c r="L108" s="3"/>
    </row>
    <row r="109" ht="15.75" customHeight="1">
      <c r="I109" s="1"/>
      <c r="J109" s="1"/>
      <c r="K109" s="2"/>
      <c r="L109" s="3"/>
    </row>
    <row r="110" ht="15.75" customHeight="1">
      <c r="I110" s="1"/>
      <c r="J110" s="1"/>
      <c r="K110" s="2"/>
      <c r="L110" s="3"/>
    </row>
    <row r="111" ht="15.75" customHeight="1">
      <c r="I111" s="1"/>
      <c r="J111" s="1"/>
      <c r="K111" s="2"/>
      <c r="L111" s="3"/>
    </row>
    <row r="112" ht="15.75" customHeight="1">
      <c r="I112" s="1"/>
      <c r="J112" s="1"/>
      <c r="K112" s="2"/>
      <c r="L112" s="3"/>
    </row>
    <row r="113" ht="15.75" customHeight="1">
      <c r="I113" s="1"/>
      <c r="J113" s="1"/>
      <c r="K113" s="2"/>
      <c r="L113" s="3"/>
    </row>
    <row r="114" ht="15.75" customHeight="1">
      <c r="I114" s="1"/>
      <c r="J114" s="1"/>
      <c r="K114" s="2"/>
      <c r="L114" s="3"/>
    </row>
    <row r="115" ht="15.75" customHeight="1">
      <c r="I115" s="1"/>
      <c r="J115" s="1"/>
      <c r="K115" s="2"/>
      <c r="L115" s="3"/>
    </row>
    <row r="116" ht="15.75" customHeight="1">
      <c r="I116" s="1"/>
      <c r="J116" s="1"/>
      <c r="K116" s="2"/>
      <c r="L116" s="3"/>
    </row>
    <row r="117" ht="15.75" customHeight="1">
      <c r="I117" s="1"/>
      <c r="J117" s="1"/>
      <c r="K117" s="2"/>
      <c r="L117" s="3"/>
    </row>
    <row r="118" ht="15.75" customHeight="1">
      <c r="I118" s="1"/>
      <c r="J118" s="1"/>
      <c r="K118" s="2"/>
      <c r="L118" s="3"/>
    </row>
    <row r="119" ht="15.75" customHeight="1">
      <c r="I119" s="1"/>
      <c r="J119" s="1"/>
      <c r="K119" s="2"/>
      <c r="L119" s="3"/>
    </row>
    <row r="120" ht="15.75" customHeight="1">
      <c r="I120" s="1"/>
      <c r="J120" s="1"/>
      <c r="K120" s="2"/>
      <c r="L120" s="3"/>
    </row>
    <row r="121" ht="15.75" customHeight="1">
      <c r="I121" s="1"/>
      <c r="J121" s="1"/>
      <c r="K121" s="2"/>
      <c r="L121" s="3"/>
    </row>
    <row r="122" ht="15.75" customHeight="1">
      <c r="I122" s="1"/>
      <c r="J122" s="1"/>
      <c r="K122" s="2"/>
      <c r="L122" s="3"/>
    </row>
    <row r="123" ht="15.75" customHeight="1">
      <c r="I123" s="1"/>
      <c r="J123" s="1"/>
      <c r="K123" s="2"/>
      <c r="L123" s="3"/>
    </row>
    <row r="124" ht="15.75" customHeight="1">
      <c r="I124" s="1"/>
      <c r="J124" s="1"/>
      <c r="K124" s="2"/>
      <c r="L124" s="3"/>
    </row>
    <row r="125" ht="15.75" customHeight="1">
      <c r="I125" s="1"/>
      <c r="J125" s="1"/>
      <c r="K125" s="2"/>
      <c r="L125" s="3"/>
    </row>
    <row r="126" ht="15.75" customHeight="1">
      <c r="I126" s="1"/>
      <c r="J126" s="1"/>
      <c r="K126" s="2"/>
      <c r="L126" s="3"/>
    </row>
    <row r="127" ht="15.75" customHeight="1">
      <c r="I127" s="1"/>
      <c r="J127" s="1"/>
      <c r="K127" s="2"/>
      <c r="L127" s="3"/>
    </row>
    <row r="128" ht="15.75" customHeight="1">
      <c r="I128" s="1"/>
      <c r="J128" s="1"/>
      <c r="K128" s="2"/>
      <c r="L128" s="3"/>
    </row>
    <row r="129" ht="15.75" customHeight="1">
      <c r="I129" s="1"/>
      <c r="J129" s="1"/>
      <c r="K129" s="2"/>
      <c r="L129" s="3"/>
    </row>
    <row r="130" ht="15.75" customHeight="1">
      <c r="I130" s="1"/>
      <c r="J130" s="1"/>
      <c r="K130" s="2"/>
      <c r="L130" s="3"/>
    </row>
    <row r="131" ht="15.75" customHeight="1">
      <c r="I131" s="1"/>
      <c r="J131" s="1"/>
      <c r="K131" s="2"/>
      <c r="L131" s="3"/>
    </row>
    <row r="132" ht="15.75" customHeight="1">
      <c r="I132" s="1"/>
      <c r="J132" s="1"/>
      <c r="K132" s="2"/>
      <c r="L132" s="3"/>
    </row>
    <row r="133" ht="15.75" customHeight="1">
      <c r="I133" s="1"/>
      <c r="J133" s="1"/>
      <c r="K133" s="2"/>
      <c r="L133" s="3"/>
    </row>
    <row r="134" ht="15.75" customHeight="1">
      <c r="I134" s="1"/>
      <c r="J134" s="1"/>
      <c r="K134" s="2"/>
      <c r="L134" s="3"/>
    </row>
    <row r="135" ht="15.75" customHeight="1">
      <c r="I135" s="1"/>
      <c r="J135" s="1"/>
      <c r="K135" s="2"/>
      <c r="L135" s="3"/>
    </row>
    <row r="136" ht="15.75" customHeight="1">
      <c r="I136" s="1"/>
      <c r="J136" s="1"/>
      <c r="K136" s="2"/>
      <c r="L136" s="3"/>
    </row>
    <row r="137" ht="15.75" customHeight="1">
      <c r="I137" s="1"/>
      <c r="J137" s="1"/>
      <c r="K137" s="2"/>
      <c r="L137" s="3"/>
    </row>
    <row r="138" ht="15.75" customHeight="1">
      <c r="I138" s="1"/>
      <c r="J138" s="1"/>
      <c r="K138" s="2"/>
      <c r="L138" s="3"/>
    </row>
    <row r="139" ht="15.75" customHeight="1">
      <c r="I139" s="1"/>
      <c r="J139" s="1"/>
      <c r="K139" s="2"/>
      <c r="L139" s="3"/>
    </row>
    <row r="140" ht="15.75" customHeight="1">
      <c r="I140" s="1"/>
      <c r="J140" s="1"/>
      <c r="K140" s="2"/>
      <c r="L140" s="3"/>
    </row>
    <row r="141" ht="15.75" customHeight="1">
      <c r="I141" s="1"/>
      <c r="J141" s="1"/>
      <c r="K141" s="2"/>
      <c r="L141" s="3"/>
    </row>
    <row r="142" ht="15.75" customHeight="1">
      <c r="I142" s="1"/>
      <c r="J142" s="1"/>
      <c r="K142" s="2"/>
      <c r="L142" s="3"/>
    </row>
    <row r="143" ht="15.75" customHeight="1">
      <c r="I143" s="1"/>
      <c r="J143" s="1"/>
      <c r="K143" s="2"/>
      <c r="L143" s="3"/>
    </row>
    <row r="144" ht="15.75" customHeight="1">
      <c r="I144" s="1"/>
      <c r="J144" s="1"/>
      <c r="K144" s="2"/>
      <c r="L144" s="3"/>
    </row>
    <row r="145" ht="15.75" customHeight="1">
      <c r="I145" s="1"/>
      <c r="J145" s="1"/>
      <c r="K145" s="2"/>
      <c r="L145" s="3"/>
    </row>
    <row r="146" ht="15.75" customHeight="1">
      <c r="I146" s="1"/>
      <c r="J146" s="1"/>
      <c r="K146" s="2"/>
      <c r="L146" s="3"/>
    </row>
    <row r="147" ht="15.75" customHeight="1">
      <c r="I147" s="1"/>
      <c r="J147" s="1"/>
      <c r="K147" s="2"/>
      <c r="L147" s="3"/>
    </row>
    <row r="148" ht="15.75" customHeight="1">
      <c r="I148" s="1"/>
      <c r="J148" s="1"/>
      <c r="K148" s="2"/>
      <c r="L148" s="3"/>
    </row>
    <row r="149" ht="15.75" customHeight="1">
      <c r="I149" s="1"/>
      <c r="J149" s="1"/>
      <c r="K149" s="2"/>
      <c r="L149" s="3"/>
    </row>
    <row r="150" ht="15.75" customHeight="1">
      <c r="I150" s="1"/>
      <c r="J150" s="1"/>
      <c r="K150" s="2"/>
      <c r="L150" s="3"/>
    </row>
    <row r="151" ht="15.75" customHeight="1">
      <c r="I151" s="1"/>
      <c r="J151" s="1"/>
      <c r="K151" s="2"/>
      <c r="L151" s="3"/>
    </row>
    <row r="152" ht="15.75" customHeight="1">
      <c r="I152" s="1"/>
      <c r="J152" s="1"/>
      <c r="K152" s="2"/>
      <c r="L152" s="3"/>
    </row>
    <row r="153" ht="15.75" customHeight="1">
      <c r="I153" s="1"/>
      <c r="J153" s="1"/>
      <c r="K153" s="2"/>
      <c r="L153" s="3"/>
    </row>
    <row r="154" ht="15.75" customHeight="1">
      <c r="I154" s="1"/>
      <c r="J154" s="1"/>
      <c r="K154" s="2"/>
      <c r="L154" s="3"/>
    </row>
    <row r="155" ht="15.75" customHeight="1">
      <c r="I155" s="1"/>
      <c r="J155" s="1"/>
      <c r="K155" s="2"/>
      <c r="L155" s="3"/>
    </row>
    <row r="156" ht="15.75" customHeight="1">
      <c r="I156" s="1"/>
      <c r="J156" s="1"/>
      <c r="K156" s="2"/>
      <c r="L156" s="3"/>
    </row>
    <row r="157" ht="15.75" customHeight="1">
      <c r="I157" s="1"/>
      <c r="J157" s="1"/>
      <c r="K157" s="2"/>
      <c r="L157" s="3"/>
    </row>
    <row r="158" ht="15.75" customHeight="1">
      <c r="I158" s="1"/>
      <c r="J158" s="1"/>
      <c r="K158" s="2"/>
      <c r="L158" s="3"/>
    </row>
    <row r="159" ht="15.75" customHeight="1">
      <c r="I159" s="1"/>
      <c r="J159" s="1"/>
      <c r="K159" s="2"/>
      <c r="L159" s="3"/>
    </row>
    <row r="160" ht="15.75" customHeight="1">
      <c r="I160" s="1"/>
      <c r="J160" s="1"/>
      <c r="K160" s="2"/>
      <c r="L160" s="3"/>
    </row>
    <row r="161" ht="15.75" customHeight="1">
      <c r="I161" s="1"/>
      <c r="J161" s="1"/>
      <c r="K161" s="2"/>
      <c r="L161" s="3"/>
    </row>
    <row r="162" ht="15.75" customHeight="1">
      <c r="I162" s="1"/>
      <c r="J162" s="1"/>
      <c r="K162" s="2"/>
      <c r="L162" s="3"/>
    </row>
    <row r="163" ht="15.75" customHeight="1">
      <c r="I163" s="1"/>
      <c r="J163" s="1"/>
      <c r="K163" s="2"/>
      <c r="L163" s="3"/>
    </row>
    <row r="164" ht="15.75" customHeight="1">
      <c r="I164" s="1"/>
      <c r="J164" s="1"/>
      <c r="K164" s="2"/>
      <c r="L164" s="3"/>
    </row>
    <row r="165" ht="15.75" customHeight="1">
      <c r="I165" s="1"/>
      <c r="J165" s="1"/>
      <c r="K165" s="2"/>
      <c r="L165" s="3"/>
    </row>
    <row r="166" ht="15.75" customHeight="1">
      <c r="I166" s="1"/>
      <c r="J166" s="1"/>
      <c r="K166" s="2"/>
      <c r="L166" s="3"/>
    </row>
    <row r="167" ht="15.75" customHeight="1">
      <c r="I167" s="1"/>
      <c r="J167" s="1"/>
      <c r="K167" s="2"/>
      <c r="L167" s="3"/>
    </row>
    <row r="168" ht="15.75" customHeight="1">
      <c r="I168" s="1"/>
      <c r="J168" s="1"/>
      <c r="K168" s="2"/>
      <c r="L168" s="3"/>
    </row>
    <row r="169" ht="15.75" customHeight="1">
      <c r="I169" s="1"/>
      <c r="J169" s="1"/>
      <c r="K169" s="2"/>
      <c r="L169" s="3"/>
    </row>
    <row r="170" ht="15.75" customHeight="1">
      <c r="I170" s="1"/>
      <c r="J170" s="1"/>
      <c r="K170" s="2"/>
      <c r="L170" s="3"/>
    </row>
    <row r="171" ht="15.75" customHeight="1">
      <c r="I171" s="1"/>
      <c r="J171" s="1"/>
      <c r="K171" s="2"/>
      <c r="L171" s="3"/>
    </row>
    <row r="172" ht="15.75" customHeight="1">
      <c r="I172" s="1"/>
      <c r="J172" s="1"/>
      <c r="K172" s="2"/>
      <c r="L172" s="3"/>
    </row>
    <row r="173" ht="15.75" customHeight="1">
      <c r="I173" s="1"/>
      <c r="J173" s="1"/>
      <c r="K173" s="2"/>
      <c r="L173" s="3"/>
    </row>
    <row r="174" ht="15.75" customHeight="1">
      <c r="I174" s="1"/>
      <c r="J174" s="1"/>
      <c r="K174" s="2"/>
      <c r="L174" s="3"/>
    </row>
    <row r="175" ht="15.75" customHeight="1">
      <c r="I175" s="1"/>
      <c r="J175" s="1"/>
      <c r="K175" s="2"/>
      <c r="L175" s="3"/>
    </row>
    <row r="176" ht="15.75" customHeight="1">
      <c r="I176" s="1"/>
      <c r="J176" s="1"/>
      <c r="K176" s="2"/>
      <c r="L176" s="3"/>
    </row>
    <row r="177" ht="15.75" customHeight="1">
      <c r="I177" s="1"/>
      <c r="J177" s="1"/>
      <c r="K177" s="2"/>
      <c r="L177" s="3"/>
    </row>
    <row r="178" ht="15.75" customHeight="1">
      <c r="I178" s="1"/>
      <c r="J178" s="1"/>
      <c r="K178" s="2"/>
      <c r="L178" s="3"/>
    </row>
    <row r="179" ht="15.75" customHeight="1">
      <c r="I179" s="1"/>
      <c r="J179" s="1"/>
      <c r="K179" s="2"/>
      <c r="L179" s="3"/>
    </row>
    <row r="180" ht="15.75" customHeight="1">
      <c r="I180" s="1"/>
      <c r="J180" s="1"/>
      <c r="K180" s="2"/>
      <c r="L180" s="3"/>
    </row>
    <row r="181" ht="15.75" customHeight="1">
      <c r="I181" s="1"/>
      <c r="J181" s="1"/>
      <c r="K181" s="2"/>
      <c r="L181" s="3"/>
    </row>
    <row r="182" ht="15.75" customHeight="1">
      <c r="I182" s="1"/>
      <c r="J182" s="1"/>
      <c r="K182" s="2"/>
      <c r="L182" s="3"/>
    </row>
    <row r="183" ht="15.75" customHeight="1">
      <c r="I183" s="1"/>
      <c r="J183" s="1"/>
      <c r="K183" s="2"/>
      <c r="L183" s="3"/>
    </row>
    <row r="184" ht="15.75" customHeight="1">
      <c r="I184" s="1"/>
      <c r="J184" s="1"/>
      <c r="K184" s="2"/>
      <c r="L184" s="3"/>
    </row>
    <row r="185" ht="15.75" customHeight="1">
      <c r="I185" s="1"/>
      <c r="J185" s="1"/>
      <c r="K185" s="2"/>
      <c r="L185" s="3"/>
    </row>
    <row r="186" ht="15.75" customHeight="1">
      <c r="I186" s="1"/>
      <c r="J186" s="1"/>
      <c r="K186" s="2"/>
      <c r="L186" s="3"/>
    </row>
    <row r="187" ht="15.75" customHeight="1">
      <c r="I187" s="1"/>
      <c r="J187" s="1"/>
      <c r="K187" s="2"/>
      <c r="L187" s="3"/>
    </row>
    <row r="188" ht="15.75" customHeight="1">
      <c r="I188" s="1"/>
      <c r="J188" s="1"/>
      <c r="K188" s="2"/>
      <c r="L188" s="3"/>
    </row>
    <row r="189" ht="15.75" customHeight="1">
      <c r="I189" s="1"/>
      <c r="J189" s="1"/>
      <c r="K189" s="2"/>
      <c r="L189" s="3"/>
    </row>
    <row r="190" ht="15.75" customHeight="1">
      <c r="I190" s="1"/>
      <c r="J190" s="1"/>
      <c r="K190" s="2"/>
      <c r="L190" s="3"/>
    </row>
    <row r="191" ht="15.75" customHeight="1">
      <c r="I191" s="1"/>
      <c r="J191" s="1"/>
      <c r="K191" s="2"/>
      <c r="L191" s="3"/>
    </row>
    <row r="192" ht="15.75" customHeight="1">
      <c r="I192" s="1"/>
      <c r="J192" s="1"/>
      <c r="K192" s="2"/>
      <c r="L192" s="3"/>
    </row>
    <row r="193" ht="15.75" customHeight="1">
      <c r="I193" s="1"/>
      <c r="J193" s="1"/>
      <c r="K193" s="2"/>
      <c r="L193" s="3"/>
    </row>
    <row r="194" ht="15.75" customHeight="1">
      <c r="I194" s="1"/>
      <c r="J194" s="1"/>
      <c r="K194" s="2"/>
      <c r="L194" s="3"/>
    </row>
    <row r="195" ht="15.75" customHeight="1">
      <c r="I195" s="1"/>
      <c r="J195" s="1"/>
      <c r="K195" s="2"/>
      <c r="L195" s="3"/>
    </row>
    <row r="196" ht="15.75" customHeight="1">
      <c r="I196" s="1"/>
      <c r="J196" s="1"/>
      <c r="K196" s="2"/>
      <c r="L196" s="3"/>
    </row>
    <row r="197" ht="15.75" customHeight="1">
      <c r="I197" s="1"/>
      <c r="J197" s="1"/>
      <c r="K197" s="2"/>
      <c r="L197" s="3"/>
    </row>
    <row r="198" ht="15.75" customHeight="1">
      <c r="I198" s="1"/>
      <c r="J198" s="1"/>
      <c r="K198" s="2"/>
      <c r="L198" s="3"/>
    </row>
    <row r="199" ht="15.75" customHeight="1">
      <c r="I199" s="1"/>
      <c r="J199" s="1"/>
      <c r="K199" s="2"/>
      <c r="L199" s="3"/>
    </row>
    <row r="200" ht="15.75" customHeight="1">
      <c r="I200" s="1"/>
      <c r="J200" s="1"/>
      <c r="K200" s="2"/>
      <c r="L200" s="3"/>
    </row>
    <row r="201" ht="15.75" customHeight="1">
      <c r="I201" s="1"/>
      <c r="J201" s="1"/>
      <c r="K201" s="2"/>
      <c r="L201" s="3"/>
    </row>
    <row r="202" ht="15.75" customHeight="1">
      <c r="I202" s="1"/>
      <c r="J202" s="1"/>
      <c r="K202" s="2"/>
      <c r="L202" s="3"/>
    </row>
    <row r="203" ht="15.75" customHeight="1">
      <c r="I203" s="1"/>
      <c r="J203" s="1"/>
      <c r="K203" s="2"/>
      <c r="L203" s="3"/>
    </row>
    <row r="204" ht="15.75" customHeight="1">
      <c r="I204" s="1"/>
      <c r="J204" s="1"/>
      <c r="K204" s="2"/>
      <c r="L204" s="3"/>
    </row>
    <row r="205" ht="15.75" customHeight="1">
      <c r="I205" s="1"/>
      <c r="J205" s="1"/>
      <c r="K205" s="2"/>
      <c r="L205" s="3"/>
    </row>
    <row r="206" ht="15.75" customHeight="1">
      <c r="I206" s="1"/>
      <c r="J206" s="1"/>
      <c r="K206" s="2"/>
      <c r="L206" s="3"/>
    </row>
    <row r="207" ht="15.75" customHeight="1">
      <c r="I207" s="1"/>
      <c r="J207" s="1"/>
      <c r="K207" s="2"/>
      <c r="L207" s="3"/>
    </row>
    <row r="208" ht="15.75" customHeight="1">
      <c r="I208" s="1"/>
      <c r="J208" s="1"/>
      <c r="K208" s="2"/>
      <c r="L208" s="3"/>
    </row>
    <row r="209" ht="15.75" customHeight="1">
      <c r="I209" s="1"/>
      <c r="J209" s="1"/>
      <c r="K209" s="2"/>
      <c r="L209" s="3"/>
    </row>
    <row r="210" ht="15.75" customHeight="1">
      <c r="I210" s="1"/>
      <c r="J210" s="1"/>
      <c r="K210" s="2"/>
      <c r="L210" s="3"/>
    </row>
    <row r="211" ht="15.75" customHeight="1">
      <c r="I211" s="1"/>
      <c r="J211" s="1"/>
      <c r="K211" s="2"/>
      <c r="L211" s="3"/>
    </row>
    <row r="212" ht="15.75" customHeight="1">
      <c r="I212" s="1"/>
      <c r="J212" s="1"/>
      <c r="K212" s="2"/>
      <c r="L212" s="3"/>
    </row>
    <row r="213" ht="15.75" customHeight="1">
      <c r="I213" s="1"/>
      <c r="J213" s="1"/>
      <c r="K213" s="2"/>
      <c r="L213" s="3"/>
    </row>
    <row r="214" ht="15.75" customHeight="1">
      <c r="I214" s="1"/>
      <c r="J214" s="1"/>
      <c r="K214" s="2"/>
      <c r="L214" s="3"/>
    </row>
    <row r="215" ht="15.75" customHeight="1">
      <c r="I215" s="1"/>
      <c r="J215" s="1"/>
      <c r="K215" s="2"/>
      <c r="L215" s="3"/>
    </row>
    <row r="216" ht="15.75" customHeight="1">
      <c r="I216" s="1"/>
      <c r="J216" s="1"/>
      <c r="K216" s="2"/>
      <c r="L216" s="3"/>
    </row>
    <row r="217" ht="15.75" customHeight="1">
      <c r="I217" s="1"/>
      <c r="J217" s="1"/>
      <c r="K217" s="2"/>
      <c r="L217" s="3"/>
    </row>
    <row r="218" ht="15.75" customHeight="1">
      <c r="I218" s="1"/>
      <c r="J218" s="1"/>
      <c r="K218" s="2"/>
      <c r="L218" s="3"/>
    </row>
    <row r="219" ht="15.75" customHeight="1">
      <c r="I219" s="1"/>
      <c r="J219" s="1"/>
      <c r="K219" s="2"/>
      <c r="L219" s="3"/>
    </row>
    <row r="220" ht="15.75" customHeight="1">
      <c r="I220" s="1"/>
      <c r="J220" s="1"/>
      <c r="K220" s="2"/>
      <c r="L220" s="3"/>
    </row>
    <row r="221" ht="15.75" customHeight="1">
      <c r="I221" s="1"/>
      <c r="J221" s="1"/>
      <c r="K221" s="2"/>
      <c r="L221" s="3"/>
    </row>
    <row r="222" ht="15.75" customHeight="1">
      <c r="I222" s="1"/>
      <c r="J222" s="1"/>
      <c r="K222" s="2"/>
      <c r="L222" s="3"/>
    </row>
    <row r="223" ht="15.75" customHeight="1">
      <c r="I223" s="1"/>
      <c r="J223" s="1"/>
      <c r="K223" s="2"/>
      <c r="L223" s="3"/>
    </row>
    <row r="224" ht="15.75" customHeight="1">
      <c r="I224" s="1"/>
      <c r="J224" s="1"/>
      <c r="K224" s="2"/>
      <c r="L224" s="3"/>
    </row>
    <row r="225" ht="15.75" customHeight="1">
      <c r="I225" s="1"/>
      <c r="J225" s="1"/>
      <c r="K225" s="2"/>
      <c r="L225" s="3"/>
    </row>
    <row r="226" ht="15.75" customHeight="1">
      <c r="I226" s="1"/>
      <c r="J226" s="1"/>
      <c r="K226" s="2"/>
      <c r="L226" s="3"/>
    </row>
    <row r="227" ht="15.75" customHeight="1">
      <c r="I227" s="1"/>
      <c r="J227" s="1"/>
      <c r="K227" s="2"/>
      <c r="L227" s="3"/>
    </row>
    <row r="228" ht="15.75" customHeight="1">
      <c r="I228" s="1"/>
      <c r="J228" s="1"/>
      <c r="K228" s="2"/>
      <c r="L228" s="3"/>
    </row>
    <row r="229" ht="15.75" customHeight="1">
      <c r="I229" s="1"/>
      <c r="J229" s="1"/>
      <c r="K229" s="2"/>
      <c r="L229" s="3"/>
    </row>
    <row r="230" ht="15.75" customHeight="1">
      <c r="I230" s="1"/>
      <c r="J230" s="1"/>
      <c r="K230" s="2"/>
      <c r="L230" s="3"/>
    </row>
    <row r="231" ht="15.75" customHeight="1">
      <c r="I231" s="1"/>
      <c r="J231" s="1"/>
      <c r="K231" s="2"/>
      <c r="L231" s="3"/>
    </row>
    <row r="232" ht="15.75" customHeight="1">
      <c r="I232" s="1"/>
      <c r="J232" s="1"/>
      <c r="K232" s="2"/>
      <c r="L232" s="3"/>
    </row>
    <row r="233" ht="15.75" customHeight="1">
      <c r="I233" s="1"/>
      <c r="J233" s="1"/>
      <c r="K233" s="2"/>
      <c r="L233" s="3"/>
    </row>
    <row r="234" ht="15.75" customHeight="1">
      <c r="I234" s="1"/>
      <c r="J234" s="1"/>
      <c r="K234" s="2"/>
      <c r="L234" s="3"/>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dataValidations>
    <dataValidation type="list" allowBlank="1" showErrorMessage="1" sqref="L6:L21">
      <formula1>$L$31:$L$34</formula1>
    </dataValidation>
    <dataValidation type="list" allowBlank="1" showErrorMessage="1" sqref="K6:K21 K25:K26">
      <formula1>$K$31:$K$33</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4" width="10.63"/>
    <col customWidth="1" min="5" max="5" width="13.38"/>
    <col customWidth="1" min="6" max="6" width="10.63"/>
    <col customWidth="1" min="7" max="7" width="19.88"/>
    <col customWidth="1" min="8" max="8" width="10.63"/>
    <col customWidth="1" min="9" max="9" width="10.5"/>
    <col customWidth="1" min="10" max="15" width="10.63"/>
    <col customWidth="1" min="16" max="16" width="2.63"/>
  </cols>
  <sheetData>
    <row r="2" ht="15.0" hidden="1" customHeight="1"/>
    <row r="3" ht="15.0" hidden="1" customHeight="1"/>
    <row r="4" hidden="1">
      <c r="C4" s="28"/>
      <c r="D4" s="28"/>
      <c r="E4" s="28"/>
      <c r="F4" s="7"/>
    </row>
    <row r="5" hidden="1">
      <c r="C5" s="28"/>
      <c r="D5" s="28"/>
      <c r="E5" s="28"/>
      <c r="F5" s="7"/>
    </row>
    <row r="6" ht="39.75" customHeight="1">
      <c r="B6" s="29" t="s">
        <v>88</v>
      </c>
      <c r="C6" s="5"/>
      <c r="D6" s="5"/>
      <c r="E6" s="5"/>
      <c r="F6" s="5"/>
      <c r="G6" s="5"/>
      <c r="H6" s="5"/>
      <c r="I6" s="5"/>
      <c r="J6" s="5"/>
      <c r="K6" s="5"/>
      <c r="L6" s="5"/>
      <c r="M6" s="5"/>
      <c r="N6" s="5"/>
      <c r="O6" s="5"/>
      <c r="P6" s="6"/>
    </row>
    <row r="7" ht="9.75" customHeight="1">
      <c r="C7" s="30"/>
      <c r="D7" s="30"/>
      <c r="E7" s="30"/>
      <c r="F7" s="30"/>
      <c r="G7" s="30"/>
      <c r="H7" s="30"/>
      <c r="I7" s="30"/>
      <c r="J7" s="30"/>
      <c r="K7" s="30"/>
      <c r="L7" s="30"/>
      <c r="M7" s="30"/>
      <c r="N7" s="30"/>
      <c r="O7" s="30"/>
    </row>
    <row r="8" ht="9.75" customHeight="1">
      <c r="B8" s="31"/>
      <c r="C8" s="32"/>
      <c r="D8" s="32"/>
      <c r="E8" s="32"/>
      <c r="F8" s="33"/>
      <c r="G8" s="34"/>
      <c r="H8" s="34"/>
      <c r="I8" s="34"/>
      <c r="J8" s="34"/>
      <c r="K8" s="34"/>
      <c r="L8" s="34"/>
      <c r="M8" s="34"/>
      <c r="N8" s="34"/>
      <c r="O8" s="34"/>
      <c r="P8" s="35"/>
    </row>
    <row r="9" ht="30.0" customHeight="1">
      <c r="B9" s="36"/>
      <c r="C9" s="37" t="s">
        <v>1</v>
      </c>
      <c r="D9" s="38"/>
      <c r="E9" s="39" t="s">
        <v>89</v>
      </c>
      <c r="F9" s="6"/>
      <c r="G9" s="38"/>
      <c r="H9" s="39" t="s">
        <v>11</v>
      </c>
      <c r="I9" s="6"/>
      <c r="J9" s="40"/>
      <c r="K9" s="40"/>
      <c r="L9" s="40"/>
      <c r="M9" s="40"/>
      <c r="N9" s="40"/>
      <c r="O9" s="40"/>
      <c r="P9" s="41"/>
    </row>
    <row r="10" ht="30.0" customHeight="1">
      <c r="B10" s="36"/>
      <c r="C10" s="42" t="s">
        <v>45</v>
      </c>
      <c r="D10" s="43"/>
      <c r="E10" s="44" t="str">
        <f>VLOOKUP(C10,'Formato descripción HU'!B6:O21,5,0)</f>
        <v>Administrador del emprendimento</v>
      </c>
      <c r="F10" s="6"/>
      <c r="G10" s="45"/>
      <c r="H10" s="46" t="str">
        <f>VLOOKUP(C10,'Formato descripción HU'!B6:O21,11,0)</f>
        <v>En proceso</v>
      </c>
      <c r="I10" s="6"/>
      <c r="J10" s="45"/>
      <c r="K10" s="40"/>
      <c r="L10" s="40"/>
      <c r="M10" s="40"/>
      <c r="N10" s="40"/>
      <c r="O10" s="40"/>
      <c r="P10" s="41"/>
    </row>
    <row r="11" ht="9.75" customHeight="1">
      <c r="B11" s="36"/>
      <c r="C11" s="47"/>
      <c r="D11" s="43"/>
      <c r="E11" s="48"/>
      <c r="F11" s="48"/>
      <c r="G11" s="45"/>
      <c r="H11" s="48"/>
      <c r="I11" s="48"/>
      <c r="J11" s="45"/>
      <c r="K11" s="48"/>
      <c r="L11" s="48"/>
      <c r="M11" s="40"/>
      <c r="N11" s="48"/>
      <c r="O11" s="48"/>
      <c r="P11" s="41"/>
    </row>
    <row r="12" ht="30.0" customHeight="1">
      <c r="B12" s="36"/>
      <c r="C12" s="37" t="s">
        <v>90</v>
      </c>
      <c r="D12" s="43"/>
      <c r="E12" s="39" t="s">
        <v>10</v>
      </c>
      <c r="F12" s="6"/>
      <c r="G12" s="45"/>
      <c r="H12" s="39" t="s">
        <v>91</v>
      </c>
      <c r="I12" s="6"/>
      <c r="J12" s="45"/>
      <c r="K12" s="48"/>
      <c r="L12" s="48"/>
      <c r="M12" s="40"/>
      <c r="N12" s="48"/>
      <c r="O12" s="48"/>
      <c r="P12" s="41"/>
    </row>
    <row r="13" ht="60.75" customHeight="1">
      <c r="B13" s="36"/>
      <c r="C13" s="49">
        <f>VLOOKUP('Historia de Usuario'!C10,'Formato descripción HU'!B6:O21,8,0)</f>
        <v>1</v>
      </c>
      <c r="D13" s="43"/>
      <c r="E13" s="46" t="str">
        <f>VLOOKUP(C10,'Formato descripción HU'!B6:O21,10,0)</f>
        <v>Alta</v>
      </c>
      <c r="F13" s="6"/>
      <c r="G13" s="45"/>
      <c r="H13" s="46" t="str">
        <f>VLOOKUP(C10,'Formato descripción HU'!B6:O21,7,0)</f>
        <v>Jaramillo Mateo
</v>
      </c>
      <c r="I13" s="6"/>
      <c r="J13" s="45"/>
      <c r="K13" s="48"/>
      <c r="L13" s="48"/>
      <c r="M13" s="40"/>
      <c r="N13" s="48"/>
      <c r="O13" s="48"/>
      <c r="P13" s="41"/>
    </row>
    <row r="14" ht="9.75" customHeight="1">
      <c r="B14" s="36"/>
      <c r="C14" s="40"/>
      <c r="D14" s="43"/>
      <c r="E14" s="40"/>
      <c r="F14" s="40"/>
      <c r="G14" s="45"/>
      <c r="H14" s="45"/>
      <c r="I14" s="40"/>
      <c r="J14" s="40"/>
      <c r="K14" s="40"/>
      <c r="L14" s="40"/>
      <c r="M14" s="40"/>
      <c r="N14" s="40"/>
      <c r="O14" s="40"/>
      <c r="P14" s="41"/>
    </row>
    <row r="15" ht="19.5" customHeight="1">
      <c r="B15" s="36"/>
      <c r="C15" s="50" t="s">
        <v>92</v>
      </c>
      <c r="D15" s="51" t="str">
        <f>VLOOKUP(C10,'Formato descripción HU'!B6:O21,3,0)</f>
        <v>El programa deberá tener un formulario para buscar a un colaborador mediante su id y poder eliminar sus credenciales de la base de datos. </v>
      </c>
      <c r="E15" s="52"/>
      <c r="F15" s="40"/>
      <c r="G15" s="50" t="s">
        <v>93</v>
      </c>
      <c r="H15" s="51" t="str">
        <f>VLOOKUP(C10,'Formato descripción HU'!B6:O21,4,0)</f>
        <v>Eliminar las credenciales de un colaborador para que impedir su acceso al sistema</v>
      </c>
      <c r="I15" s="53"/>
      <c r="J15" s="52"/>
      <c r="K15" s="40"/>
      <c r="L15" s="50" t="s">
        <v>94</v>
      </c>
      <c r="M15" s="54" t="str">
        <f>VLOOKUP(C10,'Formato descripción HU'!B6:O21,6,0)</f>
        <v>Formulario para buscar a un colaborador mediante su id y poder eliminar sus credenciales de la base de datos. </v>
      </c>
      <c r="N15" s="53"/>
      <c r="O15" s="52"/>
      <c r="P15" s="41"/>
    </row>
    <row r="16" ht="19.5" customHeight="1">
      <c r="B16" s="36"/>
      <c r="C16" s="55"/>
      <c r="D16" s="56"/>
      <c r="E16" s="57"/>
      <c r="F16" s="40"/>
      <c r="G16" s="55"/>
      <c r="H16" s="56"/>
      <c r="J16" s="57"/>
      <c r="K16" s="40"/>
      <c r="L16" s="55"/>
      <c r="M16" s="56"/>
      <c r="O16" s="57"/>
      <c r="P16" s="41"/>
    </row>
    <row r="17" ht="44.25" customHeight="1">
      <c r="B17" s="36"/>
      <c r="C17" s="58"/>
      <c r="D17" s="59"/>
      <c r="E17" s="60"/>
      <c r="F17" s="40"/>
      <c r="G17" s="58"/>
      <c r="H17" s="59"/>
      <c r="I17" s="61"/>
      <c r="J17" s="60"/>
      <c r="K17" s="40"/>
      <c r="L17" s="58"/>
      <c r="M17" s="59"/>
      <c r="N17" s="61"/>
      <c r="O17" s="60"/>
      <c r="P17" s="41"/>
    </row>
    <row r="18" ht="9.75" customHeight="1">
      <c r="B18" s="36"/>
      <c r="C18" s="40"/>
      <c r="D18" s="40"/>
      <c r="E18" s="40"/>
      <c r="F18" s="40"/>
      <c r="G18" s="45"/>
      <c r="H18" s="45"/>
      <c r="I18" s="45"/>
      <c r="J18" s="40"/>
      <c r="K18" s="40"/>
      <c r="L18" s="40"/>
      <c r="M18" s="40"/>
      <c r="N18" s="40"/>
      <c r="O18" s="40"/>
      <c r="P18" s="41"/>
    </row>
    <row r="19" ht="19.5" customHeight="1">
      <c r="B19" s="36"/>
      <c r="C19" s="62" t="s">
        <v>95</v>
      </c>
      <c r="D19" s="52"/>
      <c r="E19" s="63" t="str">
        <f>VLOOKUP(C10,'Formato descripción HU'!B6:O20,14,0)</f>
        <v>Eliminar credenciales de un colaborador</v>
      </c>
      <c r="F19" s="64"/>
      <c r="G19" s="64"/>
      <c r="H19" s="64"/>
      <c r="I19" s="64"/>
      <c r="J19" s="64"/>
      <c r="K19" s="64"/>
      <c r="L19" s="64"/>
      <c r="M19" s="64"/>
      <c r="N19" s="64"/>
      <c r="O19" s="65"/>
      <c r="P19" s="41"/>
    </row>
    <row r="20" ht="19.5" customHeight="1">
      <c r="B20" s="36"/>
      <c r="C20" s="59"/>
      <c r="D20" s="60"/>
      <c r="E20" s="66"/>
      <c r="F20" s="67"/>
      <c r="G20" s="67"/>
      <c r="H20" s="67"/>
      <c r="I20" s="67"/>
      <c r="J20" s="67"/>
      <c r="K20" s="67"/>
      <c r="L20" s="67"/>
      <c r="M20" s="67"/>
      <c r="N20" s="67"/>
      <c r="O20" s="68"/>
      <c r="P20" s="41"/>
    </row>
    <row r="21" ht="9.75" customHeight="1">
      <c r="B21" s="36"/>
      <c r="C21" s="40"/>
      <c r="D21" s="40"/>
      <c r="E21" s="40"/>
      <c r="F21" s="40"/>
      <c r="G21" s="40"/>
      <c r="H21" s="40"/>
      <c r="I21" s="40"/>
      <c r="J21" s="40"/>
      <c r="K21" s="40"/>
      <c r="L21" s="40"/>
      <c r="M21" s="40"/>
      <c r="N21" s="40"/>
      <c r="O21" s="40"/>
      <c r="P21" s="41"/>
    </row>
    <row r="22" ht="19.5" customHeight="1">
      <c r="B22" s="36"/>
      <c r="C22" s="69" t="s">
        <v>96</v>
      </c>
      <c r="D22" s="52"/>
      <c r="E22" s="51" t="str">
        <f>VLOOKUP(C10,'Formato descripción HU'!B6:O21,12,0)</f>
        <v>Verificar las credenciales de un empleado y eliminar esos datos para el logginVerificar las credenciales de un empleado y eliminar esos datos para el loggin. Al implementar un  buscador por número de identificación (ID) del colaborador, si se coloca un número de cédula incorrecto el sistema mostrará un mensaje de ERROR(Pidiendo que ingrese un número de cédula válidos). Si se ingresa una cédula que este registrada, se despelgará una ventana con la información del colaborador. Y para eliminar el colaborador mostrará un mensaje de ADVERTENCIA(Seleccione un colaborador de la tabla para eliminarlo), al momento de selecionar saldrá otro mensaje(Estás seguro de eliminar este colaborador?) Y si colocas en la opción SÍ, se mostrará un mensaje indicando que el Colaborador se ha eliminado exitosamente.</v>
      </c>
      <c r="F22" s="53"/>
      <c r="G22" s="53"/>
      <c r="H22" s="52"/>
      <c r="I22" s="40"/>
      <c r="J22" s="69" t="s">
        <v>13</v>
      </c>
      <c r="K22" s="52"/>
      <c r="L22" s="51" t="str">
        <f>VLOOKUP(C10,'Formato descripción HU'!B6:O21,13,0)</f>
        <v>El sistema será capaz de eliminar las credenciales de un empleado pero no se perderá información de las reservas,</v>
      </c>
      <c r="M22" s="53"/>
      <c r="N22" s="53"/>
      <c r="O22" s="52"/>
      <c r="P22" s="41"/>
    </row>
    <row r="23" ht="19.5" customHeight="1">
      <c r="B23" s="36"/>
      <c r="C23" s="56"/>
      <c r="D23" s="57"/>
      <c r="E23" s="56"/>
      <c r="H23" s="57"/>
      <c r="I23" s="40"/>
      <c r="J23" s="56"/>
      <c r="K23" s="57"/>
      <c r="L23" s="56"/>
      <c r="O23" s="57"/>
      <c r="P23" s="41"/>
    </row>
    <row r="24" ht="166.5" customHeight="1">
      <c r="B24" s="36"/>
      <c r="C24" s="59"/>
      <c r="D24" s="60"/>
      <c r="E24" s="59"/>
      <c r="F24" s="61"/>
      <c r="G24" s="61"/>
      <c r="H24" s="60"/>
      <c r="I24" s="40"/>
      <c r="J24" s="59"/>
      <c r="K24" s="60"/>
      <c r="L24" s="59"/>
      <c r="M24" s="61"/>
      <c r="N24" s="61"/>
      <c r="O24" s="60"/>
      <c r="P24" s="41"/>
    </row>
    <row r="25" ht="9.75" customHeight="1">
      <c r="B25" s="70"/>
      <c r="C25" s="71"/>
      <c r="D25" s="71"/>
      <c r="E25" s="71"/>
      <c r="F25" s="71"/>
      <c r="G25" s="71"/>
      <c r="H25" s="71"/>
      <c r="I25" s="71"/>
      <c r="J25" s="71"/>
      <c r="K25" s="71"/>
      <c r="L25" s="71"/>
      <c r="M25" s="71"/>
      <c r="N25" s="71"/>
      <c r="O25" s="71"/>
      <c r="P25" s="72"/>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HU'!$B$6:$B$21</formula1>
    </dataValidation>
  </dataValidations>
  <printOptions horizontalCentered="1"/>
  <pageMargins bottom="0.7480314960629921" footer="0.0" header="0.0" left="0.7086614173228347" right="0.7086614173228347" top="0.7480314960629921"/>
  <pageSetup paperSize="9" orientation="landscape"/>
  <drawing r:id="rId1"/>
</worksheet>
</file>