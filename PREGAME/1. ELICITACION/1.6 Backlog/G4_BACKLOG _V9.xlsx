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sprint2" sheetId="2" r:id="rId6"/>
    <sheet state="visible" name="burdonchart" sheetId="3" r:id="rId7"/>
  </sheets>
  <definedNames/>
  <calcPr/>
</workbook>
</file>

<file path=xl/sharedStrings.xml><?xml version="1.0" encoding="utf-8"?>
<sst xmlns="http://schemas.openxmlformats.org/spreadsheetml/2006/main" count="460" uniqueCount="224">
  <si>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</si>
  <si>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</si>
  <si>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</si>
  <si>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</si>
  <si>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</si>
  <si>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</si>
  <si>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</si>
  <si>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</si>
  <si>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TAR001</t>
  </si>
  <si>
    <t>Acceso Restringido</t>
  </si>
  <si>
    <t>Administrador</t>
  </si>
  <si>
    <t>Validar la identidad del personal al ingresar a la plataforma.</t>
  </si>
  <si>
    <t>Garantizar que solo usuarios autorizados accedan a la información sensible del negocio.</t>
  </si>
  <si>
    <t>#Es el primer filtro de seguridad; asegura que la trazabilidad de las acciones empiece desde el login,capturar errores para que no colapse el sistema</t>
  </si>
  <si>
    <t>Alta</t>
  </si>
  <si>
    <t>Terminado</t>
  </si>
  <si>
    <t>TAR002</t>
  </si>
  <si>
    <t>Navegación del Sistema</t>
  </si>
  <si>
    <t>Acceder de forma centralizada a las herramientas de gestión del negocio.</t>
  </si>
  <si>
    <t>Optimizar el tiempo de operación permitiendo el acceso rápido a cada módulo de trabajo.</t>
  </si>
  <si>
    <t>#Mejora la experiencia de usuario al centralizar todas las herramientas en una sola vista principal.</t>
  </si>
  <si>
    <t>TAR003</t>
  </si>
  <si>
    <t>Control de Personal</t>
  </si>
  <si>
    <t>Registrar nuevos colaboradores y asignarles un perfil de acceso único en la plataforma.</t>
  </si>
  <si>
    <t>Mantener un registro  de quién opera el sistema y proteger la integridad de los datos.</t>
  </si>
  <si>
    <t>#Permite identificar responsables de cada gestión realizada en el sistema.</t>
  </si>
  <si>
    <t>TAR004</t>
  </si>
  <si>
    <t>Baja de Personal</t>
  </si>
  <si>
    <t>Localizar a un colaborador por su identificación para retirar sus permisos de acceso.</t>
  </si>
  <si>
    <t xml:space="preserve">Impedir el ingreso de personas que ya no laboran en el emprendimiento para resguardar la seguridad.
</t>
  </si>
  <si>
    <t>#Fundamental para la desvinculación segura de empleados.</t>
  </si>
  <si>
    <t>TAR005</t>
  </si>
  <si>
    <t>Edición Datos del Personal</t>
  </si>
  <si>
    <t>Modificar y actualizar la información registrada de los colaboradores de la plataforma.</t>
  </si>
  <si>
    <t>Mantener los expedientes del personal al día para garantizar una correcta comunicación y asignación de responsabilidades dentro de la empresa.</t>
  </si>
  <si>
    <t>#Validar que no se dejen campos obligatorios vacíos y registrar los cambio correctamente.</t>
  </si>
  <si>
    <t>TAR006</t>
  </si>
  <si>
    <t>Base de Datos de Clientes</t>
  </si>
  <si>
    <t>Registrar y organizar la información de contacto de los clientes.</t>
  </si>
  <si>
    <t>Contar con información centralizada para agilizar ventas y fidelización.</t>
  </si>
  <si>
    <t>#Cada cliente tendrá datos únicos y reales,gestión de clientes potenciales.</t>
  </si>
  <si>
    <t>TAR007</t>
  </si>
  <si>
    <t>Verificación de Registros</t>
  </si>
  <si>
    <t>Validar si un cliente ya se encuentra registrado mediante su número de identificación.</t>
  </si>
  <si>
    <t>Confirmar la existencia del cliente para agilizar la atención y evitar duplicidad de perfiles, o en otro caso eliminar ese cliente.</t>
  </si>
  <si>
    <t>#Se valida la existencia del cliente para poder eliminarlo</t>
  </si>
  <si>
    <t>TAR008</t>
  </si>
  <si>
    <t>Agendamiento de Servicios</t>
  </si>
  <si>
    <t>Reservar fechas y tipos de eventos verificando la disponibilidad de la agenda.</t>
  </si>
  <si>
    <t>Prevenir la sobreposición de compromisos y asegurar el cumplimiento al cliente.</t>
  </si>
  <si>
    <t>#Evita conflictos de horario.</t>
  </si>
  <si>
    <t>TAR009</t>
  </si>
  <si>
    <t>Base de Datos de Eventos</t>
  </si>
  <si>
    <t>Contar con una base de datos para guardar los registros del catálogo de eventos que ofrece el emprendimiento.</t>
  </si>
  <si>
    <t>Evitar la pérdida de información sobre el catálogo de servicios que ofrece el emprendimiento.</t>
  </si>
  <si>
    <t>#Guardar todos los registros en una base de datos para que el administrador pueda automatizar el inventario de su emprendimiento.</t>
  </si>
  <si>
    <t>TAR0010</t>
  </si>
  <si>
    <t>Registro de extras</t>
  </si>
  <si>
    <t>Contar con un CRUD para llevar un registro de todos los servicios extras que ofrece el emprendimiento.</t>
  </si>
  <si>
    <t>Gestionar los eventos extras (agregar, editar, eliminar, buscar) y contar con una herramienta visual clara en una tabla para manejar el negocio.</t>
  </si>
  <si>
    <t>#Formulario que permitirá ingresar los datos del servicio extra ofrecido, con opciones de editar, buscar y eliminar mediante su ID.</t>
  </si>
  <si>
    <t>TAR0011</t>
  </si>
  <si>
    <t>Base de Datos de Extras</t>
  </si>
  <si>
    <t>Contar con una base de datos para guardar los registros de los servicios extras que ofrece el negocio.</t>
  </si>
  <si>
    <t>Almacenar en una base de datos todos los servicios extras que ofrece el emprendimiento para guardar esos registros de forma segura.</t>
  </si>
  <si>
    <t>#Ofrecer un programa con la capacidad de almacenar en una base de datos los extras y permitir la automatización del inventario.</t>
  </si>
  <si>
    <t>TAR0012</t>
  </si>
  <si>
    <t>Gestión de Reservas</t>
  </si>
  <si>
    <t>Contar con un CRUD para llevar un registro de todas las reservas que se han generado, por mi parte o por parte de un colaborador.</t>
  </si>
  <si>
    <t>Gestionar las reservas (agregar, editar, eliminar, buscar) y contar con una tabla visual para observar todo lo gestionado.</t>
  </si>
  <si>
    <t>#Tabla dinámica que se actualizará mostrando la última reserva generada al principio. Notificará si un cliente no está registrado.</t>
  </si>
  <si>
    <t>TAR0013</t>
  </si>
  <si>
    <t>Base de Datos de Reservas</t>
  </si>
  <si>
    <t>Almacenar en una base de datos todas las reservas generadas ya sea por parte del administrador o colaborador.</t>
  </si>
  <si>
    <t>Guardar todos los registros en una base de datos para automatizar el inventario y agenda del emprendimiento.</t>
  </si>
  <si>
    <t>#Capacidad de almacenar todas las reservas de forma persistente vinculadas a cada cliente y su categoría correspondiente.</t>
  </si>
  <si>
    <t>TAR0014</t>
  </si>
  <si>
    <t>Vista Colaborador</t>
  </si>
  <si>
    <t>Contar con una ventana dedicada para que solo se pueda visualizar y operar con las credenciales correspondientes a este rol.</t>
  </si>
  <si>
    <t>Acceder al sistema bajo un entorno restringido que proteja las funciones de configuración exclusivas del administrador.</t>
  </si>
  <si>
    <t>#El programa deberá contar con una ventana dedicada para que solo se pueda visualizar con las credenciales como colaborador.</t>
  </si>
  <si>
    <t>TAR0015</t>
  </si>
  <si>
    <t>Gestion Clientes Colaborador</t>
  </si>
  <si>
    <t>Colaborador</t>
  </si>
  <si>
    <t>Contar con una ventana de gestión de clientes específica para mi rol.</t>
  </si>
  <si>
    <t>Buscar clientes en la base de datos para verificar su existencia y registrar perfiles nuevos rápidamente, sin tener acceso a funciones administrativas.</t>
  </si>
  <si>
    <t>#Garantiza que el personal de asistencia solo registre y busque clientes, protegiendo la integridad de la base de datos contra eliminaciones o ediciones no autorizadas.</t>
  </si>
  <si>
    <t>TAR0016</t>
  </si>
  <si>
    <t>Gestion Reservas Colaborador</t>
  </si>
  <si>
    <t>Contar con un panel adaptado a mi rol para gestionar y registrar reservas.</t>
  </si>
  <si>
    <t>Buscar agendamientos existentes y crear nuevas reservas asociadas a clientes de forma ágil, sin riesgo de alterar o eliminar información crítica.</t>
  </si>
  <si>
    <t>#Limita la capacidad destructiva de los datos para garantizar la seguridad de la agenda.</t>
  </si>
  <si>
    <t>Necesito</t>
  </si>
  <si>
    <t>así podre...</t>
  </si>
  <si>
    <t>Prioridad</t>
  </si>
  <si>
    <t>Status</t>
  </si>
  <si>
    <t xml:space="preserve">SPRINT 1 </t>
  </si>
  <si>
    <t>##Es el primer filtro de seguridad; asegura que la trazabilidad de las acciones empiece desde el login,capturar errores para que no colapse el sistema</t>
  </si>
  <si>
    <t>Terminada</t>
  </si>
  <si>
    <t>Tareas</t>
  </si>
  <si>
    <t>Asignado</t>
  </si>
  <si>
    <t>Estimado</t>
  </si>
  <si>
    <t>TAR001-1</t>
  </si>
  <si>
    <t>Diseñar la interfaz de acceso con campos para usuario y contraseña.</t>
  </si>
  <si>
    <t>Verdezoto Miguel</t>
  </si>
  <si>
    <t>TAR001-2</t>
  </si>
  <si>
    <t>Configurar la validación de credenciales ingreso.</t>
  </si>
  <si>
    <t>TAR001-3</t>
  </si>
  <si>
    <t>Implementar el redireccionamiento seguro al panel principal.</t>
  </si>
  <si>
    <t>##Mejora la experiencia de usuario al centralizar todas las herramientas en una sola vista principal.</t>
  </si>
  <si>
    <t>TAR002-1</t>
  </si>
  <si>
    <t>Crear una interfaz, unicamente la ventana como administrador para ingresar con las credenciales de administrador y gestionar como administrador</t>
  </si>
  <si>
    <t>TAR002-2</t>
  </si>
  <si>
    <t>Vincular botones de acceso a los módulos de Clientes, Empleados y Eventos.</t>
  </si>
  <si>
    <t>TAR002-3</t>
  </si>
  <si>
    <t>Organizar la distribución visual de las funciones administrativas.</t>
  </si>
  <si>
    <t>SPRINT 2</t>
  </si>
  <si>
    <t xml:space="preserve">Registrar nuevos colaboradores y asignarles un perfil de acceso único en la plataforma. </t>
  </si>
  <si>
    <t>##Permite identificar responsables de cada gestión realizada en el sistema.</t>
  </si>
  <si>
    <t>TAR003-1</t>
  </si>
  <si>
    <t>Maquetar el formulario de registro de datos del colaborador.</t>
  </si>
  <si>
    <t>Jaramillo Mateo</t>
  </si>
  <si>
    <t>TAR003-2</t>
  </si>
  <si>
    <t>Implementar la generación de credenciales únicas.</t>
  </si>
  <si>
    <t>TAR003-3</t>
  </si>
  <si>
    <t>Configurar el botón de guardado y confirmación de registro.</t>
  </si>
  <si>
    <t>#iFundamental para la desvinculación segura de empleados.</t>
  </si>
  <si>
    <t>TAR004-1</t>
  </si>
  <si>
    <t>Implementar un buscador por número de identificación (ID) del colaborador.</t>
  </si>
  <si>
    <t>TAR004-2</t>
  </si>
  <si>
    <t>Mostrar la información del usuario para confirmar la identidad antes de proceder.</t>
  </si>
  <si>
    <t>TAR004-3</t>
  </si>
  <si>
    <t>Configurar la función para retirar o eliminar los permisos de acceso del sistema.</t>
  </si>
  <si>
    <t>TAR005-1</t>
  </si>
  <si>
    <t>Implementar un formulario de modificación que cargue los datos actuales del colaborador.</t>
  </si>
  <si>
    <t>Sosa Valeria</t>
  </si>
  <si>
    <t>TAR005-2</t>
  </si>
  <si>
    <t>Establecer validaciones de campos obligatorios para impedir que se guarden registros vacíos.</t>
  </si>
  <si>
    <t>TAR005-3</t>
  </si>
  <si>
    <t>Configurar la función de guardado y actualización automática en la base de datos.</t>
  </si>
  <si>
    <t>SPRINT 3</t>
  </si>
  <si>
    <t>TAR006-1</t>
  </si>
  <si>
    <t>Diseñar el formulario de captura para datos personales del cliente.</t>
  </si>
  <si>
    <t>TAR006-2</t>
  </si>
  <si>
    <t>Establecer validaciones de formato en los campos de entrada (Cédula, Teléfono).</t>
  </si>
  <si>
    <t>TAR006-3</t>
  </si>
  <si>
    <t>Configurar el guardado del perfil del cliente en los registros</t>
  </si>
  <si>
    <t>TAR007-1</t>
  </si>
  <si>
    <t>Crear un campo de consulta para ingresar el número de cédula del cliente.</t>
  </si>
  <si>
    <t>TAR007-2</t>
  </si>
  <si>
    <t>Configurar el proceso de verificación en los registros existentes.</t>
  </si>
  <si>
    <t>TAR007-3</t>
  </si>
  <si>
    <t>Implementar notificaciones visuales para confirmar si el cliente ya está registrado.</t>
  </si>
  <si>
    <t xml:space="preserve">SPRINT 4 </t>
  </si>
  <si>
    <t>Asigando</t>
  </si>
  <si>
    <t>TAR008-1</t>
  </si>
  <si>
    <t>Desplegar un calendario de disponibilidad para la selección de fechas.</t>
  </si>
  <si>
    <t>Valeria Sosa</t>
  </si>
  <si>
    <t>TAR008-2</t>
  </si>
  <si>
    <t>Configurar la asociación de la reserva con el cliente y el tipo de evento.</t>
  </si>
  <si>
    <t>TAR008-3</t>
  </si>
  <si>
    <t>Implementar la validación automática para evitar cruces de horarios.</t>
  </si>
  <si>
    <t>TAR009-1</t>
  </si>
  <si>
    <t>Diseñar y estructurar de forma lógica el esquema del documento para la colección "eventos" en MongoDB.</t>
  </si>
  <si>
    <t>TAR009-2</t>
  </si>
  <si>
    <t>Implementar los métodos de backend encargados de mapear e insertar los datos de los eventos en la base de datos.</t>
  </si>
  <si>
    <t>TAR009-3</t>
  </si>
  <si>
    <t>Desarrollar las validaciones para impedir que se guarden eventos duplicados con la misma fecha y hora.</t>
  </si>
  <si>
    <t>TAR0010-1</t>
  </si>
  <si>
    <t>Diseñar la interfaz gráfica del CRUD de servicios extras incluyendo campos de texto, botones de control y una tabla visual.</t>
  </si>
  <si>
    <t>TAR0010-2</t>
  </si>
  <si>
    <t>Programar la lógica interna de los botones para capturar datos de la interfaz al agregar, buscar o eliminar un servicio extra.</t>
  </si>
  <si>
    <t>TAR0010-3</t>
  </si>
  <si>
    <t>Sincronizar la tabla gráfica de la ventana para reflejar dinámicamente los cambios realizados en el catálogo de extras.</t>
  </si>
  <si>
    <t>TAR0011-1</t>
  </si>
  <si>
    <t>Configurar las credenciales y establecer la conexión directa hacia la colección física "extras" dentro del controlador.</t>
  </si>
  <si>
    <t>TAR0011-2</t>
  </si>
  <si>
    <t>Desarrollar los métodos CRUD en la capa de persistencia para interactuar directamente con la colección de MongoDB.</t>
  </si>
  <si>
    <t>TAR0011-3</t>
  </si>
  <si>
    <t>Agregar el bloque de captura de excepciones (try-catch) y desplegar un JOptionPane visual si la base de datos falla.</t>
  </si>
  <si>
    <t>TAR0012-1</t>
  </si>
  <si>
    <t>Diseñar la ventana de gestión de reservas y programar la tabla dinámica para que ordene los datos descendientemente.</t>
  </si>
  <si>
    <t>TAR0012-2</t>
  </si>
  <si>
    <t>Programar el validador que verifique en tiempo real si el número de cédula ingresado ya existe registrado como cliente.</t>
  </si>
  <si>
    <t>TAR0012-3</t>
  </si>
  <si>
    <t>Implementar alertas de advertencia en caso de detectar campos de reserva obligatorios vacíos antes de procesar el registro.</t>
  </si>
  <si>
    <t>TAR0013-1</t>
  </si>
  <si>
    <t>Crear la colección "reservas" en la base de datos MongoDB, vinculando lógicamente las IDs de los clientes y los eventos.</t>
  </si>
  <si>
    <t>TAR0013-2</t>
  </si>
  <si>
    <t>Desarrollar las funciones asíncronas para guardar de forma permanente las reservas generadas por administradores o colaboradores.</t>
  </si>
  <si>
    <t>TAR0013-3</t>
  </si>
  <si>
    <t>Codificar el método automático de carga inicial de datos desde MongoDB hacia el JTable al abrir la sección de reservas.</t>
  </si>
  <si>
    <t>TAR0014-1</t>
  </si>
  <si>
    <t>Diseñar la interfaz de usuario dedicada para el rol de Colaborador, ocultando visualmente las opciones administrativas.</t>
  </si>
  <si>
    <t>TAR0014-2</t>
  </si>
  <si>
    <t>Programar internamente la función configurarModoColaborador() para bloquear los privilegios de edición y eliminación destructiva.</t>
  </si>
  <si>
    <t>TAR0014-3</t>
  </si>
  <si>
    <t>Conectar el Login al controlador para redireccionar dinámicamente al usuario a esta ventana si sus credenciales son de colaborador.</t>
  </si>
  <si>
    <t>TAR0015-1</t>
  </si>
  <si>
    <t>Diseñar la vista de gestión de clientes específica para colaborador, deshabilitando visualmente las funciones de edición y eliminación.</t>
  </si>
  <si>
    <t>TAR0015-2</t>
  </si>
  <si>
    <t>Programar el motor de búsqueda por número de cédula en la colección "clientes" de MongoDB y diseñar las alertas de coincidencia.</t>
  </si>
  <si>
    <t>TAR0015-3</t>
  </si>
  <si>
    <t>Implementar la validación del formulario de registro de nuevos clientes para asegurar que no se dejen campos en blanco y evitar duplicados.</t>
  </si>
  <si>
    <t>TAR0016-1</t>
  </si>
  <si>
    <t>Diseñar la interfaz de reservas adaptada al colaborador, asegurando que no se visualicen ni habiliten opciones de borrado.</t>
  </si>
  <si>
    <t>TAR0016-2</t>
  </si>
  <si>
    <t>Programar el motor de búsqueda por cliente y el botón para registrar nuevos agendamientos adjuntos en la base de datos.</t>
  </si>
  <si>
    <t>TAR0016-3</t>
  </si>
  <si>
    <t>Implementar las alertas visuales de campos obligatorios vacíos y la validación para impedir el agendamiento de fechas inválidas.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</si>
  <si>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</si>
  <si>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</si>
  <si>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</si>
  <si>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</si>
  <si>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</si>
  <si>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</si>
  <si>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</si>
  <si>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</si>
  <si>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REQ001-1</t>
  </si>
  <si>
    <t>REQ001-2</t>
  </si>
  <si>
    <t>REQ001-3</t>
  </si>
  <si>
    <t>REQ001-4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</si>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</sst>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</font>
    <font/>
    <font>
      <sz val="10.0"/>
      <color theme="4"/>
      <name val="Arial"/>
    </font>
    <font>
      <sz val="10.0"/>
      <color rgb="FF4472C4"/>
      <name val="Arial"/>
    </font>
    <font>
      <color theme="1"/>
      <name val="Arial"/>
    </font>
    <font>
      <sz val="11.0"/>
      <color rgb="FF000000"/>
      <name val="Inconsolata"/>
    </font>
    <font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rgb="FFF38BCC"/>
        <bgColor rgb="FFF38BCC"/>
      </patternFill>
    </fill>
    <fill>
      <patternFill patternType="solid">
        <fgColor rgb="FFFFD965"/>
        <bgColor rgb="FFFFD965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2" fillId="3" fontId="6" numFmtId="0" xfId="0" applyAlignment="1" applyBorder="1" applyFill="1" applyFont="1">
      <alignment horizontal="center" readingOrder="0" vertical="center"/>
    </xf>
    <xf borderId="1" fillId="4" fontId="8" numFmtId="0" xfId="0" applyAlignment="1" applyBorder="1" applyFill="1" applyFont="1">
      <alignment readingOrder="0"/>
    </xf>
    <xf borderId="1" fillId="4" fontId="8" numFmtId="0" xfId="0" applyBorder="1" applyFont="1"/>
    <xf borderId="3" fillId="0" fontId="9" numFmtId="0" xfId="0" applyBorder="1" applyFont="1"/>
    <xf borderId="1" fillId="0" fontId="8" numFmtId="0" xfId="0" applyBorder="1" applyFont="1"/>
    <xf borderId="1" fillId="0" fontId="1" numFmtId="0" xfId="0" applyBorder="1" applyFont="1"/>
    <xf borderId="4" fillId="0" fontId="8" numFmtId="0" xfId="0" applyAlignment="1" applyBorder="1" applyFont="1">
      <alignment readingOrder="0"/>
    </xf>
    <xf borderId="5" fillId="0" fontId="9" numFmtId="0" xfId="0" applyBorder="1" applyFont="1"/>
    <xf borderId="6" fillId="0" fontId="9" numFmtId="0" xfId="0" applyBorder="1" applyFont="1"/>
    <xf borderId="1" fillId="0" fontId="8" numFmtId="0" xfId="0" applyAlignment="1" applyBorder="1" applyFont="1">
      <alignment readingOrder="0"/>
    </xf>
    <xf borderId="1" fillId="0" fontId="10" numFmtId="0" xfId="0" applyAlignment="1" applyBorder="1" applyFont="1">
      <alignment horizontal="right"/>
    </xf>
    <xf borderId="1" fillId="0" fontId="11" numFmtId="0" xfId="0" applyAlignment="1" applyBorder="1" applyFont="1">
      <alignment horizontal="right" readingOrder="0"/>
    </xf>
    <xf borderId="1" fillId="0" fontId="1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/>
    </xf>
    <xf borderId="1" fillId="0" fontId="10" numFmtId="0" xfId="0" applyBorder="1" applyFont="1"/>
    <xf borderId="5" fillId="0" fontId="8" numFmtId="0" xfId="0" applyAlignment="1" applyBorder="1" applyFont="1">
      <alignment readingOrder="0"/>
    </xf>
    <xf borderId="6" fillId="0" fontId="8" numFmtId="0" xfId="0" applyAlignment="1" applyBorder="1" applyFont="1">
      <alignment readingOrder="0"/>
    </xf>
    <xf borderId="7" fillId="0" fontId="9" numFmtId="0" xfId="0" applyBorder="1" applyFont="1"/>
    <xf borderId="8" fillId="5" fontId="6" numFmtId="0" xfId="0" applyAlignment="1" applyBorder="1" applyFill="1" applyFont="1">
      <alignment horizontal="center" readingOrder="0" vertical="center"/>
    </xf>
    <xf borderId="8" fillId="0" fontId="9" numFmtId="0" xfId="0" applyBorder="1" applyFont="1"/>
    <xf borderId="4" fillId="0" fontId="6" numFmtId="0" xfId="0" applyAlignment="1" applyBorder="1" applyFont="1">
      <alignment readingOrder="0"/>
    </xf>
    <xf borderId="1" fillId="0" fontId="6" numFmtId="0" xfId="0" applyBorder="1" applyFont="1"/>
    <xf borderId="9" fillId="0" fontId="9" numFmtId="0" xfId="0" applyBorder="1" applyFont="1"/>
    <xf borderId="0" fillId="6" fontId="6" numFmtId="0" xfId="0" applyAlignment="1" applyFill="1" applyFon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4" fillId="0" fontId="12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5" fillId="0" fontId="12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0" fillId="0" fontId="6" numFmtId="0" xfId="0" applyAlignment="1" applyBorder="1" applyFont="1">
      <alignment readingOrder="0"/>
    </xf>
    <xf borderId="10" fillId="0" fontId="9" numFmtId="0" xfId="0" applyBorder="1" applyFont="1"/>
    <xf borderId="6" fillId="0" fontId="6" numFmtId="0" xfId="0" applyAlignment="1" applyBorder="1" applyFont="1">
      <alignment readingOrder="0"/>
    </xf>
    <xf borderId="0" fillId="0" fontId="8" numFmtId="0" xfId="0" applyFont="1"/>
    <xf borderId="0" fillId="0" fontId="6" numFmtId="0" xfId="0" applyFont="1"/>
    <xf borderId="11" fillId="7" fontId="3" numFmtId="0" xfId="0" applyBorder="1" applyFill="1" applyFont="1"/>
    <xf borderId="11" fillId="8" fontId="3" numFmtId="0" xfId="0" applyAlignment="1" applyBorder="1" applyFill="1" applyFont="1">
      <alignment readingOrder="0"/>
    </xf>
    <xf borderId="11" fillId="7" fontId="3" numFmtId="0" xfId="0" applyAlignment="1" applyBorder="1" applyFont="1">
      <alignment readingOrder="0"/>
    </xf>
    <xf borderId="12" fillId="9" fontId="8" numFmtId="0" xfId="0" applyBorder="1" applyFill="1" applyFont="1"/>
    <xf borderId="12" fillId="0" fontId="8" numFmtId="0" xfId="0" applyBorder="1" applyFont="1"/>
    <xf borderId="12" fillId="10" fontId="13" numFmtId="0" xfId="0" applyBorder="1" applyFill="1" applyFont="1"/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0878442708739748"/>
          <c:y val="0.059575003594018"/>
          <c:w val="0.7163870516185477"/>
          <c:h val="0.8688230008984726"/>
        </c:manualLayout>
      </c:layout>
      <c:lineChart>
        <c:ser>
          <c:idx val="0"/>
          <c:order val="0"/>
          <c:spPr>
            <a:ln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burdonchart!$B$9:$J$9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burdonchart!$B$10:$J$10</c:f>
              <c:numCache/>
            </c:numRef>
          </c:val>
          <c:smooth val="0"/>
        </c:ser>
        <c:axId val="1560251021"/>
        <c:axId val="1748723477"/>
      </c:lineChart>
      <c:catAx>
        <c:axId val="1560251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748723477"/>
      </c:catAx>
      <c:valAx>
        <c:axId val="17487234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56025102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</xdr:colOff>
      <xdr:row>11</xdr:row>
      <xdr:rowOff>9525</xdr:rowOff>
    </xdr:from>
    <xdr:ext cx="8048625" cy="49339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26.38"/>
    <col customWidth="1" min="3" max="3" width="17.13"/>
    <col customWidth="1" min="4" max="4" width="110.5"/>
    <col customWidth="1" min="5" max="5" width="113.0"/>
    <col customWidth="1" min="6" max="6" width="110.75"/>
    <col customWidth="1" min="7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2" t="s">
        <v>8</v>
      </c>
      <c r="B2" s="2" t="s">
        <v>9</v>
      </c>
      <c r="C2" s="3" t="s">
        <v>10</v>
      </c>
      <c r="D2" s="2" t="s">
        <v>11</v>
      </c>
      <c r="E2" s="4" t="s">
        <v>12</v>
      </c>
      <c r="F2" s="4" t="s">
        <v>13</v>
      </c>
      <c r="G2" s="5" t="s">
        <v>14</v>
      </c>
      <c r="H2" s="5" t="s">
        <v>15</v>
      </c>
    </row>
    <row r="3" ht="15.75" customHeight="1">
      <c r="A3" s="2" t="s">
        <v>16</v>
      </c>
      <c r="B3" s="2" t="s">
        <v>17</v>
      </c>
      <c r="C3" s="2" t="s">
        <v>10</v>
      </c>
      <c r="D3" s="2" t="s">
        <v>18</v>
      </c>
      <c r="E3" s="4" t="s">
        <v>19</v>
      </c>
      <c r="F3" s="4" t="s">
        <v>20</v>
      </c>
      <c r="G3" s="5" t="s">
        <v>14</v>
      </c>
      <c r="H3" s="5" t="s">
        <v>15</v>
      </c>
    </row>
    <row r="4" ht="15.75" customHeight="1">
      <c r="A4" s="2" t="s">
        <v>21</v>
      </c>
      <c r="B4" s="2" t="s">
        <v>22</v>
      </c>
      <c r="C4" s="2" t="s">
        <v>10</v>
      </c>
      <c r="D4" s="2" t="s">
        <v>23</v>
      </c>
      <c r="E4" s="4" t="s">
        <v>24</v>
      </c>
      <c r="F4" s="4" t="s">
        <v>25</v>
      </c>
      <c r="G4" s="4" t="s">
        <v>14</v>
      </c>
      <c r="H4" s="4" t="s">
        <v>15</v>
      </c>
    </row>
    <row r="5" ht="15.75" customHeight="1">
      <c r="A5" s="2" t="s">
        <v>26</v>
      </c>
      <c r="B5" s="2" t="s">
        <v>27</v>
      </c>
      <c r="C5" s="2" t="s">
        <v>10</v>
      </c>
      <c r="D5" s="6" t="s">
        <v>28</v>
      </c>
      <c r="E5" s="7" t="s">
        <v>29</v>
      </c>
      <c r="F5" s="7" t="s">
        <v>30</v>
      </c>
      <c r="G5" s="4" t="s">
        <v>14</v>
      </c>
      <c r="H5" s="4" t="s">
        <v>15</v>
      </c>
    </row>
    <row r="6" ht="15.75" customHeight="1">
      <c r="A6" s="2" t="s">
        <v>31</v>
      </c>
      <c r="B6" s="2" t="s">
        <v>32</v>
      </c>
      <c r="C6" s="2" t="s">
        <v>10</v>
      </c>
      <c r="D6" s="6" t="s">
        <v>33</v>
      </c>
      <c r="E6" s="8" t="s">
        <v>34</v>
      </c>
      <c r="F6" s="7" t="s">
        <v>35</v>
      </c>
      <c r="G6" s="4" t="s">
        <v>14</v>
      </c>
      <c r="H6" s="4" t="s">
        <v>15</v>
      </c>
    </row>
    <row r="7" ht="15.75" customHeight="1">
      <c r="A7" s="2" t="s">
        <v>36</v>
      </c>
      <c r="B7" s="6" t="s">
        <v>37</v>
      </c>
      <c r="C7" s="2" t="s">
        <v>10</v>
      </c>
      <c r="D7" s="6" t="s">
        <v>38</v>
      </c>
      <c r="E7" s="7" t="s">
        <v>39</v>
      </c>
      <c r="F7" s="7" t="s">
        <v>40</v>
      </c>
      <c r="G7" s="7" t="s">
        <v>14</v>
      </c>
      <c r="H7" s="4" t="s">
        <v>15</v>
      </c>
    </row>
    <row r="8" ht="15.75" customHeight="1">
      <c r="A8" s="2" t="s">
        <v>41</v>
      </c>
      <c r="B8" s="6" t="s">
        <v>42</v>
      </c>
      <c r="C8" s="2" t="s">
        <v>10</v>
      </c>
      <c r="D8" s="6" t="s">
        <v>43</v>
      </c>
      <c r="E8" s="7" t="s">
        <v>44</v>
      </c>
      <c r="F8" s="7" t="s">
        <v>45</v>
      </c>
      <c r="G8" s="7" t="s">
        <v>14</v>
      </c>
      <c r="H8" s="4" t="s">
        <v>15</v>
      </c>
    </row>
    <row r="9" ht="15.75" customHeight="1">
      <c r="A9" s="2" t="s">
        <v>46</v>
      </c>
      <c r="B9" s="6" t="s">
        <v>47</v>
      </c>
      <c r="C9" s="6" t="s">
        <v>10</v>
      </c>
      <c r="D9" s="6" t="s">
        <v>48</v>
      </c>
      <c r="E9" s="7" t="s">
        <v>49</v>
      </c>
      <c r="F9" s="7" t="s">
        <v>50</v>
      </c>
      <c r="G9" s="7" t="s">
        <v>14</v>
      </c>
      <c r="H9" s="4" t="s">
        <v>15</v>
      </c>
    </row>
    <row r="10" ht="15.75" customHeight="1">
      <c r="A10" s="2" t="s">
        <v>51</v>
      </c>
      <c r="B10" s="6" t="s">
        <v>52</v>
      </c>
      <c r="C10" s="6" t="s">
        <v>10</v>
      </c>
      <c r="D10" s="6" t="s">
        <v>53</v>
      </c>
      <c r="E10" s="7" t="s">
        <v>54</v>
      </c>
      <c r="F10" s="7" t="s">
        <v>55</v>
      </c>
      <c r="G10" s="7" t="s">
        <v>14</v>
      </c>
      <c r="H10" s="4" t="s">
        <v>15</v>
      </c>
    </row>
    <row r="11" ht="15.75" customHeight="1">
      <c r="A11" s="2" t="s">
        <v>56</v>
      </c>
      <c r="B11" s="6" t="s">
        <v>57</v>
      </c>
      <c r="C11" s="6" t="s">
        <v>10</v>
      </c>
      <c r="D11" s="9" t="s">
        <v>58</v>
      </c>
      <c r="E11" s="10" t="s">
        <v>59</v>
      </c>
      <c r="F11" s="10" t="s">
        <v>60</v>
      </c>
      <c r="G11" s="7" t="s">
        <v>14</v>
      </c>
      <c r="H11" s="4" t="s">
        <v>15</v>
      </c>
    </row>
    <row r="12" ht="15.75" customHeight="1">
      <c r="A12" s="2" t="s">
        <v>61</v>
      </c>
      <c r="B12" s="6" t="s">
        <v>62</v>
      </c>
      <c r="C12" s="6" t="s">
        <v>10</v>
      </c>
      <c r="D12" s="9" t="s">
        <v>63</v>
      </c>
      <c r="E12" s="10" t="s">
        <v>64</v>
      </c>
      <c r="F12" s="10" t="s">
        <v>65</v>
      </c>
      <c r="G12" s="7" t="s">
        <v>14</v>
      </c>
      <c r="H12" s="4" t="s">
        <v>15</v>
      </c>
    </row>
    <row r="13" ht="15.75" customHeight="1">
      <c r="A13" s="2" t="s">
        <v>66</v>
      </c>
      <c r="B13" s="6" t="s">
        <v>67</v>
      </c>
      <c r="C13" s="6" t="s">
        <v>10</v>
      </c>
      <c r="D13" s="9" t="s">
        <v>68</v>
      </c>
      <c r="E13" s="10" t="s">
        <v>69</v>
      </c>
      <c r="F13" s="8" t="s">
        <v>70</v>
      </c>
      <c r="G13" s="7" t="s">
        <v>14</v>
      </c>
      <c r="H13" s="4" t="s">
        <v>15</v>
      </c>
    </row>
    <row r="14" ht="15.75" customHeight="1">
      <c r="A14" s="2" t="s">
        <v>71</v>
      </c>
      <c r="B14" s="6" t="s">
        <v>72</v>
      </c>
      <c r="C14" s="6" t="s">
        <v>10</v>
      </c>
      <c r="D14" s="9" t="s">
        <v>73</v>
      </c>
      <c r="E14" s="10" t="s">
        <v>74</v>
      </c>
      <c r="F14" s="10" t="s">
        <v>75</v>
      </c>
      <c r="G14" s="7" t="s">
        <v>14</v>
      </c>
      <c r="H14" s="4" t="s">
        <v>15</v>
      </c>
    </row>
    <row r="15" ht="15.75" customHeight="1">
      <c r="A15" s="2" t="s">
        <v>76</v>
      </c>
      <c r="B15" s="6" t="s">
        <v>77</v>
      </c>
      <c r="C15" s="6" t="s">
        <v>10</v>
      </c>
      <c r="D15" s="9" t="s">
        <v>78</v>
      </c>
      <c r="E15" s="10" t="s">
        <v>79</v>
      </c>
      <c r="F15" s="10" t="s">
        <v>80</v>
      </c>
      <c r="G15" s="7" t="s">
        <v>14</v>
      </c>
      <c r="H15" s="4" t="s">
        <v>15</v>
      </c>
    </row>
    <row r="16" ht="15.75" customHeight="1">
      <c r="A16" s="2" t="s">
        <v>81</v>
      </c>
      <c r="B16" s="6" t="s">
        <v>82</v>
      </c>
      <c r="C16" s="9" t="s">
        <v>83</v>
      </c>
      <c r="D16" s="9" t="s">
        <v>84</v>
      </c>
      <c r="E16" s="10" t="s">
        <v>85</v>
      </c>
      <c r="F16" s="8" t="s">
        <v>86</v>
      </c>
      <c r="G16" s="7" t="s">
        <v>14</v>
      </c>
      <c r="H16" s="4" t="s">
        <v>15</v>
      </c>
    </row>
    <row r="17" ht="15.75" customHeight="1">
      <c r="A17" s="2" t="s">
        <v>87</v>
      </c>
      <c r="B17" s="9" t="s">
        <v>88</v>
      </c>
      <c r="C17" s="9" t="s">
        <v>83</v>
      </c>
      <c r="D17" s="9" t="s">
        <v>89</v>
      </c>
      <c r="E17" s="10" t="s">
        <v>90</v>
      </c>
      <c r="F17" s="10" t="s">
        <v>91</v>
      </c>
      <c r="G17" s="7" t="s">
        <v>14</v>
      </c>
      <c r="H17" s="4" t="s">
        <v>15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23.75"/>
    <col customWidth="1" min="4" max="4" width="20.5"/>
    <col customWidth="1" min="5" max="5" width="94.88"/>
    <col customWidth="1" min="6" max="6" width="108.88"/>
    <col customWidth="1" min="7" max="7" width="113.0"/>
    <col customWidth="1" min="8" max="26" width="12.5"/>
  </cols>
  <sheetData>
    <row r="1" ht="15.75" customHeight="1"/>
    <row r="2" ht="15.75" customHeight="1"/>
    <row r="3" ht="15.75" customHeight="1">
      <c r="B3" s="11" t="s">
        <v>0</v>
      </c>
      <c r="C3" s="11" t="s">
        <v>1</v>
      </c>
      <c r="D3" s="11" t="s">
        <v>2</v>
      </c>
      <c r="E3" s="11" t="s">
        <v>92</v>
      </c>
      <c r="F3" s="11" t="s">
        <v>93</v>
      </c>
      <c r="G3" s="11" t="s">
        <v>5</v>
      </c>
      <c r="H3" s="11" t="s">
        <v>94</v>
      </c>
      <c r="I3" s="11" t="s">
        <v>95</v>
      </c>
    </row>
    <row r="4" ht="15.75" customHeight="1">
      <c r="A4" s="12" t="s">
        <v>96</v>
      </c>
      <c r="B4" s="13" t="s">
        <v>8</v>
      </c>
      <c r="C4" s="13" t="s">
        <v>9</v>
      </c>
      <c r="D4" s="14" t="s">
        <v>10</v>
      </c>
      <c r="E4" s="13" t="s">
        <v>11</v>
      </c>
      <c r="F4" s="13" t="s">
        <v>12</v>
      </c>
      <c r="G4" s="13" t="s">
        <v>97</v>
      </c>
      <c r="H4" s="14" t="s">
        <v>14</v>
      </c>
      <c r="I4" s="14" t="s">
        <v>98</v>
      </c>
    </row>
    <row r="5" ht="15.75" customHeight="1">
      <c r="A5" s="15"/>
      <c r="B5" s="16"/>
      <c r="C5" s="17" t="s">
        <v>99</v>
      </c>
      <c r="D5" s="16"/>
      <c r="E5" s="16"/>
      <c r="F5" s="16"/>
      <c r="G5" s="17" t="s">
        <v>100</v>
      </c>
      <c r="H5" s="16"/>
      <c r="I5" s="17" t="s">
        <v>101</v>
      </c>
    </row>
    <row r="6" ht="15.75" customHeight="1">
      <c r="A6" s="15"/>
      <c r="B6" s="4" t="s">
        <v>102</v>
      </c>
      <c r="C6" s="18" t="s">
        <v>103</v>
      </c>
      <c r="D6" s="19"/>
      <c r="E6" s="19"/>
      <c r="F6" s="20"/>
      <c r="G6" s="21" t="s">
        <v>104</v>
      </c>
      <c r="H6" s="16"/>
      <c r="I6" s="22">
        <v>4.0</v>
      </c>
    </row>
    <row r="7" ht="15.75" customHeight="1">
      <c r="A7" s="15"/>
      <c r="B7" s="4" t="s">
        <v>105</v>
      </c>
      <c r="C7" s="18" t="s">
        <v>106</v>
      </c>
      <c r="D7" s="19"/>
      <c r="E7" s="19"/>
      <c r="F7" s="20"/>
      <c r="G7" s="21" t="s">
        <v>104</v>
      </c>
      <c r="H7" s="16"/>
      <c r="I7" s="22">
        <v>1.0</v>
      </c>
    </row>
    <row r="8" ht="15.75" customHeight="1">
      <c r="A8" s="15"/>
      <c r="B8" s="4" t="s">
        <v>107</v>
      </c>
      <c r="C8" s="18" t="s">
        <v>108</v>
      </c>
      <c r="D8" s="19"/>
      <c r="E8" s="19"/>
      <c r="F8" s="20"/>
      <c r="G8" s="21" t="s">
        <v>104</v>
      </c>
      <c r="H8" s="16"/>
      <c r="I8" s="23">
        <v>1.0</v>
      </c>
    </row>
    <row r="9" ht="15.75" customHeight="1">
      <c r="A9" s="15"/>
      <c r="B9" s="13" t="s">
        <v>16</v>
      </c>
      <c r="C9" s="13" t="s">
        <v>17</v>
      </c>
      <c r="D9" s="14" t="s">
        <v>10</v>
      </c>
      <c r="E9" s="13" t="s">
        <v>18</v>
      </c>
      <c r="F9" s="13" t="s">
        <v>19</v>
      </c>
      <c r="G9" s="13" t="s">
        <v>109</v>
      </c>
      <c r="H9" s="14" t="s">
        <v>14</v>
      </c>
      <c r="I9" s="14" t="s">
        <v>98</v>
      </c>
    </row>
    <row r="10" ht="15.75" customHeight="1">
      <c r="A10" s="15"/>
      <c r="B10" s="24"/>
      <c r="C10" s="25" t="s">
        <v>99</v>
      </c>
      <c r="D10" s="26"/>
      <c r="E10" s="26"/>
      <c r="F10" s="26"/>
      <c r="G10" s="21" t="s">
        <v>100</v>
      </c>
      <c r="H10" s="11"/>
      <c r="I10" s="22"/>
    </row>
    <row r="11" ht="15.75" customHeight="1">
      <c r="A11" s="15"/>
      <c r="B11" s="21" t="s">
        <v>110</v>
      </c>
      <c r="C11" s="18" t="s">
        <v>111</v>
      </c>
      <c r="D11" s="19"/>
      <c r="E11" s="19"/>
      <c r="F11" s="20"/>
      <c r="G11" s="21" t="s">
        <v>104</v>
      </c>
      <c r="H11" s="27"/>
      <c r="I11" s="4">
        <v>2.0</v>
      </c>
    </row>
    <row r="12" ht="15.75" customHeight="1">
      <c r="A12" s="15"/>
      <c r="B12" s="21" t="s">
        <v>112</v>
      </c>
      <c r="C12" s="18" t="s">
        <v>113</v>
      </c>
      <c r="D12" s="28"/>
      <c r="E12" s="28"/>
      <c r="F12" s="29"/>
      <c r="G12" s="21" t="s">
        <v>104</v>
      </c>
      <c r="H12" s="27"/>
      <c r="I12" s="4">
        <v>2.0</v>
      </c>
    </row>
    <row r="13" ht="15.75" customHeight="1">
      <c r="A13" s="30"/>
      <c r="B13" s="21" t="s">
        <v>114</v>
      </c>
      <c r="C13" s="18" t="s">
        <v>115</v>
      </c>
      <c r="D13" s="19"/>
      <c r="E13" s="19"/>
      <c r="F13" s="20"/>
      <c r="G13" s="21" t="s">
        <v>104</v>
      </c>
      <c r="H13" s="27"/>
      <c r="I13" s="4">
        <v>2.0</v>
      </c>
    </row>
    <row r="14" ht="15.75" customHeight="1">
      <c r="A14" s="31" t="s">
        <v>116</v>
      </c>
      <c r="B14" s="13" t="s">
        <v>21</v>
      </c>
      <c r="C14" s="13" t="s">
        <v>22</v>
      </c>
      <c r="D14" s="14" t="s">
        <v>10</v>
      </c>
      <c r="E14" s="13" t="s">
        <v>117</v>
      </c>
      <c r="F14" s="13" t="s">
        <v>24</v>
      </c>
      <c r="G14" s="13" t="s">
        <v>118</v>
      </c>
      <c r="H14" s="14" t="s">
        <v>14</v>
      </c>
      <c r="I14" s="13" t="s">
        <v>98</v>
      </c>
    </row>
    <row r="15" ht="15.75" customHeight="1">
      <c r="A15" s="32"/>
      <c r="B15" s="24"/>
      <c r="C15" s="25" t="s">
        <v>99</v>
      </c>
      <c r="D15" s="26"/>
      <c r="E15" s="26"/>
      <c r="F15" s="26"/>
      <c r="G15" s="21" t="s">
        <v>100</v>
      </c>
      <c r="H15" s="11"/>
      <c r="I15" s="22"/>
    </row>
    <row r="16" ht="15.75" customHeight="1">
      <c r="A16" s="32"/>
      <c r="B16" s="21" t="s">
        <v>119</v>
      </c>
      <c r="C16" s="18" t="s">
        <v>120</v>
      </c>
      <c r="D16" s="19"/>
      <c r="E16" s="19"/>
      <c r="F16" s="20"/>
      <c r="G16" s="21" t="s">
        <v>121</v>
      </c>
      <c r="H16" s="27"/>
      <c r="I16" s="4">
        <v>2.0</v>
      </c>
    </row>
    <row r="17" ht="15.75" customHeight="1">
      <c r="A17" s="32"/>
      <c r="B17" s="10" t="s">
        <v>122</v>
      </c>
      <c r="C17" s="33" t="s">
        <v>123</v>
      </c>
      <c r="D17" s="19"/>
      <c r="E17" s="19"/>
      <c r="F17" s="20"/>
      <c r="G17" s="10" t="s">
        <v>121</v>
      </c>
      <c r="H17" s="34"/>
      <c r="I17" s="10">
        <v>2.0</v>
      </c>
    </row>
    <row r="18" ht="15.75" customHeight="1">
      <c r="A18" s="32"/>
      <c r="B18" s="10" t="s">
        <v>124</v>
      </c>
      <c r="C18" s="33" t="s">
        <v>125</v>
      </c>
      <c r="D18" s="19"/>
      <c r="E18" s="19"/>
      <c r="F18" s="20"/>
      <c r="G18" s="10" t="s">
        <v>121</v>
      </c>
      <c r="H18" s="34"/>
      <c r="I18" s="10">
        <v>2.0</v>
      </c>
    </row>
    <row r="19" ht="15.75" customHeight="1">
      <c r="A19" s="32"/>
      <c r="B19" s="13" t="s">
        <v>26</v>
      </c>
      <c r="C19" s="13" t="s">
        <v>27</v>
      </c>
      <c r="D19" s="14" t="s">
        <v>10</v>
      </c>
      <c r="E19" s="13" t="s">
        <v>28</v>
      </c>
      <c r="F19" s="13" t="s">
        <v>29</v>
      </c>
      <c r="G19" s="13" t="s">
        <v>126</v>
      </c>
      <c r="H19" s="14" t="s">
        <v>14</v>
      </c>
      <c r="I19" s="13" t="s">
        <v>98</v>
      </c>
    </row>
    <row r="20" ht="15.75" customHeight="1">
      <c r="A20" s="32"/>
      <c r="B20" s="24"/>
      <c r="C20" s="25" t="s">
        <v>99</v>
      </c>
      <c r="D20" s="26"/>
      <c r="E20" s="26"/>
      <c r="F20" s="26"/>
      <c r="G20" s="21" t="s">
        <v>100</v>
      </c>
      <c r="H20" s="34"/>
      <c r="I20" s="34"/>
    </row>
    <row r="21" ht="15.75" customHeight="1">
      <c r="A21" s="32"/>
      <c r="B21" s="21" t="s">
        <v>127</v>
      </c>
      <c r="C21" s="18" t="s">
        <v>128</v>
      </c>
      <c r="D21" s="19"/>
      <c r="E21" s="19"/>
      <c r="F21" s="20"/>
      <c r="G21" s="21" t="s">
        <v>121</v>
      </c>
      <c r="H21" s="34"/>
      <c r="I21" s="10">
        <v>2.0</v>
      </c>
    </row>
    <row r="22" ht="15.75" customHeight="1">
      <c r="A22" s="32"/>
      <c r="B22" s="21" t="s">
        <v>129</v>
      </c>
      <c r="C22" s="33" t="s">
        <v>130</v>
      </c>
      <c r="D22" s="19"/>
      <c r="E22" s="19"/>
      <c r="F22" s="20"/>
      <c r="G22" s="10" t="s">
        <v>121</v>
      </c>
      <c r="H22" s="34"/>
      <c r="I22" s="10">
        <v>2.0</v>
      </c>
    </row>
    <row r="23" ht="15.75" customHeight="1">
      <c r="A23" s="32"/>
      <c r="B23" s="10" t="s">
        <v>131</v>
      </c>
      <c r="C23" s="33" t="s">
        <v>132</v>
      </c>
      <c r="D23" s="19"/>
      <c r="E23" s="19"/>
      <c r="F23" s="20"/>
      <c r="G23" s="10" t="s">
        <v>121</v>
      </c>
      <c r="H23" s="34"/>
      <c r="I23" s="10">
        <v>1.0</v>
      </c>
    </row>
    <row r="24" ht="15.75" customHeight="1">
      <c r="A24" s="32"/>
      <c r="B24" s="13" t="s">
        <v>31</v>
      </c>
      <c r="C24" s="13" t="s">
        <v>32</v>
      </c>
      <c r="D24" s="13" t="s">
        <v>10</v>
      </c>
      <c r="E24" s="13" t="s">
        <v>33</v>
      </c>
      <c r="F24" s="13" t="s">
        <v>34</v>
      </c>
      <c r="G24" s="13" t="s">
        <v>126</v>
      </c>
      <c r="H24" s="14" t="s">
        <v>14</v>
      </c>
      <c r="I24" s="13" t="s">
        <v>98</v>
      </c>
    </row>
    <row r="25" ht="15.75" customHeight="1">
      <c r="A25" s="32"/>
      <c r="B25" s="10"/>
      <c r="C25" s="25" t="s">
        <v>99</v>
      </c>
      <c r="D25" s="26"/>
      <c r="E25" s="26"/>
      <c r="F25" s="26"/>
      <c r="G25" s="21" t="s">
        <v>100</v>
      </c>
      <c r="H25" s="34"/>
      <c r="I25" s="34"/>
    </row>
    <row r="26" ht="15.75" customHeight="1">
      <c r="A26" s="32"/>
      <c r="B26" s="21" t="s">
        <v>133</v>
      </c>
      <c r="C26" s="33" t="s">
        <v>134</v>
      </c>
      <c r="D26" s="19"/>
      <c r="E26" s="20"/>
      <c r="F26" s="10"/>
      <c r="G26" s="10" t="s">
        <v>135</v>
      </c>
      <c r="H26" s="34"/>
      <c r="I26" s="10">
        <v>2.0</v>
      </c>
    </row>
    <row r="27" ht="15.75" customHeight="1">
      <c r="A27" s="32"/>
      <c r="B27" s="21" t="s">
        <v>136</v>
      </c>
      <c r="C27" s="33" t="s">
        <v>137</v>
      </c>
      <c r="D27" s="19"/>
      <c r="E27" s="20"/>
      <c r="F27" s="10"/>
      <c r="G27" s="10" t="s">
        <v>135</v>
      </c>
      <c r="H27" s="34"/>
      <c r="I27" s="10">
        <v>2.0</v>
      </c>
    </row>
    <row r="28" ht="15.75" customHeight="1">
      <c r="A28" s="35"/>
      <c r="B28" s="21" t="s">
        <v>138</v>
      </c>
      <c r="C28" s="33" t="s">
        <v>139</v>
      </c>
      <c r="D28" s="19"/>
      <c r="E28" s="20"/>
      <c r="F28" s="10"/>
      <c r="G28" s="10" t="s">
        <v>135</v>
      </c>
      <c r="H28" s="34"/>
      <c r="I28" s="10">
        <v>1.0</v>
      </c>
    </row>
    <row r="29" ht="15.75" customHeight="1">
      <c r="A29" s="36" t="s">
        <v>140</v>
      </c>
      <c r="B29" s="13" t="s">
        <v>36</v>
      </c>
      <c r="C29" s="13" t="s">
        <v>37</v>
      </c>
      <c r="D29" s="14" t="s">
        <v>10</v>
      </c>
      <c r="E29" s="13" t="s">
        <v>38</v>
      </c>
      <c r="F29" s="13" t="s">
        <v>39</v>
      </c>
      <c r="G29" s="13" t="s">
        <v>40</v>
      </c>
      <c r="H29" s="14" t="s">
        <v>14</v>
      </c>
      <c r="I29" s="13" t="s">
        <v>98</v>
      </c>
    </row>
    <row r="30" ht="15.75" customHeight="1">
      <c r="B30" s="24"/>
      <c r="C30" s="25" t="s">
        <v>99</v>
      </c>
      <c r="D30" s="26"/>
      <c r="E30" s="26"/>
      <c r="F30" s="26"/>
      <c r="G30" s="10" t="s">
        <v>100</v>
      </c>
      <c r="H30" s="34"/>
      <c r="I30" s="34"/>
    </row>
    <row r="31" ht="15.75" customHeight="1">
      <c r="B31" s="21" t="s">
        <v>141</v>
      </c>
      <c r="C31" s="18" t="s">
        <v>142</v>
      </c>
      <c r="D31" s="19"/>
      <c r="E31" s="19"/>
      <c r="F31" s="20"/>
      <c r="G31" s="21" t="s">
        <v>104</v>
      </c>
      <c r="H31" s="34"/>
      <c r="I31" s="10">
        <v>2.0</v>
      </c>
    </row>
    <row r="32" ht="15.75" customHeight="1">
      <c r="B32" s="21" t="s">
        <v>143</v>
      </c>
      <c r="C32" s="33" t="s">
        <v>144</v>
      </c>
      <c r="D32" s="19"/>
      <c r="E32" s="19"/>
      <c r="F32" s="20"/>
      <c r="G32" s="21" t="s">
        <v>104</v>
      </c>
      <c r="H32" s="34"/>
      <c r="I32" s="10">
        <v>1.0</v>
      </c>
    </row>
    <row r="33" ht="15.75" customHeight="1">
      <c r="B33" s="21" t="s">
        <v>145</v>
      </c>
      <c r="C33" s="33" t="s">
        <v>146</v>
      </c>
      <c r="D33" s="19"/>
      <c r="E33" s="19"/>
      <c r="F33" s="20"/>
      <c r="G33" s="21" t="s">
        <v>104</v>
      </c>
      <c r="H33" s="34"/>
      <c r="I33" s="10">
        <v>2.0</v>
      </c>
    </row>
    <row r="34" ht="15.75" customHeight="1">
      <c r="B34" s="13" t="s">
        <v>41</v>
      </c>
      <c r="C34" s="13" t="s">
        <v>42</v>
      </c>
      <c r="D34" s="14" t="s">
        <v>10</v>
      </c>
      <c r="E34" s="13" t="s">
        <v>43</v>
      </c>
      <c r="F34" s="13" t="s">
        <v>44</v>
      </c>
      <c r="G34" s="13" t="s">
        <v>45</v>
      </c>
      <c r="H34" s="14" t="s">
        <v>14</v>
      </c>
      <c r="I34" s="13" t="s">
        <v>98</v>
      </c>
    </row>
    <row r="35" ht="15.75" customHeight="1">
      <c r="B35" s="24"/>
      <c r="C35" s="25" t="s">
        <v>99</v>
      </c>
      <c r="D35" s="26"/>
      <c r="E35" s="26"/>
      <c r="F35" s="26"/>
      <c r="G35" s="10" t="s">
        <v>100</v>
      </c>
      <c r="H35" s="34"/>
      <c r="I35" s="34"/>
    </row>
    <row r="36" ht="15.75" customHeight="1">
      <c r="B36" s="21" t="s">
        <v>147</v>
      </c>
      <c r="C36" s="18" t="s">
        <v>148</v>
      </c>
      <c r="D36" s="19"/>
      <c r="E36" s="19"/>
      <c r="F36" s="20"/>
      <c r="G36" s="21" t="s">
        <v>104</v>
      </c>
      <c r="H36" s="34"/>
      <c r="I36" s="10">
        <v>2.0</v>
      </c>
    </row>
    <row r="37" ht="15.75" customHeight="1">
      <c r="B37" s="21" t="s">
        <v>149</v>
      </c>
      <c r="C37" s="33" t="s">
        <v>150</v>
      </c>
      <c r="D37" s="19"/>
      <c r="E37" s="19"/>
      <c r="F37" s="20"/>
      <c r="G37" s="21" t="s">
        <v>104</v>
      </c>
      <c r="H37" s="34"/>
      <c r="I37" s="10">
        <v>3.0</v>
      </c>
    </row>
    <row r="38" ht="15.75" customHeight="1">
      <c r="B38" s="21" t="s">
        <v>151</v>
      </c>
      <c r="C38" s="33" t="s">
        <v>152</v>
      </c>
      <c r="D38" s="19"/>
      <c r="E38" s="19"/>
      <c r="F38" s="20"/>
      <c r="G38" s="21" t="s">
        <v>104</v>
      </c>
      <c r="H38" s="34"/>
      <c r="I38" s="10">
        <v>1.0</v>
      </c>
    </row>
    <row r="39" ht="15.75" customHeight="1">
      <c r="A39" s="37" t="s">
        <v>153</v>
      </c>
      <c r="B39" s="13" t="s">
        <v>46</v>
      </c>
      <c r="C39" s="13" t="s">
        <v>47</v>
      </c>
      <c r="D39" s="14" t="s">
        <v>10</v>
      </c>
      <c r="E39" s="13" t="s">
        <v>48</v>
      </c>
      <c r="F39" s="13" t="s">
        <v>49</v>
      </c>
      <c r="G39" s="13" t="s">
        <v>50</v>
      </c>
      <c r="H39" s="14" t="s">
        <v>14</v>
      </c>
      <c r="I39" s="13" t="s">
        <v>98</v>
      </c>
    </row>
    <row r="40" ht="15.75" customHeight="1">
      <c r="B40" s="24"/>
      <c r="C40" s="25" t="s">
        <v>99</v>
      </c>
      <c r="D40" s="26"/>
      <c r="E40" s="26"/>
      <c r="F40" s="26"/>
      <c r="G40" s="10" t="s">
        <v>154</v>
      </c>
      <c r="H40" s="34"/>
      <c r="I40" s="34"/>
    </row>
    <row r="41" ht="15.75" customHeight="1">
      <c r="B41" s="21" t="s">
        <v>155</v>
      </c>
      <c r="C41" s="18" t="s">
        <v>156</v>
      </c>
      <c r="D41" s="19"/>
      <c r="E41" s="19"/>
      <c r="F41" s="20"/>
      <c r="G41" s="10" t="s">
        <v>157</v>
      </c>
      <c r="H41" s="34"/>
      <c r="I41" s="10">
        <v>3.0</v>
      </c>
    </row>
    <row r="42" ht="15.75" customHeight="1">
      <c r="B42" s="21" t="s">
        <v>158</v>
      </c>
      <c r="C42" s="33" t="s">
        <v>159</v>
      </c>
      <c r="D42" s="19"/>
      <c r="E42" s="19"/>
      <c r="F42" s="20"/>
      <c r="G42" s="10" t="s">
        <v>157</v>
      </c>
      <c r="H42" s="34"/>
      <c r="I42" s="10">
        <v>2.0</v>
      </c>
    </row>
    <row r="43" ht="15.75" customHeight="1">
      <c r="B43" s="21" t="s">
        <v>160</v>
      </c>
      <c r="C43" s="33" t="s">
        <v>161</v>
      </c>
      <c r="D43" s="19"/>
      <c r="E43" s="19"/>
      <c r="F43" s="20"/>
      <c r="G43" s="10" t="s">
        <v>157</v>
      </c>
      <c r="H43" s="34"/>
      <c r="I43" s="10">
        <v>2.0</v>
      </c>
    </row>
    <row r="44" ht="15.75" customHeight="1">
      <c r="B44" s="13" t="s">
        <v>51</v>
      </c>
      <c r="C44" s="13" t="s">
        <v>52</v>
      </c>
      <c r="D44" s="14" t="s">
        <v>10</v>
      </c>
      <c r="E44" s="13" t="s">
        <v>53</v>
      </c>
      <c r="F44" s="13" t="s">
        <v>54</v>
      </c>
      <c r="G44" s="13" t="s">
        <v>55</v>
      </c>
      <c r="H44" s="14" t="s">
        <v>14</v>
      </c>
      <c r="I44" s="13" t="s">
        <v>98</v>
      </c>
    </row>
    <row r="45" ht="15.75" customHeight="1">
      <c r="B45" s="24"/>
      <c r="C45" s="25" t="s">
        <v>99</v>
      </c>
      <c r="D45" s="26"/>
      <c r="E45" s="26"/>
      <c r="F45" s="26"/>
      <c r="G45" s="10" t="s">
        <v>154</v>
      </c>
      <c r="H45" s="34"/>
      <c r="I45" s="34"/>
    </row>
    <row r="46" ht="15.75" customHeight="1">
      <c r="B46" s="21" t="s">
        <v>162</v>
      </c>
      <c r="C46" s="18" t="s">
        <v>163</v>
      </c>
      <c r="D46" s="19"/>
      <c r="E46" s="19"/>
      <c r="F46" s="20"/>
      <c r="G46" s="21" t="s">
        <v>121</v>
      </c>
      <c r="H46" s="34"/>
      <c r="I46" s="10">
        <v>3.0</v>
      </c>
    </row>
    <row r="47" ht="15.75" customHeight="1">
      <c r="B47" s="21" t="s">
        <v>164</v>
      </c>
      <c r="C47" s="33" t="s">
        <v>165</v>
      </c>
      <c r="D47" s="19"/>
      <c r="E47" s="19"/>
      <c r="F47" s="20"/>
      <c r="G47" s="10" t="s">
        <v>121</v>
      </c>
      <c r="H47" s="34"/>
      <c r="I47" s="10">
        <v>2.0</v>
      </c>
    </row>
    <row r="48" ht="15.75" customHeight="1">
      <c r="B48" s="21" t="s">
        <v>166</v>
      </c>
      <c r="C48" s="33" t="s">
        <v>167</v>
      </c>
      <c r="D48" s="19"/>
      <c r="E48" s="19"/>
      <c r="F48" s="20"/>
      <c r="G48" s="10" t="s">
        <v>121</v>
      </c>
      <c r="H48" s="34"/>
      <c r="I48" s="10">
        <v>2.0</v>
      </c>
    </row>
    <row r="49" ht="15.75" customHeight="1">
      <c r="B49" s="13" t="s">
        <v>56</v>
      </c>
      <c r="C49" s="13" t="s">
        <v>57</v>
      </c>
      <c r="D49" s="14" t="s">
        <v>10</v>
      </c>
      <c r="E49" s="13" t="s">
        <v>58</v>
      </c>
      <c r="F49" s="13" t="s">
        <v>59</v>
      </c>
      <c r="G49" s="13" t="s">
        <v>60</v>
      </c>
      <c r="H49" s="14" t="s">
        <v>14</v>
      </c>
      <c r="I49" s="13" t="s">
        <v>98</v>
      </c>
    </row>
    <row r="50" ht="15.75" customHeight="1">
      <c r="B50" s="24"/>
      <c r="C50" s="25" t="s">
        <v>99</v>
      </c>
      <c r="D50" s="26"/>
      <c r="E50" s="26"/>
      <c r="F50" s="26"/>
      <c r="G50" s="10" t="s">
        <v>154</v>
      </c>
      <c r="H50" s="34"/>
      <c r="I50" s="34"/>
    </row>
    <row r="51" ht="15.75" customHeight="1">
      <c r="B51" s="21" t="s">
        <v>168</v>
      </c>
      <c r="C51" s="18" t="s">
        <v>169</v>
      </c>
      <c r="D51" s="19"/>
      <c r="E51" s="19"/>
      <c r="F51" s="20"/>
      <c r="G51" s="10" t="s">
        <v>157</v>
      </c>
      <c r="H51" s="34"/>
      <c r="I51" s="10">
        <v>3.0</v>
      </c>
    </row>
    <row r="52" ht="15.75" customHeight="1">
      <c r="B52" s="21" t="s">
        <v>170</v>
      </c>
      <c r="C52" s="33" t="s">
        <v>171</v>
      </c>
      <c r="D52" s="19"/>
      <c r="E52" s="19"/>
      <c r="F52" s="20"/>
      <c r="G52" s="10" t="s">
        <v>157</v>
      </c>
      <c r="H52" s="34"/>
      <c r="I52" s="10">
        <v>2.0</v>
      </c>
    </row>
    <row r="53" ht="15.75" customHeight="1">
      <c r="B53" s="21" t="s">
        <v>172</v>
      </c>
      <c r="C53" s="33" t="s">
        <v>173</v>
      </c>
      <c r="D53" s="19"/>
      <c r="E53" s="19"/>
      <c r="F53" s="20"/>
      <c r="G53" s="10" t="s">
        <v>157</v>
      </c>
      <c r="H53" s="34"/>
      <c r="I53" s="10">
        <v>2.0</v>
      </c>
    </row>
    <row r="54" ht="15.75" customHeight="1">
      <c r="B54" s="13" t="s">
        <v>61</v>
      </c>
      <c r="C54" s="13" t="s">
        <v>62</v>
      </c>
      <c r="D54" s="14" t="s">
        <v>10</v>
      </c>
      <c r="E54" s="13" t="s">
        <v>63</v>
      </c>
      <c r="F54" s="13" t="s">
        <v>64</v>
      </c>
      <c r="G54" s="13" t="s">
        <v>65</v>
      </c>
      <c r="H54" s="14" t="s">
        <v>14</v>
      </c>
      <c r="I54" s="13" t="s">
        <v>98</v>
      </c>
    </row>
    <row r="55" ht="15.75" customHeight="1">
      <c r="B55" s="24"/>
      <c r="C55" s="25" t="s">
        <v>99</v>
      </c>
      <c r="D55" s="26"/>
      <c r="E55" s="26"/>
      <c r="F55" s="26"/>
      <c r="G55" s="10" t="s">
        <v>154</v>
      </c>
      <c r="H55" s="34"/>
      <c r="I55" s="34"/>
    </row>
    <row r="56" ht="15.75" customHeight="1">
      <c r="B56" s="21" t="s">
        <v>174</v>
      </c>
      <c r="C56" s="18" t="s">
        <v>175</v>
      </c>
      <c r="D56" s="19"/>
      <c r="E56" s="19"/>
      <c r="F56" s="20"/>
      <c r="G56" s="10" t="s">
        <v>157</v>
      </c>
      <c r="H56" s="34"/>
      <c r="I56" s="10">
        <v>3.0</v>
      </c>
    </row>
    <row r="57" ht="15.75" customHeight="1">
      <c r="B57" s="21" t="s">
        <v>176</v>
      </c>
      <c r="C57" s="33" t="s">
        <v>177</v>
      </c>
      <c r="D57" s="19"/>
      <c r="E57" s="19"/>
      <c r="F57" s="20"/>
      <c r="G57" s="10" t="s">
        <v>157</v>
      </c>
      <c r="H57" s="34"/>
      <c r="I57" s="10">
        <v>2.0</v>
      </c>
    </row>
    <row r="58" ht="15.75" customHeight="1">
      <c r="B58" s="21" t="s">
        <v>178</v>
      </c>
      <c r="C58" s="33" t="s">
        <v>179</v>
      </c>
      <c r="D58" s="19"/>
      <c r="E58" s="19"/>
      <c r="F58" s="20"/>
      <c r="G58" s="10" t="s">
        <v>157</v>
      </c>
      <c r="H58" s="34"/>
      <c r="I58" s="10">
        <v>2.0</v>
      </c>
    </row>
    <row r="59" ht="15.75" customHeight="1">
      <c r="B59" s="13" t="s">
        <v>66</v>
      </c>
      <c r="C59" s="13" t="s">
        <v>67</v>
      </c>
      <c r="D59" s="14" t="s">
        <v>10</v>
      </c>
      <c r="E59" s="13" t="s">
        <v>68</v>
      </c>
      <c r="F59" s="13" t="s">
        <v>69</v>
      </c>
      <c r="G59" s="13" t="s">
        <v>70</v>
      </c>
      <c r="H59" s="14" t="s">
        <v>14</v>
      </c>
      <c r="I59" s="13" t="s">
        <v>98</v>
      </c>
    </row>
    <row r="60" ht="15.75" customHeight="1">
      <c r="B60" s="24"/>
      <c r="C60" s="25" t="s">
        <v>99</v>
      </c>
      <c r="D60" s="26"/>
      <c r="E60" s="26"/>
      <c r="F60" s="26"/>
      <c r="G60" s="10" t="s">
        <v>154</v>
      </c>
      <c r="H60" s="34"/>
      <c r="I60" s="34"/>
    </row>
    <row r="61" ht="15.75" customHeight="1">
      <c r="B61" s="21" t="s">
        <v>180</v>
      </c>
      <c r="C61" s="18" t="s">
        <v>181</v>
      </c>
      <c r="D61" s="19"/>
      <c r="E61" s="19"/>
      <c r="F61" s="20"/>
      <c r="G61" s="21" t="s">
        <v>104</v>
      </c>
      <c r="H61" s="34"/>
      <c r="I61" s="10">
        <v>3.0</v>
      </c>
    </row>
    <row r="62" ht="15.75" customHeight="1">
      <c r="B62" s="21" t="s">
        <v>182</v>
      </c>
      <c r="C62" s="33" t="s">
        <v>183</v>
      </c>
      <c r="D62" s="19"/>
      <c r="E62" s="19"/>
      <c r="F62" s="20"/>
      <c r="G62" s="21" t="s">
        <v>104</v>
      </c>
      <c r="H62" s="34"/>
      <c r="I62" s="10">
        <v>2.0</v>
      </c>
    </row>
    <row r="63" ht="15.75" customHeight="1">
      <c r="B63" s="21" t="s">
        <v>184</v>
      </c>
      <c r="C63" s="33" t="s">
        <v>185</v>
      </c>
      <c r="D63" s="19"/>
      <c r="E63" s="19"/>
      <c r="F63" s="20"/>
      <c r="G63" s="21" t="s">
        <v>104</v>
      </c>
      <c r="H63" s="34"/>
      <c r="I63" s="10">
        <v>2.0</v>
      </c>
    </row>
    <row r="64" ht="15.75" customHeight="1">
      <c r="B64" s="13" t="s">
        <v>71</v>
      </c>
      <c r="C64" s="13" t="s">
        <v>72</v>
      </c>
      <c r="D64" s="14" t="s">
        <v>10</v>
      </c>
      <c r="E64" s="13" t="s">
        <v>73</v>
      </c>
      <c r="F64" s="13" t="s">
        <v>74</v>
      </c>
      <c r="G64" s="13" t="s">
        <v>75</v>
      </c>
      <c r="H64" s="14" t="s">
        <v>14</v>
      </c>
      <c r="I64" s="13" t="s">
        <v>98</v>
      </c>
    </row>
    <row r="65" ht="15.75" customHeight="1">
      <c r="B65" s="24"/>
      <c r="C65" s="25" t="s">
        <v>99</v>
      </c>
      <c r="D65" s="26"/>
      <c r="E65" s="26"/>
      <c r="F65" s="26"/>
      <c r="G65" s="10" t="s">
        <v>154</v>
      </c>
      <c r="H65" s="34"/>
      <c r="I65" s="34"/>
    </row>
    <row r="66" ht="15.75" customHeight="1">
      <c r="B66" s="21" t="s">
        <v>186</v>
      </c>
      <c r="C66" s="18" t="s">
        <v>187</v>
      </c>
      <c r="D66" s="19"/>
      <c r="E66" s="19"/>
      <c r="F66" s="20"/>
      <c r="G66" s="21" t="s">
        <v>104</v>
      </c>
      <c r="H66" s="34"/>
      <c r="I66" s="10">
        <v>3.0</v>
      </c>
    </row>
    <row r="67" ht="15.75" customHeight="1">
      <c r="B67" s="21" t="s">
        <v>188</v>
      </c>
      <c r="C67" s="33" t="s">
        <v>189</v>
      </c>
      <c r="D67" s="19"/>
      <c r="E67" s="19"/>
      <c r="F67" s="20"/>
      <c r="G67" s="21" t="s">
        <v>104</v>
      </c>
      <c r="H67" s="34"/>
      <c r="I67" s="10">
        <v>2.0</v>
      </c>
    </row>
    <row r="68" ht="15.75" customHeight="1">
      <c r="B68" s="21" t="s">
        <v>190</v>
      </c>
      <c r="C68" s="33" t="s">
        <v>191</v>
      </c>
      <c r="D68" s="19"/>
      <c r="E68" s="19"/>
      <c r="F68" s="20"/>
      <c r="G68" s="21" t="s">
        <v>104</v>
      </c>
      <c r="H68" s="34"/>
      <c r="I68" s="10">
        <v>2.0</v>
      </c>
    </row>
    <row r="69" ht="15.75" customHeight="1">
      <c r="B69" s="13" t="s">
        <v>76</v>
      </c>
      <c r="C69" s="13" t="s">
        <v>77</v>
      </c>
      <c r="D69" s="14" t="s">
        <v>10</v>
      </c>
      <c r="E69" s="13" t="s">
        <v>78</v>
      </c>
      <c r="F69" s="13" t="s">
        <v>79</v>
      </c>
      <c r="G69" s="13" t="s">
        <v>80</v>
      </c>
      <c r="H69" s="14" t="s">
        <v>14</v>
      </c>
      <c r="I69" s="13" t="s">
        <v>98</v>
      </c>
    </row>
    <row r="70" ht="15.75" customHeight="1">
      <c r="B70" s="24"/>
      <c r="C70" s="25" t="s">
        <v>99</v>
      </c>
      <c r="D70" s="26"/>
      <c r="E70" s="26"/>
      <c r="F70" s="26"/>
      <c r="G70" s="10" t="s">
        <v>154</v>
      </c>
      <c r="H70" s="34"/>
      <c r="I70" s="34"/>
    </row>
    <row r="71" ht="15.75" customHeight="1">
      <c r="B71" s="21" t="s">
        <v>192</v>
      </c>
      <c r="C71" s="18" t="s">
        <v>193</v>
      </c>
      <c r="D71" s="19"/>
      <c r="E71" s="19"/>
      <c r="F71" s="20"/>
      <c r="G71" s="21" t="s">
        <v>121</v>
      </c>
      <c r="H71" s="34"/>
      <c r="I71" s="10">
        <v>3.0</v>
      </c>
    </row>
    <row r="72" ht="15.75" customHeight="1">
      <c r="B72" s="21" t="s">
        <v>194</v>
      </c>
      <c r="C72" s="33" t="s">
        <v>195</v>
      </c>
      <c r="D72" s="19"/>
      <c r="E72" s="19"/>
      <c r="F72" s="20"/>
      <c r="G72" s="10" t="s">
        <v>121</v>
      </c>
      <c r="H72" s="34"/>
      <c r="I72" s="10">
        <v>2.0</v>
      </c>
    </row>
    <row r="73" ht="15.75" customHeight="1">
      <c r="B73" s="21" t="s">
        <v>196</v>
      </c>
      <c r="C73" s="33" t="s">
        <v>197</v>
      </c>
      <c r="D73" s="19"/>
      <c r="E73" s="19"/>
      <c r="F73" s="20"/>
      <c r="G73" s="10" t="s">
        <v>121</v>
      </c>
      <c r="H73" s="34"/>
      <c r="I73" s="10">
        <v>2.0</v>
      </c>
    </row>
    <row r="74" ht="15.75" customHeight="1">
      <c r="B74" s="13" t="s">
        <v>81</v>
      </c>
      <c r="C74" s="13" t="s">
        <v>82</v>
      </c>
      <c r="D74" s="14"/>
      <c r="E74" s="13"/>
      <c r="F74" s="13"/>
      <c r="G74" s="13"/>
      <c r="H74" s="14" t="s">
        <v>14</v>
      </c>
      <c r="I74" s="13" t="s">
        <v>98</v>
      </c>
    </row>
    <row r="75" ht="15.75" customHeight="1">
      <c r="B75" s="24"/>
      <c r="C75" s="25" t="s">
        <v>99</v>
      </c>
      <c r="D75" s="26"/>
      <c r="E75" s="26"/>
      <c r="F75" s="26"/>
      <c r="G75" s="10" t="s">
        <v>154</v>
      </c>
      <c r="H75" s="34"/>
      <c r="I75" s="34"/>
    </row>
    <row r="76" ht="15.75" customHeight="1">
      <c r="B76" s="21" t="s">
        <v>198</v>
      </c>
      <c r="C76" s="38" t="s">
        <v>199</v>
      </c>
      <c r="D76" s="19"/>
      <c r="E76" s="19"/>
      <c r="F76" s="20"/>
      <c r="G76" s="21" t="s">
        <v>104</v>
      </c>
      <c r="H76" s="34"/>
      <c r="I76" s="10">
        <v>3.0</v>
      </c>
    </row>
    <row r="77" ht="15.75" customHeight="1">
      <c r="B77" s="21" t="s">
        <v>200</v>
      </c>
      <c r="C77" s="38" t="s">
        <v>201</v>
      </c>
      <c r="D77" s="19"/>
      <c r="E77" s="19"/>
      <c r="F77" s="20"/>
      <c r="G77" s="21" t="s">
        <v>104</v>
      </c>
      <c r="H77" s="34"/>
      <c r="I77" s="10">
        <v>2.0</v>
      </c>
    </row>
    <row r="78" ht="15.75" customHeight="1">
      <c r="B78" s="21" t="s">
        <v>202</v>
      </c>
      <c r="C78" s="39" t="s">
        <v>203</v>
      </c>
      <c r="D78" s="40"/>
      <c r="E78" s="40"/>
      <c r="F78" s="41"/>
      <c r="G78" s="21" t="s">
        <v>104</v>
      </c>
      <c r="H78" s="34"/>
      <c r="I78" s="10">
        <v>2.0</v>
      </c>
    </row>
    <row r="79" ht="15.75" customHeight="1">
      <c r="B79" s="13" t="s">
        <v>87</v>
      </c>
      <c r="C79" s="13" t="s">
        <v>82</v>
      </c>
      <c r="D79" s="14"/>
      <c r="E79" s="13"/>
      <c r="F79" s="13"/>
      <c r="G79" s="13"/>
      <c r="H79" s="14" t="s">
        <v>14</v>
      </c>
      <c r="I79" s="13" t="s">
        <v>98</v>
      </c>
    </row>
    <row r="80" ht="15.75" customHeight="1">
      <c r="B80" s="24"/>
      <c r="C80" s="25" t="s">
        <v>99</v>
      </c>
      <c r="D80" s="26"/>
      <c r="E80" s="26"/>
      <c r="F80" s="26"/>
      <c r="G80" s="10" t="s">
        <v>154</v>
      </c>
      <c r="H80" s="34"/>
      <c r="I80" s="34"/>
    </row>
    <row r="81" ht="15.75" customHeight="1">
      <c r="B81" s="21" t="s">
        <v>204</v>
      </c>
      <c r="C81" s="8" t="s">
        <v>205</v>
      </c>
      <c r="D81" s="28"/>
      <c r="E81" s="28"/>
      <c r="F81" s="29"/>
      <c r="G81" s="21" t="s">
        <v>104</v>
      </c>
      <c r="H81" s="34"/>
      <c r="I81" s="10">
        <v>3.0</v>
      </c>
    </row>
    <row r="82" ht="15.75" customHeight="1">
      <c r="B82" s="21" t="s">
        <v>206</v>
      </c>
      <c r="C82" s="33" t="s">
        <v>207</v>
      </c>
      <c r="D82" s="19"/>
      <c r="E82" s="19"/>
      <c r="F82" s="20"/>
      <c r="G82" s="21" t="s">
        <v>104</v>
      </c>
      <c r="H82" s="34"/>
      <c r="I82" s="10">
        <v>2.0</v>
      </c>
    </row>
    <row r="83" ht="15.75" customHeight="1">
      <c r="B83" s="21" t="s">
        <v>208</v>
      </c>
      <c r="C83" s="42" t="s">
        <v>209</v>
      </c>
      <c r="D83" s="43"/>
      <c r="E83" s="43"/>
      <c r="F83" s="44"/>
      <c r="G83" s="21" t="s">
        <v>104</v>
      </c>
      <c r="H83" s="34"/>
      <c r="I83" s="10">
        <v>2.0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9">
    <mergeCell ref="C16:F16"/>
    <mergeCell ref="C17:F17"/>
    <mergeCell ref="C18:F18"/>
    <mergeCell ref="C21:F21"/>
    <mergeCell ref="C22:F22"/>
    <mergeCell ref="C23:F23"/>
    <mergeCell ref="A4:A13"/>
    <mergeCell ref="C6:F6"/>
    <mergeCell ref="C7:F7"/>
    <mergeCell ref="C8:F8"/>
    <mergeCell ref="C11:F11"/>
    <mergeCell ref="C13:F13"/>
    <mergeCell ref="A14:A28"/>
    <mergeCell ref="C28:E28"/>
    <mergeCell ref="C37:F37"/>
    <mergeCell ref="C38:F38"/>
    <mergeCell ref="C42:F42"/>
    <mergeCell ref="C43:F43"/>
    <mergeCell ref="C46:F46"/>
    <mergeCell ref="C47:F47"/>
    <mergeCell ref="C36:F36"/>
    <mergeCell ref="C41:F41"/>
    <mergeCell ref="C72:F72"/>
    <mergeCell ref="C73:F73"/>
    <mergeCell ref="C82:F82"/>
    <mergeCell ref="C76:F76"/>
    <mergeCell ref="C77:F77"/>
    <mergeCell ref="C83:E83"/>
    <mergeCell ref="C26:E26"/>
    <mergeCell ref="C27:E27"/>
    <mergeCell ref="A29:A38"/>
    <mergeCell ref="C31:F31"/>
    <mergeCell ref="C32:F32"/>
    <mergeCell ref="C33:F33"/>
    <mergeCell ref="A39:A83"/>
    <mergeCell ref="C48:F48"/>
    <mergeCell ref="C51:F51"/>
    <mergeCell ref="C52:F52"/>
    <mergeCell ref="C53:F53"/>
    <mergeCell ref="C56:F56"/>
    <mergeCell ref="C57:F57"/>
    <mergeCell ref="C58:F58"/>
    <mergeCell ref="C61:F61"/>
    <mergeCell ref="C62:F62"/>
    <mergeCell ref="C63:F63"/>
    <mergeCell ref="C66:F66"/>
    <mergeCell ref="C67:F67"/>
    <mergeCell ref="C68:F68"/>
    <mergeCell ref="C71:F7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75"/>
    <col customWidth="1" min="3" max="3" width="12.5"/>
    <col customWidth="1" min="4" max="4" width="11.25"/>
    <col customWidth="1" min="5" max="26" width="12.5"/>
  </cols>
  <sheetData>
    <row r="1" ht="15.75" customHeight="1"/>
    <row r="2" ht="15.75" customHeight="1"/>
    <row r="3" ht="15.75" customHeight="1">
      <c r="B3" s="45"/>
      <c r="C3" s="45" t="s">
        <v>101</v>
      </c>
      <c r="D3" s="45" t="s">
        <v>210</v>
      </c>
      <c r="E3" s="45" t="s">
        <v>211</v>
      </c>
      <c r="F3" s="45" t="s">
        <v>212</v>
      </c>
      <c r="G3" s="45" t="s">
        <v>213</v>
      </c>
      <c r="H3" s="45" t="s">
        <v>214</v>
      </c>
      <c r="I3" s="45" t="s">
        <v>215</v>
      </c>
      <c r="J3" s="45" t="s">
        <v>216</v>
      </c>
      <c r="K3" s="45" t="s">
        <v>217</v>
      </c>
    </row>
    <row r="4" ht="15.75" customHeight="1">
      <c r="B4" s="46" t="s">
        <v>218</v>
      </c>
      <c r="C4" s="47">
        <v>4.0</v>
      </c>
      <c r="D4" s="46">
        <v>0.0</v>
      </c>
      <c r="E4" s="8">
        <v>0.0</v>
      </c>
      <c r="F4" s="8">
        <v>0.0</v>
      </c>
      <c r="G4" s="46">
        <v>0.0</v>
      </c>
      <c r="H4" s="8">
        <v>1.0</v>
      </c>
      <c r="I4" s="8">
        <v>1.0</v>
      </c>
      <c r="J4" s="8">
        <v>4.0</v>
      </c>
      <c r="K4" s="48">
        <f t="shared" ref="K4:K7" si="1">SUM(C4:J4)</f>
        <v>10</v>
      </c>
    </row>
    <row r="5" ht="15.75" customHeight="1">
      <c r="B5" s="46" t="s">
        <v>219</v>
      </c>
      <c r="C5" s="47">
        <v>1.0</v>
      </c>
      <c r="D5" s="46">
        <v>0.0</v>
      </c>
      <c r="E5" s="8">
        <v>0.0</v>
      </c>
      <c r="F5" s="46">
        <v>0.0</v>
      </c>
      <c r="G5" s="46">
        <v>0.0</v>
      </c>
      <c r="H5" s="46">
        <v>0.0</v>
      </c>
      <c r="I5" s="8">
        <v>0.0</v>
      </c>
      <c r="J5" s="46">
        <v>0.0</v>
      </c>
      <c r="K5" s="48">
        <f t="shared" si="1"/>
        <v>1</v>
      </c>
    </row>
    <row r="6" ht="15.75" customHeight="1">
      <c r="A6" s="45"/>
      <c r="B6" s="46" t="s">
        <v>220</v>
      </c>
      <c r="C6" s="47">
        <v>2.0</v>
      </c>
      <c r="D6" s="8">
        <v>0.0</v>
      </c>
      <c r="E6" s="46">
        <v>0.0</v>
      </c>
      <c r="F6" s="8">
        <v>0.0</v>
      </c>
      <c r="G6" s="8">
        <v>2.0</v>
      </c>
      <c r="H6" s="46">
        <v>0.0</v>
      </c>
      <c r="I6" s="46">
        <v>0.0</v>
      </c>
      <c r="J6" s="8">
        <v>0.0</v>
      </c>
      <c r="K6" s="48">
        <f t="shared" si="1"/>
        <v>4</v>
      </c>
    </row>
    <row r="7" ht="15.75" customHeight="1">
      <c r="A7" s="45"/>
      <c r="B7" s="46" t="s">
        <v>221</v>
      </c>
      <c r="C7" s="49">
        <v>4.0</v>
      </c>
      <c r="D7" s="8">
        <v>0.0</v>
      </c>
      <c r="E7" s="8">
        <v>1.0</v>
      </c>
      <c r="F7" s="8">
        <v>0.0</v>
      </c>
      <c r="G7" s="8">
        <v>0.0</v>
      </c>
      <c r="H7" s="46">
        <v>0.0</v>
      </c>
      <c r="I7" s="8">
        <v>0.0</v>
      </c>
      <c r="J7" s="46">
        <v>0.0</v>
      </c>
      <c r="K7" s="48">
        <f t="shared" si="1"/>
        <v>5</v>
      </c>
    </row>
    <row r="8" ht="15.75" customHeight="1"/>
    <row r="9" ht="15.75" customHeight="1">
      <c r="B9" s="50" t="s">
        <v>222</v>
      </c>
      <c r="C9" s="51">
        <f>SUM(C4:C7)</f>
        <v>11</v>
      </c>
      <c r="D9" s="51">
        <f t="shared" ref="D9:J9" si="2">C9-SUM(D4:D7)</f>
        <v>11</v>
      </c>
      <c r="E9" s="52">
        <f t="shared" si="2"/>
        <v>10</v>
      </c>
      <c r="F9" s="51">
        <f t="shared" si="2"/>
        <v>10</v>
      </c>
      <c r="G9" s="51">
        <f t="shared" si="2"/>
        <v>8</v>
      </c>
      <c r="H9" s="51">
        <f t="shared" si="2"/>
        <v>7</v>
      </c>
      <c r="I9" s="51">
        <f t="shared" si="2"/>
        <v>6</v>
      </c>
      <c r="J9" s="51">
        <f t="shared" si="2"/>
        <v>2</v>
      </c>
    </row>
    <row r="10" ht="15.75" customHeight="1">
      <c r="B10" s="50" t="s">
        <v>223</v>
      </c>
      <c r="C10" s="51">
        <f>SUM(C4:C7)</f>
        <v>11</v>
      </c>
      <c r="D10" s="51">
        <f>C10-(SUM(C4:C7)/7)</f>
        <v>9.428571429</v>
      </c>
      <c r="E10" s="52">
        <f>D10-(SUM(C4:C7)/7)</f>
        <v>7.857142857</v>
      </c>
      <c r="F10" s="51">
        <f>E10-(SUM(C4:C7)/7)</f>
        <v>6.285714286</v>
      </c>
      <c r="G10" s="51">
        <f>F10-(SUM(C4:C7)/7)</f>
        <v>4.714285714</v>
      </c>
      <c r="H10" s="51">
        <f>G10-(SUM(C4:C7)/7)</f>
        <v>3.142857143</v>
      </c>
      <c r="I10" s="51">
        <f>H10-(SUM(C4:C7)/7)</f>
        <v>1.571428571</v>
      </c>
      <c r="J10" s="51">
        <f>I10-(SUM(C4:C7)/7)</f>
        <v>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>
      <c r="B19" s="5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9:E29"/>
  </mergeCells>
  <printOptions/>
  <pageMargins bottom="0.75" footer="0.0" header="0.0" left="0.7" right="0.7" top="0.75"/>
  <pageSetup orientation="landscape"/>
  <drawing r:id="rId1"/>
</worksheet>
</file>