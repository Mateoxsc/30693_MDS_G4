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<sst xmlns="http://schemas.openxmlformats.org/spreadsheetml/2006/main" count="279" uniqueCount="150">
  <si>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</si>
  <si>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</si>
  <si>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</si>
  <si>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</si>
  <si>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</si>
  <si>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</si>
  <si>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</si>
  <si>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</si>
  <si>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</si>
  <si>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</si>
  <si>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</si>
  <si>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</si>
  <si>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</si>
  <si>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</si>
  <si>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</si>
  <si>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</si>
  <si>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</si>
  <si>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</si>
  <si>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</si>
  <si>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</si>
  <si>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</si>
  <si>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</si>
  <si>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</si>
  <si>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</si>
  <si>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</si>
  <si>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</si>
  <si>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</si>
  <si>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</si>
  <si>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</si>
  <si>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</si>
  <si>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</si>
  <si>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</si>
  <si>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</si>
  <si>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</si>
  <si>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</si>
  <si>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</si>
  <si>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</si>
  <si>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Mejora de la Interfaz Gráfica</t>
  </si>
  <si>
    <t>Programador</t>
  </si>
  <si>
    <t>Optimizar el aspecto visual, la distribución de los menús y la organización de los elementos en pantalla.</t>
  </si>
  <si>
    <t>Facilitar una navegación más rápida e intuitiva que disminuya el cansancio operativo durante las jornadas diarias de gestión.</t>
  </si>
  <si>
    <t>#Asegurar un diseño adaptable a pantallas grandes y mantener colores legibles, al gusto del cliente.</t>
  </si>
  <si>
    <t>TAR007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</si>
  <si>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</si>
  <si>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</si>
  <si>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</si>
  <si>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</si>
  <si>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En proceso</t>
  </si>
  <si>
    <t>TAR008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</si>
  <si>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</si>
  <si>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</si>
  <si>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</si>
  <si>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</si>
  <si>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TAR009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</si>
  <si>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</si>
  <si>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</si>
  <si>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</si>
  <si>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</si>
  <si>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</si>
  <si>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</si>
  <si>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</si>
  <si>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</si>
  <si>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</si>
  <si>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</si>
  <si>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</si>
  <si>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</si>
  <si>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</si>
  <si>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</si>
  <si>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</si>
  <si>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</si>
  <si>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</si>
  <si>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</si>
  <si>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</si>
  <si>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</si>
  <si>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</si>
  <si>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</si>
  <si>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</si>
  <si>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</si>
  <si>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</si>
  <si>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</si>
  <si>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</si>
  <si>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</si>
  <si>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</si>
  <si>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</si>
  <si>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</si>
  <si>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</si>
  <si>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</si>
  <si>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</si>
  <si>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</si>
  <si>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</si>
  <si>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</si>
  <si>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</si>
  <si>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</si>
  <si>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</si>
  <si>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</si>
  <si>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</si>
  <si>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</si>
  <si>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</si>
  <si>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</si>
  <si>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</si>
  <si>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</si>
  <si>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</si>
  <si>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</si>
  <si>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</si>
  <si>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</si>
  <si>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</si>
  <si>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</si>
  <si>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TAR006-1</t>
  </si>
  <si>
    <t>Diseñar la nueva interfaz aplicando la paleta de colores modernos en botones y fondos.</t>
  </si>
  <si>
    <t>TAR006-2</t>
  </si>
  <si>
    <t>Configurar la consistencia visual y tipográfica en todas las ventanas del sistema.</t>
  </si>
  <si>
    <t>TAR006-3</t>
  </si>
  <si>
    <t>Implementar pruebas de contraste y legibilidad para asegurar una navegación cómoda.</t>
  </si>
  <si>
    <t>SPRING 3</t>
  </si>
  <si>
    <t>No iniciado</t>
  </si>
  <si>
    <t>TAR007-1</t>
  </si>
  <si>
    <t>Diseñar el formulario de captura para datos personales del cliente.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</si>
  <si>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</si>
  <si>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</si>
  <si>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</si>
  <si>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</si>
  <si>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</si>
  <si>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</si>
  <si>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</si>
  <si>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</si>
  <si>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</si>
  <si>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</si>
  <si>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SPRING 4 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</si>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</sst>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4" fillId="0" fontId="7" numFmtId="0" xfId="0" applyAlignment="1" applyBorder="1" applyFont="1">
      <alignment horizontal="left" readingOrder="0"/>
    </xf>
    <xf borderId="9" fillId="0" fontId="8" numFmtId="0" xfId="0" applyBorder="1" applyFont="1"/>
    <xf borderId="4" fillId="0" fontId="7" numFmtId="0" xfId="0" applyAlignment="1" applyBorder="1" applyFont="1">
      <alignment horizontal="left" readingOrder="0"/>
    </xf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596548952"/>
        <c:axId val="2146057031"/>
      </c:lineChart>
      <c:catAx>
        <c:axId val="59654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46057031"/>
      </c:catAx>
      <c:valAx>
        <c:axId val="2146057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965489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2" t="s">
        <v>37</v>
      </c>
      <c r="C7" s="2" t="s">
        <v>38</v>
      </c>
      <c r="D7" s="6" t="s">
        <v>39</v>
      </c>
      <c r="E7" s="7" t="s">
        <v>40</v>
      </c>
      <c r="F7" s="7" t="s">
        <v>41</v>
      </c>
      <c r="G7" s="4" t="s">
        <v>14</v>
      </c>
      <c r="H7" s="4" t="s">
        <v>15</v>
      </c>
    </row>
    <row r="8" ht="15.75" customHeight="1">
      <c r="A8" s="2" t="s">
        <v>42</v>
      </c>
      <c r="B8" s="6" t="s">
        <v>43</v>
      </c>
      <c r="C8" s="2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4" t="s">
        <v>47</v>
      </c>
    </row>
    <row r="9" ht="15.75" customHeight="1">
      <c r="A9" s="2" t="s">
        <v>48</v>
      </c>
      <c r="B9" s="6" t="s">
        <v>49</v>
      </c>
      <c r="C9" s="2" t="s">
        <v>10</v>
      </c>
      <c r="D9" s="6" t="s">
        <v>50</v>
      </c>
      <c r="E9" s="7" t="s">
        <v>51</v>
      </c>
      <c r="F9" s="7" t="s">
        <v>52</v>
      </c>
      <c r="G9" s="7" t="s">
        <v>14</v>
      </c>
      <c r="H9" s="4" t="s">
        <v>47</v>
      </c>
    </row>
    <row r="10" ht="15.75" customHeight="1">
      <c r="A10" s="2" t="s">
        <v>53</v>
      </c>
      <c r="B10" s="6" t="s">
        <v>54</v>
      </c>
      <c r="C10" s="6" t="s">
        <v>10</v>
      </c>
      <c r="D10" s="6" t="s">
        <v>55</v>
      </c>
      <c r="E10" s="7" t="s">
        <v>56</v>
      </c>
      <c r="F10" s="7" t="s">
        <v>57</v>
      </c>
      <c r="G10" s="7" t="s">
        <v>14</v>
      </c>
      <c r="H10" s="7" t="s">
        <v>58</v>
      </c>
    </row>
    <row r="11" ht="15.75" customHeight="1">
      <c r="A11" s="2"/>
      <c r="B11" s="9"/>
      <c r="C11" s="9"/>
      <c r="D11" s="9"/>
      <c r="E11" s="10"/>
      <c r="F11" s="10"/>
      <c r="G11" s="10"/>
      <c r="H11" s="1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59</v>
      </c>
      <c r="F3" s="11" t="s">
        <v>60</v>
      </c>
      <c r="G3" s="11" t="s">
        <v>5</v>
      </c>
      <c r="H3" s="11" t="s">
        <v>61</v>
      </c>
      <c r="I3" s="11" t="s">
        <v>62</v>
      </c>
    </row>
    <row r="4" ht="15.75" customHeight="1">
      <c r="A4" s="12" t="s">
        <v>63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64</v>
      </c>
      <c r="H4" s="14" t="s">
        <v>14</v>
      </c>
      <c r="I4" s="14" t="s">
        <v>65</v>
      </c>
    </row>
    <row r="5" ht="15.75" customHeight="1">
      <c r="A5" s="15"/>
      <c r="B5" s="16"/>
      <c r="C5" s="17" t="s">
        <v>66</v>
      </c>
      <c r="D5" s="16"/>
      <c r="E5" s="16"/>
      <c r="F5" s="16"/>
      <c r="G5" s="17" t="s">
        <v>67</v>
      </c>
      <c r="H5" s="16"/>
      <c r="I5" s="17" t="s">
        <v>68</v>
      </c>
    </row>
    <row r="6" ht="15.75" customHeight="1">
      <c r="A6" s="15"/>
      <c r="B6" s="4" t="s">
        <v>69</v>
      </c>
      <c r="C6" s="18" t="s">
        <v>70</v>
      </c>
      <c r="D6" s="19"/>
      <c r="E6" s="19"/>
      <c r="F6" s="20"/>
      <c r="G6" s="21" t="s">
        <v>71</v>
      </c>
      <c r="H6" s="16"/>
      <c r="I6" s="22">
        <v>4.0</v>
      </c>
    </row>
    <row r="7" ht="15.75" customHeight="1">
      <c r="A7" s="15"/>
      <c r="B7" s="4" t="s">
        <v>72</v>
      </c>
      <c r="C7" s="18" t="s">
        <v>73</v>
      </c>
      <c r="D7" s="19"/>
      <c r="E7" s="19"/>
      <c r="F7" s="20"/>
      <c r="G7" s="21" t="s">
        <v>71</v>
      </c>
      <c r="H7" s="16"/>
      <c r="I7" s="22">
        <v>1.0</v>
      </c>
    </row>
    <row r="8" ht="15.75" customHeight="1">
      <c r="A8" s="15"/>
      <c r="B8" s="4" t="s">
        <v>74</v>
      </c>
      <c r="C8" s="18" t="s">
        <v>75</v>
      </c>
      <c r="D8" s="19"/>
      <c r="E8" s="19"/>
      <c r="F8" s="20"/>
      <c r="G8" s="21" t="s">
        <v>71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76</v>
      </c>
      <c r="H9" s="14" t="s">
        <v>14</v>
      </c>
      <c r="I9" s="14" t="s">
        <v>65</v>
      </c>
    </row>
    <row r="10" ht="15.75" customHeight="1">
      <c r="A10" s="15"/>
      <c r="B10" s="24"/>
      <c r="C10" s="25" t="s">
        <v>66</v>
      </c>
      <c r="D10" s="26"/>
      <c r="E10" s="26"/>
      <c r="F10" s="26"/>
      <c r="G10" s="21" t="s">
        <v>67</v>
      </c>
      <c r="H10" s="11"/>
      <c r="I10" s="22"/>
    </row>
    <row r="11" ht="15.75" customHeight="1">
      <c r="A11" s="15"/>
      <c r="B11" s="21" t="s">
        <v>77</v>
      </c>
      <c r="C11" s="18" t="s">
        <v>78</v>
      </c>
      <c r="D11" s="19"/>
      <c r="E11" s="19"/>
      <c r="F11" s="20"/>
      <c r="G11" s="21" t="s">
        <v>71</v>
      </c>
      <c r="H11" s="27"/>
      <c r="I11" s="4">
        <v>2.0</v>
      </c>
    </row>
    <row r="12" ht="15.75" customHeight="1">
      <c r="A12" s="15"/>
      <c r="B12" s="21" t="s">
        <v>79</v>
      </c>
      <c r="C12" s="18" t="s">
        <v>80</v>
      </c>
      <c r="D12" s="28"/>
      <c r="E12" s="28"/>
      <c r="F12" s="29"/>
      <c r="G12" s="21" t="s">
        <v>71</v>
      </c>
      <c r="H12" s="27"/>
      <c r="I12" s="4">
        <v>2.0</v>
      </c>
    </row>
    <row r="13" ht="15.75" customHeight="1">
      <c r="A13" s="30"/>
      <c r="B13" s="21" t="s">
        <v>81</v>
      </c>
      <c r="C13" s="18" t="s">
        <v>82</v>
      </c>
      <c r="D13" s="19"/>
      <c r="E13" s="19"/>
      <c r="F13" s="20"/>
      <c r="G13" s="21" t="s">
        <v>71</v>
      </c>
      <c r="H13" s="27"/>
      <c r="I13" s="4">
        <v>2.0</v>
      </c>
    </row>
    <row r="14" ht="15.75" customHeight="1">
      <c r="A14" s="31" t="s">
        <v>83</v>
      </c>
      <c r="B14" s="13" t="s">
        <v>21</v>
      </c>
      <c r="C14" s="13" t="s">
        <v>22</v>
      </c>
      <c r="D14" s="14" t="s">
        <v>10</v>
      </c>
      <c r="E14" s="13" t="s">
        <v>84</v>
      </c>
      <c r="F14" s="13" t="s">
        <v>24</v>
      </c>
      <c r="G14" s="13" t="s">
        <v>85</v>
      </c>
      <c r="H14" s="14" t="s">
        <v>14</v>
      </c>
      <c r="I14" s="13" t="s">
        <v>65</v>
      </c>
    </row>
    <row r="15" ht="15.75" customHeight="1">
      <c r="A15" s="32"/>
      <c r="B15" s="24"/>
      <c r="C15" s="25" t="s">
        <v>66</v>
      </c>
      <c r="D15" s="26"/>
      <c r="E15" s="26"/>
      <c r="F15" s="26"/>
      <c r="G15" s="21" t="s">
        <v>67</v>
      </c>
      <c r="H15" s="11"/>
      <c r="I15" s="22"/>
    </row>
    <row r="16" ht="15.75" customHeight="1">
      <c r="A16" s="32"/>
      <c r="B16" s="21" t="s">
        <v>86</v>
      </c>
      <c r="C16" s="18" t="s">
        <v>87</v>
      </c>
      <c r="D16" s="19"/>
      <c r="E16" s="19"/>
      <c r="F16" s="20"/>
      <c r="G16" s="21" t="s">
        <v>88</v>
      </c>
      <c r="H16" s="27"/>
      <c r="I16" s="4">
        <v>2.0</v>
      </c>
    </row>
    <row r="17" ht="15.75" customHeight="1">
      <c r="A17" s="32"/>
      <c r="B17" s="33" t="s">
        <v>89</v>
      </c>
      <c r="C17" s="34" t="s">
        <v>90</v>
      </c>
      <c r="D17" s="19"/>
      <c r="E17" s="19"/>
      <c r="F17" s="20"/>
      <c r="G17" s="33" t="s">
        <v>88</v>
      </c>
      <c r="H17" s="35"/>
      <c r="I17" s="33">
        <v>2.0</v>
      </c>
    </row>
    <row r="18" ht="15.75" customHeight="1">
      <c r="A18" s="32"/>
      <c r="B18" s="33" t="s">
        <v>91</v>
      </c>
      <c r="C18" s="34" t="s">
        <v>92</v>
      </c>
      <c r="D18" s="19"/>
      <c r="E18" s="19"/>
      <c r="F18" s="20"/>
      <c r="G18" s="33" t="s">
        <v>88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93</v>
      </c>
      <c r="H19" s="14" t="s">
        <v>14</v>
      </c>
      <c r="I19" s="13" t="s">
        <v>65</v>
      </c>
    </row>
    <row r="20" ht="15.75" customHeight="1">
      <c r="A20" s="32"/>
      <c r="B20" s="24"/>
      <c r="C20" s="25" t="s">
        <v>66</v>
      </c>
      <c r="D20" s="26"/>
      <c r="E20" s="26"/>
      <c r="F20" s="26"/>
      <c r="G20" s="21" t="s">
        <v>67</v>
      </c>
      <c r="H20" s="35"/>
      <c r="I20" s="35"/>
    </row>
    <row r="21" ht="15.75" customHeight="1">
      <c r="A21" s="32"/>
      <c r="B21" s="21" t="s">
        <v>94</v>
      </c>
      <c r="C21" s="18" t="s">
        <v>95</v>
      </c>
      <c r="D21" s="19"/>
      <c r="E21" s="19"/>
      <c r="F21" s="20"/>
      <c r="G21" s="21" t="s">
        <v>88</v>
      </c>
      <c r="H21" s="35"/>
      <c r="I21" s="33">
        <v>2.0</v>
      </c>
    </row>
    <row r="22" ht="15.75" customHeight="1">
      <c r="A22" s="32"/>
      <c r="B22" s="21" t="s">
        <v>96</v>
      </c>
      <c r="C22" s="34" t="s">
        <v>97</v>
      </c>
      <c r="D22" s="19"/>
      <c r="E22" s="19"/>
      <c r="F22" s="20"/>
      <c r="G22" s="33" t="s">
        <v>88</v>
      </c>
      <c r="H22" s="35"/>
      <c r="I22" s="33">
        <v>2.0</v>
      </c>
    </row>
    <row r="23" ht="15.75" customHeight="1">
      <c r="A23" s="32"/>
      <c r="B23" s="33" t="s">
        <v>98</v>
      </c>
      <c r="C23" s="34" t="s">
        <v>99</v>
      </c>
      <c r="D23" s="19"/>
      <c r="E23" s="19"/>
      <c r="F23" s="20"/>
      <c r="G23" s="33" t="s">
        <v>88</v>
      </c>
      <c r="H23" s="35"/>
      <c r="I23" s="33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93</v>
      </c>
      <c r="H24" s="14" t="s">
        <v>14</v>
      </c>
      <c r="I24" s="13" t="s">
        <v>65</v>
      </c>
    </row>
    <row r="25" ht="15.75" customHeight="1">
      <c r="A25" s="32"/>
      <c r="B25" s="33"/>
      <c r="C25" s="25" t="s">
        <v>66</v>
      </c>
      <c r="D25" s="26"/>
      <c r="E25" s="26"/>
      <c r="F25" s="26"/>
      <c r="G25" s="21" t="s">
        <v>67</v>
      </c>
      <c r="H25" s="35"/>
      <c r="I25" s="35"/>
    </row>
    <row r="26" ht="15.75" customHeight="1">
      <c r="A26" s="32"/>
      <c r="B26" s="21" t="s">
        <v>100</v>
      </c>
      <c r="C26" s="34" t="s">
        <v>101</v>
      </c>
      <c r="D26" s="19"/>
      <c r="E26" s="20"/>
      <c r="F26" s="33"/>
      <c r="G26" s="33" t="s">
        <v>102</v>
      </c>
      <c r="H26" s="35"/>
      <c r="I26" s="33">
        <v>2.0</v>
      </c>
    </row>
    <row r="27" ht="15.75" customHeight="1">
      <c r="A27" s="32"/>
      <c r="B27" s="21" t="s">
        <v>103</v>
      </c>
      <c r="C27" s="34" t="s">
        <v>104</v>
      </c>
      <c r="D27" s="19"/>
      <c r="E27" s="20"/>
      <c r="F27" s="33"/>
      <c r="G27" s="33" t="s">
        <v>102</v>
      </c>
      <c r="H27" s="35"/>
      <c r="I27" s="33">
        <v>2.0</v>
      </c>
    </row>
    <row r="28" ht="15.75" customHeight="1">
      <c r="A28" s="32"/>
      <c r="B28" s="21" t="s">
        <v>105</v>
      </c>
      <c r="C28" s="34" t="s">
        <v>106</v>
      </c>
      <c r="D28" s="19"/>
      <c r="E28" s="20"/>
      <c r="F28" s="33"/>
      <c r="G28" s="33" t="s">
        <v>102</v>
      </c>
      <c r="H28" s="35"/>
      <c r="I28" s="33">
        <v>1.0</v>
      </c>
    </row>
    <row r="29" ht="15.75" customHeight="1">
      <c r="A29" s="32"/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  <c r="G29" s="13" t="s">
        <v>41</v>
      </c>
      <c r="H29" s="13" t="s">
        <v>14</v>
      </c>
      <c r="I29" s="13" t="s">
        <v>65</v>
      </c>
    </row>
    <row r="30" ht="15.75" customHeight="1">
      <c r="A30" s="32"/>
      <c r="B30" s="33"/>
      <c r="C30" s="25" t="s">
        <v>66</v>
      </c>
      <c r="D30" s="26"/>
      <c r="E30" s="26"/>
      <c r="F30" s="26"/>
      <c r="G30" s="21" t="s">
        <v>67</v>
      </c>
      <c r="H30" s="35"/>
      <c r="I30" s="35"/>
    </row>
    <row r="31" ht="15.75" customHeight="1">
      <c r="A31" s="32"/>
      <c r="B31" s="21" t="s">
        <v>107</v>
      </c>
      <c r="C31" s="36" t="s">
        <v>108</v>
      </c>
      <c r="D31" s="19"/>
      <c r="E31" s="20"/>
      <c r="F31" s="26"/>
      <c r="G31" s="21" t="s">
        <v>102</v>
      </c>
      <c r="H31" s="35"/>
      <c r="I31" s="33">
        <v>2.0</v>
      </c>
    </row>
    <row r="32" ht="15.75" customHeight="1">
      <c r="A32" s="32"/>
      <c r="B32" s="21" t="s">
        <v>109</v>
      </c>
      <c r="C32" s="36" t="s">
        <v>110</v>
      </c>
      <c r="D32" s="19"/>
      <c r="E32" s="20"/>
      <c r="F32" s="26"/>
      <c r="G32" s="21" t="s">
        <v>102</v>
      </c>
      <c r="H32" s="35"/>
      <c r="I32" s="33">
        <v>2.0</v>
      </c>
    </row>
    <row r="33" ht="15.75" customHeight="1">
      <c r="A33" s="37"/>
      <c r="B33" s="21" t="s">
        <v>111</v>
      </c>
      <c r="C33" s="38" t="s">
        <v>112</v>
      </c>
      <c r="D33" s="19"/>
      <c r="E33" s="20"/>
      <c r="F33" s="26"/>
      <c r="G33" s="21" t="s">
        <v>102</v>
      </c>
      <c r="H33" s="35"/>
      <c r="I33" s="33">
        <v>1.0</v>
      </c>
    </row>
    <row r="34" ht="15.75" customHeight="1">
      <c r="A34" s="39" t="s">
        <v>113</v>
      </c>
      <c r="B34" s="13" t="s">
        <v>42</v>
      </c>
      <c r="C34" s="13" t="s">
        <v>43</v>
      </c>
      <c r="D34" s="14" t="s">
        <v>10</v>
      </c>
      <c r="E34" s="13" t="s">
        <v>44</v>
      </c>
      <c r="F34" s="13" t="s">
        <v>45</v>
      </c>
      <c r="G34" s="13" t="s">
        <v>46</v>
      </c>
      <c r="H34" s="14" t="s">
        <v>14</v>
      </c>
      <c r="I34" s="13" t="s">
        <v>114</v>
      </c>
    </row>
    <row r="35" ht="15.75" customHeight="1">
      <c r="B35" s="24"/>
      <c r="C35" s="25" t="s">
        <v>66</v>
      </c>
      <c r="D35" s="26"/>
      <c r="E35" s="26"/>
      <c r="F35" s="26"/>
      <c r="G35" s="33" t="s">
        <v>67</v>
      </c>
      <c r="H35" s="35"/>
      <c r="I35" s="35"/>
    </row>
    <row r="36" ht="15.75" customHeight="1">
      <c r="B36" s="21" t="s">
        <v>115</v>
      </c>
      <c r="C36" s="18" t="s">
        <v>116</v>
      </c>
      <c r="D36" s="19"/>
      <c r="E36" s="19"/>
      <c r="F36" s="20"/>
      <c r="G36" s="21" t="s">
        <v>71</v>
      </c>
      <c r="H36" s="35"/>
      <c r="I36" s="33">
        <v>2.0</v>
      </c>
    </row>
    <row r="37" ht="15.75" customHeight="1">
      <c r="B37" s="21" t="s">
        <v>117</v>
      </c>
      <c r="C37" s="34" t="s">
        <v>118</v>
      </c>
      <c r="D37" s="19"/>
      <c r="E37" s="19"/>
      <c r="F37" s="20"/>
      <c r="G37" s="21" t="s">
        <v>71</v>
      </c>
      <c r="H37" s="35"/>
      <c r="I37" s="33">
        <v>1.0</v>
      </c>
    </row>
    <row r="38" ht="15.75" customHeight="1">
      <c r="B38" s="21" t="s">
        <v>119</v>
      </c>
      <c r="C38" s="34" t="s">
        <v>120</v>
      </c>
      <c r="D38" s="19"/>
      <c r="E38" s="19"/>
      <c r="F38" s="20"/>
      <c r="G38" s="21" t="s">
        <v>71</v>
      </c>
      <c r="H38" s="35"/>
      <c r="I38" s="33">
        <v>2.0</v>
      </c>
    </row>
    <row r="39" ht="15.75" customHeight="1">
      <c r="B39" s="13" t="s">
        <v>48</v>
      </c>
      <c r="C39" s="13" t="s">
        <v>49</v>
      </c>
      <c r="D39" s="14" t="s">
        <v>10</v>
      </c>
      <c r="E39" s="13" t="s">
        <v>50</v>
      </c>
      <c r="F39" s="13" t="s">
        <v>51</v>
      </c>
      <c r="G39" s="13" t="s">
        <v>52</v>
      </c>
      <c r="H39" s="14" t="s">
        <v>14</v>
      </c>
      <c r="I39" s="13" t="s">
        <v>114</v>
      </c>
    </row>
    <row r="40" ht="15.75" customHeight="1">
      <c r="B40" s="24"/>
      <c r="C40" s="25" t="s">
        <v>66</v>
      </c>
      <c r="D40" s="26"/>
      <c r="E40" s="26"/>
      <c r="F40" s="26"/>
      <c r="G40" s="33" t="s">
        <v>67</v>
      </c>
      <c r="H40" s="35"/>
      <c r="I40" s="35"/>
    </row>
    <row r="41" ht="15.75" customHeight="1">
      <c r="B41" s="21" t="s">
        <v>121</v>
      </c>
      <c r="C41" s="18" t="s">
        <v>122</v>
      </c>
      <c r="D41" s="19"/>
      <c r="E41" s="19"/>
      <c r="F41" s="20"/>
      <c r="G41" s="21" t="s">
        <v>71</v>
      </c>
      <c r="H41" s="35"/>
      <c r="I41" s="33">
        <v>2.0</v>
      </c>
    </row>
    <row r="42" ht="15.75" customHeight="1">
      <c r="B42" s="21" t="s">
        <v>123</v>
      </c>
      <c r="C42" s="34" t="s">
        <v>124</v>
      </c>
      <c r="D42" s="19"/>
      <c r="E42" s="19"/>
      <c r="F42" s="20"/>
      <c r="G42" s="21" t="s">
        <v>71</v>
      </c>
      <c r="H42" s="35"/>
      <c r="I42" s="33">
        <v>3.0</v>
      </c>
    </row>
    <row r="43" ht="15.75" customHeight="1">
      <c r="B43" s="21" t="s">
        <v>125</v>
      </c>
      <c r="C43" s="34" t="s">
        <v>126</v>
      </c>
      <c r="D43" s="19"/>
      <c r="E43" s="19"/>
      <c r="F43" s="20"/>
      <c r="G43" s="21" t="s">
        <v>71</v>
      </c>
      <c r="H43" s="35"/>
      <c r="I43" s="33">
        <v>1.0</v>
      </c>
    </row>
    <row r="44" ht="15.75" customHeight="1">
      <c r="A44" s="40" t="s">
        <v>127</v>
      </c>
      <c r="B44" s="13" t="s">
        <v>53</v>
      </c>
      <c r="C44" s="13" t="s">
        <v>54</v>
      </c>
      <c r="D44" s="14" t="s">
        <v>10</v>
      </c>
      <c r="E44" s="13" t="s">
        <v>55</v>
      </c>
      <c r="F44" s="13" t="s">
        <v>56</v>
      </c>
      <c r="G44" s="13" t="s">
        <v>57</v>
      </c>
      <c r="H44" s="14" t="s">
        <v>14</v>
      </c>
      <c r="I44" s="13" t="s">
        <v>114</v>
      </c>
    </row>
    <row r="45" ht="15.75" customHeight="1">
      <c r="B45" s="24"/>
      <c r="C45" s="25" t="s">
        <v>66</v>
      </c>
      <c r="D45" s="26"/>
      <c r="E45" s="26"/>
      <c r="F45" s="26"/>
      <c r="G45" s="33" t="s">
        <v>128</v>
      </c>
      <c r="H45" s="35"/>
      <c r="I45" s="35"/>
    </row>
    <row r="46" ht="15.75" customHeight="1">
      <c r="B46" s="21" t="s">
        <v>129</v>
      </c>
      <c r="C46" s="18" t="s">
        <v>130</v>
      </c>
      <c r="D46" s="19"/>
      <c r="E46" s="19"/>
      <c r="F46" s="20"/>
      <c r="G46" s="33" t="s">
        <v>131</v>
      </c>
      <c r="H46" s="35"/>
      <c r="I46" s="33">
        <v>3.0</v>
      </c>
    </row>
    <row r="47" ht="15.75" customHeight="1">
      <c r="B47" s="21" t="s">
        <v>132</v>
      </c>
      <c r="C47" s="34" t="s">
        <v>133</v>
      </c>
      <c r="D47" s="19"/>
      <c r="E47" s="19"/>
      <c r="F47" s="20"/>
      <c r="G47" s="33" t="s">
        <v>131</v>
      </c>
      <c r="H47" s="35"/>
      <c r="I47" s="33">
        <v>2.0</v>
      </c>
    </row>
    <row r="48" ht="15.75" customHeight="1">
      <c r="B48" s="21" t="s">
        <v>134</v>
      </c>
      <c r="C48" s="34" t="s">
        <v>135</v>
      </c>
      <c r="D48" s="19"/>
      <c r="E48" s="19"/>
      <c r="F48" s="20"/>
      <c r="G48" s="33" t="s">
        <v>131</v>
      </c>
      <c r="H48" s="35"/>
      <c r="I48" s="33">
        <v>2.0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0">
    <mergeCell ref="C41:F41"/>
    <mergeCell ref="C46:F46"/>
    <mergeCell ref="C47:F47"/>
    <mergeCell ref="C48:F48"/>
    <mergeCell ref="C32:E32"/>
    <mergeCell ref="C33:E33"/>
    <mergeCell ref="A34:A43"/>
    <mergeCell ref="C36:F36"/>
    <mergeCell ref="C37:F37"/>
    <mergeCell ref="C38:F38"/>
    <mergeCell ref="A44:A48"/>
    <mergeCell ref="C16:F16"/>
    <mergeCell ref="C17:F17"/>
    <mergeCell ref="C18:F18"/>
    <mergeCell ref="C21:F21"/>
    <mergeCell ref="C22:F22"/>
    <mergeCell ref="C23:F23"/>
    <mergeCell ref="C26:E26"/>
    <mergeCell ref="C27:E27"/>
    <mergeCell ref="C28:E28"/>
    <mergeCell ref="C31:E31"/>
    <mergeCell ref="A4:A13"/>
    <mergeCell ref="C6:F6"/>
    <mergeCell ref="C7:F7"/>
    <mergeCell ref="C8:F8"/>
    <mergeCell ref="C11:F11"/>
    <mergeCell ref="C13:F13"/>
    <mergeCell ref="A14:A33"/>
    <mergeCell ref="C42:F42"/>
    <mergeCell ref="C43:F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41"/>
      <c r="C3" s="41" t="s">
        <v>68</v>
      </c>
      <c r="D3" s="41" t="s">
        <v>136</v>
      </c>
      <c r="E3" s="41" t="s">
        <v>137</v>
      </c>
      <c r="F3" s="41" t="s">
        <v>138</v>
      </c>
      <c r="G3" s="41" t="s">
        <v>139</v>
      </c>
      <c r="H3" s="41" t="s">
        <v>140</v>
      </c>
      <c r="I3" s="41" t="s">
        <v>141</v>
      </c>
      <c r="J3" s="41" t="s">
        <v>142</v>
      </c>
      <c r="K3" s="41" t="s">
        <v>143</v>
      </c>
    </row>
    <row r="4" ht="15.75" customHeight="1">
      <c r="B4" s="42" t="s">
        <v>144</v>
      </c>
      <c r="C4" s="43">
        <v>4.0</v>
      </c>
      <c r="D4" s="42">
        <v>0.0</v>
      </c>
      <c r="E4" s="8">
        <v>0.0</v>
      </c>
      <c r="F4" s="8">
        <v>0.0</v>
      </c>
      <c r="G4" s="42">
        <v>0.0</v>
      </c>
      <c r="H4" s="8">
        <v>1.0</v>
      </c>
      <c r="I4" s="8">
        <v>1.0</v>
      </c>
      <c r="J4" s="8">
        <v>4.0</v>
      </c>
      <c r="K4" s="44">
        <v>0.0</v>
      </c>
    </row>
    <row r="5" ht="15.75" customHeight="1">
      <c r="B5" s="42" t="s">
        <v>145</v>
      </c>
      <c r="C5" s="43">
        <v>1.0</v>
      </c>
      <c r="D5" s="42">
        <v>0.0</v>
      </c>
      <c r="E5" s="8">
        <v>0.0</v>
      </c>
      <c r="F5" s="42">
        <v>0.0</v>
      </c>
      <c r="G5" s="42">
        <v>0.0</v>
      </c>
      <c r="H5" s="42">
        <v>0.0</v>
      </c>
      <c r="I5" s="8">
        <v>0.0</v>
      </c>
      <c r="J5" s="42">
        <v>0.0</v>
      </c>
      <c r="K5" s="44">
        <v>0.0</v>
      </c>
    </row>
    <row r="6" ht="15.75" customHeight="1">
      <c r="A6" s="41"/>
      <c r="B6" s="42" t="s">
        <v>146</v>
      </c>
      <c r="C6" s="43">
        <v>2.0</v>
      </c>
      <c r="D6" s="8">
        <v>0.0</v>
      </c>
      <c r="E6" s="42">
        <v>0.0</v>
      </c>
      <c r="F6" s="8">
        <v>0.0</v>
      </c>
      <c r="G6" s="42">
        <v>0.0</v>
      </c>
      <c r="H6" s="42">
        <v>0.0</v>
      </c>
      <c r="I6" s="42">
        <v>0.0</v>
      </c>
      <c r="J6" s="8">
        <v>0.0</v>
      </c>
      <c r="K6" s="44">
        <v>0.0</v>
      </c>
    </row>
    <row r="7" ht="15.75" customHeight="1">
      <c r="A7" s="41"/>
      <c r="B7" s="42" t="s">
        <v>147</v>
      </c>
      <c r="C7" s="45">
        <v>4.0</v>
      </c>
      <c r="D7" s="8">
        <v>0.0</v>
      </c>
      <c r="E7" s="42">
        <v>0.0</v>
      </c>
      <c r="F7" s="8">
        <v>0.0</v>
      </c>
      <c r="G7" s="8">
        <v>0.0</v>
      </c>
      <c r="H7" s="42">
        <v>0.0</v>
      </c>
      <c r="I7" s="8">
        <v>0.0</v>
      </c>
      <c r="J7" s="42">
        <v>0.0</v>
      </c>
      <c r="K7" s="44">
        <v>0.0</v>
      </c>
    </row>
    <row r="8" ht="15.75" customHeight="1"/>
    <row r="9" ht="15.75" customHeight="1">
      <c r="B9" s="46" t="s">
        <v>148</v>
      </c>
      <c r="C9" s="47">
        <f>SUM(C4:C7)</f>
        <v>11</v>
      </c>
      <c r="D9" s="47">
        <f t="shared" ref="D9:J9" si="1">C9-SUM(D4:D7)</f>
        <v>11</v>
      </c>
      <c r="E9" s="48">
        <f t="shared" si="1"/>
        <v>11</v>
      </c>
      <c r="F9" s="47">
        <f t="shared" si="1"/>
        <v>11</v>
      </c>
      <c r="G9" s="47">
        <f t="shared" si="1"/>
        <v>11</v>
      </c>
      <c r="H9" s="47">
        <f t="shared" si="1"/>
        <v>10</v>
      </c>
      <c r="I9" s="47">
        <f t="shared" si="1"/>
        <v>9</v>
      </c>
      <c r="J9" s="47">
        <f t="shared" si="1"/>
        <v>5</v>
      </c>
    </row>
    <row r="10" ht="15.75" customHeight="1">
      <c r="B10" s="46" t="s">
        <v>149</v>
      </c>
      <c r="C10" s="47">
        <f>SUM(C4:C7)</f>
        <v>11</v>
      </c>
      <c r="D10" s="47">
        <f>C10-(SUM(C4:C7)/7)</f>
        <v>9.428571429</v>
      </c>
      <c r="E10" s="48">
        <f>D10-(SUM(C4:C7)/7)</f>
        <v>7.857142857</v>
      </c>
      <c r="F10" s="47">
        <f>E10-(SUM(C4:C7)/7)</f>
        <v>6.285714286</v>
      </c>
      <c r="G10" s="47">
        <f>F10-(SUM(C4:C7)/7)</f>
        <v>4.714285714</v>
      </c>
      <c r="H10" s="47">
        <f>G10-(SUM(C4:C7)/7)</f>
        <v>3.142857143</v>
      </c>
      <c r="I10" s="47">
        <f>H10-(SUM(C4:C7)/7)</f>
        <v>1.571428571</v>
      </c>
      <c r="J10" s="47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