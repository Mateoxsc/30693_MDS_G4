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CTUS\OneDrive\Desktop\ESPE\PERIODO 5\METODOLOGÍA_DE_DESAROLLO_DE_SFT\Proyecto\KANVAN\"/>
    </mc:Choice>
  </mc:AlternateContent>
  <xr:revisionPtr revIDLastSave="0" documentId="8_{FFA29C65-07C2-47EF-A133-3BD7CFECE9F4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H101" i="2"/>
  <c r="I100" i="2" a="1"/>
  <c r="H100" i="2"/>
  <c r="I99" i="2" a="1"/>
  <c r="H99" i="2"/>
  <c r="I98" i="2" a="1"/>
  <c r="H98" i="2"/>
  <c r="I97" i="2" a="1"/>
  <c r="H97" i="2"/>
  <c r="I96" i="2" a="1"/>
  <c r="H96" i="2"/>
  <c r="I95" i="2" a="1"/>
  <c r="H95" i="2"/>
  <c r="I94" i="2" a="1"/>
  <c r="H94" i="2"/>
  <c r="I93" i="2" a="1"/>
  <c r="H93" i="2"/>
  <c r="I92" i="2" a="1"/>
  <c r="H92" i="2"/>
  <c r="I91" i="2" a="1"/>
  <c r="H91" i="2"/>
  <c r="I90" i="2" a="1"/>
  <c r="H90" i="2"/>
  <c r="I89" i="2" a="1"/>
  <c r="H89" i="2"/>
  <c r="I88" i="2" a="1"/>
  <c r="H88" i="2"/>
  <c r="I87" i="2" a="1"/>
  <c r="H87" i="2"/>
  <c r="I86" i="2" a="1"/>
  <c r="H86" i="2"/>
  <c r="I84" i="2" a="1"/>
  <c r="H84" i="2"/>
  <c r="I83" i="2" a="1"/>
  <c r="H83" i="2"/>
  <c r="I82" i="2" a="1"/>
  <c r="H82" i="2"/>
  <c r="I81" i="2" a="1"/>
  <c r="H81" i="2"/>
  <c r="I80" i="2" a="1"/>
  <c r="H80" i="2"/>
  <c r="I79" i="2" a="1"/>
  <c r="H79" i="2"/>
  <c r="I78" i="2" a="1"/>
  <c r="H78" i="2"/>
  <c r="I77" i="2" a="1"/>
  <c r="H77" i="2"/>
  <c r="I76" i="2" a="1"/>
  <c r="H76" i="2"/>
  <c r="I75" i="2" a="1"/>
  <c r="H75" i="2"/>
  <c r="I74" i="2" a="1"/>
  <c r="H74" i="2"/>
  <c r="I73" i="2" a="1"/>
  <c r="H73" i="2"/>
  <c r="I72" i="2" a="1"/>
  <c r="H72" i="2"/>
  <c r="I71" i="2" a="1"/>
  <c r="H71" i="2"/>
  <c r="I70" i="2" a="1"/>
  <c r="H70" i="2"/>
  <c r="I69" i="2" a="1"/>
  <c r="H69" i="2"/>
  <c r="I68" i="2" a="1"/>
  <c r="H68" i="2"/>
  <c r="I67" i="2" a="1"/>
  <c r="H67" i="2"/>
  <c r="I66" i="2" a="1"/>
  <c r="H66" i="2"/>
  <c r="I65" i="2" a="1"/>
  <c r="H65" i="2"/>
  <c r="I64" i="2" a="1"/>
  <c r="H64" i="2"/>
  <c r="I63" i="2" a="1"/>
  <c r="H63" i="2"/>
  <c r="I62" i="2" a="1"/>
  <c r="H62" i="2"/>
  <c r="I61" i="2" a="1"/>
  <c r="H61" i="2"/>
  <c r="AX201" i="1" l="1" a="1"/>
  <c r="AS201" i="1" a="1"/>
  <c r="AN201" i="1" a="1"/>
  <c r="AI201" i="1" a="1"/>
  <c r="AD201" i="1" a="1"/>
  <c r="Y201" i="1" a="1"/>
  <c r="T201" i="1" a="1"/>
  <c r="O201" i="1" a="1"/>
  <c r="J201" i="1" a="1"/>
  <c r="E201" i="1" a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H2" i="1" s="1"/>
  <c r="A2" i="6" l="1" a="1"/>
  <c r="A32" i="6" a="1"/>
  <c r="H19" i="3" s="1"/>
  <c r="A31" i="6" a="1"/>
  <c r="H18" i="3" s="1"/>
  <c r="A30" i="6" a="1"/>
  <c r="H8" i="3" s="1"/>
  <c r="A24" i="6" a="1"/>
  <c r="A25" i="6" a="1"/>
  <c r="N2" i="1" s="1"/>
  <c r="A23" i="6" a="1"/>
  <c r="G2" i="1" s="1"/>
  <c r="A29" i="6" a="1"/>
  <c r="A28" i="6" a="1"/>
  <c r="A26" i="6" a="1"/>
  <c r="S2" i="1" s="1"/>
  <c r="A22" i="6" a="1"/>
  <c r="E2" i="1" s="1"/>
  <c r="A27" i="6" a="1"/>
  <c r="X2" i="1" s="1"/>
  <c r="A21" i="6" a="1"/>
  <c r="O1" i="5" s="1"/>
  <c r="A20" i="6" a="1"/>
  <c r="D1" i="5" s="1"/>
  <c r="A14" i="6" a="1"/>
  <c r="A13" i="6" a="1"/>
  <c r="A16" i="6" a="1"/>
  <c r="A17" i="6" a="1"/>
  <c r="A15" i="6" a="1"/>
  <c r="A19" i="6" a="1"/>
  <c r="A18" i="6" a="1"/>
  <c r="A12" i="6" a="1"/>
  <c r="A9" i="6" a="1"/>
  <c r="F8" i="3" s="1"/>
  <c r="A6" i="6" a="1"/>
  <c r="A5" i="6" a="1"/>
  <c r="A11" i="6" a="1"/>
  <c r="B22" i="3" s="1"/>
  <c r="A8" i="6" a="1"/>
  <c r="C1" i="5" s="1"/>
  <c r="A4" i="6" a="1"/>
  <c r="H17" i="3" s="1"/>
  <c r="A10" i="6" a="1"/>
  <c r="B19" i="3" s="1"/>
  <c r="A7" i="6" a="1"/>
  <c r="B1" i="5" s="1"/>
  <c r="A3" i="6" a="1"/>
  <c r="B4" i="3" s="1"/>
  <c r="C101" i="5"/>
  <c r="D101" i="5" s="1" a="1"/>
  <c r="B101" i="5"/>
  <c r="C100" i="5"/>
  <c r="D100" i="5" s="1" a="1"/>
  <c r="B100" i="5"/>
  <c r="C99" i="5"/>
  <c r="D99" i="5" s="1" a="1"/>
  <c r="B99" i="5"/>
  <c r="C98" i="5"/>
  <c r="D98" i="5" s="1" a="1"/>
  <c r="B98" i="5"/>
  <c r="C97" i="5"/>
  <c r="D97" i="5" s="1" a="1"/>
  <c r="B97" i="5"/>
  <c r="C96" i="5"/>
  <c r="D96" i="5" s="1" a="1"/>
  <c r="B96" i="5"/>
  <c r="C95" i="5"/>
  <c r="D95" i="5" s="1" a="1"/>
  <c r="B95" i="5"/>
  <c r="C94" i="5"/>
  <c r="D94" i="5" s="1" a="1"/>
  <c r="B94" i="5"/>
  <c r="C93" i="5"/>
  <c r="D93" i="5" s="1" a="1"/>
  <c r="B93" i="5"/>
  <c r="C92" i="5"/>
  <c r="D92" i="5" s="1" a="1"/>
  <c r="B92" i="5"/>
  <c r="C91" i="5"/>
  <c r="D91" i="5" s="1" a="1"/>
  <c r="B91" i="5"/>
  <c r="C90" i="5"/>
  <c r="D90" i="5" s="1" a="1"/>
  <c r="B90" i="5"/>
  <c r="C89" i="5"/>
  <c r="D89" i="5" s="1" a="1"/>
  <c r="B89" i="5"/>
  <c r="C88" i="5"/>
  <c r="D88" i="5" s="1" a="1"/>
  <c r="B88" i="5"/>
  <c r="C87" i="5"/>
  <c r="D87" i="5" s="1" a="1"/>
  <c r="B87" i="5"/>
  <c r="C86" i="5"/>
  <c r="D86" i="5" s="1" a="1"/>
  <c r="B86" i="5"/>
  <c r="C85" i="5"/>
  <c r="B85" i="5"/>
  <c r="C84" i="5"/>
  <c r="D84" i="5" s="1" a="1"/>
  <c r="B84" i="5"/>
  <c r="C83" i="5"/>
  <c r="D83" i="5" s="1" a="1"/>
  <c r="B83" i="5"/>
  <c r="C82" i="5"/>
  <c r="D82" i="5" s="1" a="1"/>
  <c r="B82" i="5"/>
  <c r="C81" i="5"/>
  <c r="D81" i="5" s="1" a="1"/>
  <c r="B81" i="5"/>
  <c r="C80" i="5"/>
  <c r="D80" i="5" s="1" a="1"/>
  <c r="B80" i="5"/>
  <c r="C79" i="5"/>
  <c r="D79" i="5" s="1" a="1"/>
  <c r="B79" i="5"/>
  <c r="C78" i="5"/>
  <c r="D78" i="5" s="1" a="1"/>
  <c r="B78" i="5"/>
  <c r="C77" i="5"/>
  <c r="D77" i="5" s="1" a="1"/>
  <c r="B77" i="5"/>
  <c r="C76" i="5"/>
  <c r="D76" i="5" s="1" a="1"/>
  <c r="B76" i="5"/>
  <c r="C75" i="5"/>
  <c r="D75" i="5" s="1" a="1"/>
  <c r="B75" i="5"/>
  <c r="C74" i="5"/>
  <c r="D74" i="5" s="1" a="1"/>
  <c r="B74" i="5"/>
  <c r="C73" i="5"/>
  <c r="D73" i="5" s="1" a="1"/>
  <c r="B73" i="5"/>
  <c r="C72" i="5"/>
  <c r="D72" i="5" s="1" a="1"/>
  <c r="B72" i="5"/>
  <c r="C71" i="5"/>
  <c r="D71" i="5" s="1" a="1"/>
  <c r="B71" i="5"/>
  <c r="C70" i="5"/>
  <c r="D70" i="5" s="1" a="1"/>
  <c r="B70" i="5"/>
  <c r="C69" i="5"/>
  <c r="D69" i="5" s="1" a="1"/>
  <c r="B69" i="5"/>
  <c r="C68" i="5"/>
  <c r="D68" i="5" s="1" a="1"/>
  <c r="B68" i="5"/>
  <c r="C67" i="5"/>
  <c r="D67" i="5" s="1" a="1"/>
  <c r="B67" i="5"/>
  <c r="C66" i="5"/>
  <c r="D66" i="5" s="1" a="1"/>
  <c r="B66" i="5"/>
  <c r="C65" i="5"/>
  <c r="D65" i="5" s="1" a="1"/>
  <c r="B65" i="5"/>
  <c r="C64" i="5"/>
  <c r="D64" i="5" s="1" a="1"/>
  <c r="B64" i="5"/>
  <c r="C63" i="5"/>
  <c r="D63" i="5" s="1" a="1"/>
  <c r="B63" i="5"/>
  <c r="C62" i="5"/>
  <c r="D62" i="5" s="1" a="1"/>
  <c r="B62" i="5"/>
  <c r="C61" i="5"/>
  <c r="D61" i="5" s="1" a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AE1" i="4"/>
  <c r="Z1" i="4"/>
  <c r="U1" i="4"/>
  <c r="P1" i="4"/>
  <c r="G1" i="4"/>
  <c r="H1" i="4" s="1" a="1"/>
  <c r="G4" i="1"/>
  <c r="K1" i="4"/>
  <c r="F1" i="4"/>
  <c r="B2" i="3" l="1"/>
  <c r="B2" i="1" s="1"/>
  <c r="F2" i="3"/>
  <c r="H58" i="2"/>
  <c r="H52" i="2"/>
  <c r="I57" i="2" a="1"/>
  <c r="I51" i="2" a="1"/>
  <c r="H57" i="2"/>
  <c r="H51" i="2"/>
  <c r="I56" i="2" a="1"/>
  <c r="H55" i="2"/>
  <c r="I54" i="2" a="1"/>
  <c r="H54" i="2"/>
  <c r="H59" i="2"/>
  <c r="I58" i="2" a="1"/>
  <c r="H56" i="2"/>
  <c r="I55" i="2" a="1"/>
  <c r="I60" i="2" a="1"/>
  <c r="H60" i="2"/>
  <c r="I59" i="2" a="1"/>
  <c r="H53" i="2"/>
  <c r="I52" i="2" a="1"/>
  <c r="I53" i="2" a="1"/>
  <c r="D53" i="5" s="1" a="1"/>
  <c r="A58" i="5"/>
  <c r="A59" i="5"/>
  <c r="A60" i="5"/>
  <c r="A53" i="5"/>
  <c r="A54" i="5"/>
  <c r="A55" i="5"/>
  <c r="A56" i="5"/>
  <c r="A57" i="5"/>
  <c r="AJ2" i="1"/>
  <c r="I85" i="2" a="1"/>
  <c r="H85" i="2"/>
  <c r="H9" i="3"/>
  <c r="A85" i="5"/>
  <c r="AC2" i="1"/>
  <c r="AE2" i="1"/>
  <c r="I50" i="2" a="1"/>
  <c r="H45" i="2"/>
  <c r="I39" i="2" a="1"/>
  <c r="H34" i="2"/>
  <c r="H28" i="2"/>
  <c r="H22" i="2"/>
  <c r="H16" i="2"/>
  <c r="H10" i="2"/>
  <c r="H4" i="2"/>
  <c r="I40" i="2" a="1"/>
  <c r="I34" i="2" a="1"/>
  <c r="H50" i="2"/>
  <c r="I44" i="2" a="1"/>
  <c r="H39" i="2"/>
  <c r="I33" i="2" a="1"/>
  <c r="I27" i="2" a="1"/>
  <c r="I21" i="2" a="1"/>
  <c r="I15" i="2" a="1"/>
  <c r="I9" i="2" a="1"/>
  <c r="I3" i="2" a="1"/>
  <c r="H35" i="2"/>
  <c r="I4" i="2" a="1"/>
  <c r="I49" i="2" a="1"/>
  <c r="H44" i="2"/>
  <c r="H33" i="2"/>
  <c r="H27" i="2"/>
  <c r="H21" i="2"/>
  <c r="H15" i="2"/>
  <c r="H9" i="2"/>
  <c r="H3" i="2"/>
  <c r="I8" i="2" a="1"/>
  <c r="I7" i="2" a="1"/>
  <c r="H17" i="2"/>
  <c r="I10" i="2" a="1"/>
  <c r="H49" i="2"/>
  <c r="I43" i="2" a="1"/>
  <c r="I38" i="2" a="1"/>
  <c r="I32" i="2" a="1"/>
  <c r="I26" i="2" a="1"/>
  <c r="I20" i="2" a="1"/>
  <c r="I14" i="2" a="1"/>
  <c r="I2" i="2" a="1"/>
  <c r="I22" i="2" a="1"/>
  <c r="I48" i="2" a="1"/>
  <c r="H43" i="2"/>
  <c r="H38" i="2"/>
  <c r="H32" i="2"/>
  <c r="H26" i="2"/>
  <c r="H20" i="2"/>
  <c r="H14" i="2"/>
  <c r="H8" i="2"/>
  <c r="H2" i="2"/>
  <c r="I19" i="2" a="1"/>
  <c r="H46" i="2"/>
  <c r="H48" i="2"/>
  <c r="I37" i="2" a="1"/>
  <c r="I31" i="2" a="1"/>
  <c r="I25" i="2" a="1"/>
  <c r="I13" i="2" a="1"/>
  <c r="H11" i="2"/>
  <c r="I47" i="2" a="1"/>
  <c r="I42" i="2" a="1"/>
  <c r="H37" i="2"/>
  <c r="H31" i="2"/>
  <c r="H25" i="2"/>
  <c r="H19" i="2"/>
  <c r="H13" i="2"/>
  <c r="H7" i="2"/>
  <c r="I6" i="2" a="1"/>
  <c r="I11" i="2" a="1"/>
  <c r="H29" i="2"/>
  <c r="I28" i="2" a="1"/>
  <c r="H47" i="2"/>
  <c r="H42" i="2"/>
  <c r="I36" i="2" a="1"/>
  <c r="I30" i="2" a="1"/>
  <c r="I24" i="2" a="1"/>
  <c r="I18" i="2" a="1"/>
  <c r="I12" i="2" a="1"/>
  <c r="I17" i="2" a="1"/>
  <c r="H23" i="2"/>
  <c r="I16" i="2" a="1"/>
  <c r="I41" i="2" a="1"/>
  <c r="H36" i="2"/>
  <c r="H30" i="2"/>
  <c r="H24" i="2"/>
  <c r="H18" i="2"/>
  <c r="H12" i="2"/>
  <c r="H6" i="2"/>
  <c r="I29" i="2" a="1"/>
  <c r="H5" i="2"/>
  <c r="H40" i="2"/>
  <c r="I46" i="2" a="1"/>
  <c r="H41" i="2"/>
  <c r="I35" i="2" a="1"/>
  <c r="I23" i="2" a="1"/>
  <c r="I5" i="2" a="1"/>
  <c r="I45" i="2" a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45" i="5" l="1" a="1"/>
  <c r="D60" i="5" a="1"/>
  <c r="D57" i="5" a="1"/>
  <c r="D59" i="5" a="1"/>
  <c r="D58" i="5" a="1"/>
  <c r="D51" i="5" a="1"/>
  <c r="D54" i="5" a="1"/>
  <c r="D55" i="5" a="1"/>
  <c r="D52" i="5" a="1"/>
  <c r="D56" i="5" a="1"/>
  <c r="D22" i="5" a="1"/>
  <c r="D85" i="5" a="1"/>
  <c r="D12" i="5" a="1"/>
  <c r="D24" i="5" a="1"/>
  <c r="D36" i="5" a="1"/>
  <c r="D25" i="5" a="1"/>
  <c r="D14" i="5" a="1"/>
  <c r="D26" i="5" a="1"/>
  <c r="D9" i="5" a="1"/>
  <c r="D27" i="5" a="1"/>
  <c r="D44" i="5" a="1"/>
  <c r="D39" i="5" a="1"/>
  <c r="D16" i="5" a="1"/>
  <c r="D11" i="5" a="1"/>
  <c r="D50" i="5" a="1"/>
  <c r="D34" i="5" a="1"/>
  <c r="D46" i="5" a="1"/>
  <c r="D6" i="5" a="1"/>
  <c r="D31" i="5" a="1"/>
  <c r="D29" i="5" a="1"/>
  <c r="D10" i="5" a="1"/>
  <c r="D2" i="5" a="1"/>
  <c r="D15" i="5" a="1"/>
  <c r="D33" i="5" a="1"/>
  <c r="D28" i="5" a="1"/>
  <c r="D4" i="5" a="1"/>
  <c r="D40" i="5" a="1"/>
  <c r="D17" i="5" a="1"/>
  <c r="D37" i="5" a="1"/>
  <c r="D48" i="5" a="1"/>
  <c r="D7" i="5" a="1"/>
  <c r="D3" i="5" a="1"/>
  <c r="D8" i="5" a="1"/>
  <c r="D18" i="5" a="1"/>
  <c r="D19" i="5" a="1"/>
  <c r="D21" i="5" a="1"/>
  <c r="D30" i="5" a="1"/>
  <c r="D20" i="5" a="1"/>
  <c r="D42" i="5" a="1"/>
  <c r="D32" i="5" a="1"/>
  <c r="D47" i="5" a="1"/>
  <c r="D38" i="5" a="1"/>
  <c r="D5" i="5" a="1"/>
  <c r="D23" i="5" a="1"/>
  <c r="D43" i="5" a="1"/>
  <c r="D35" i="5" a="1"/>
  <c r="D41" i="5" a="1"/>
  <c r="D13" i="5" a="1"/>
  <c r="D49" i="5" a="1"/>
  <c r="Q1" i="4"/>
  <c r="M1" i="4" a="1"/>
  <c r="Q4" i="1"/>
  <c r="R4" i="1" l="1" a="1"/>
  <c r="B2" i="4" a="1"/>
  <c r="H4" i="1" a="1"/>
  <c r="Q2" i="4" a="1"/>
  <c r="G2" i="4" a="1"/>
  <c r="C4" i="1" a="1"/>
  <c r="M4" i="1" a="1"/>
  <c r="I2" i="1"/>
  <c r="L2" i="4" a="1"/>
  <c r="V1" i="4"/>
  <c r="V2" i="4" s="1" a="1"/>
  <c r="R1" i="4" a="1"/>
  <c r="V4" i="1"/>
  <c r="W4" i="1" s="1" a="1"/>
  <c r="AA1" i="4" l="1"/>
  <c r="AA2" i="4" s="1" a="1"/>
  <c r="W1" i="4" a="1"/>
  <c r="AA4" i="1"/>
  <c r="AB4" i="1" s="1" a="1"/>
  <c r="AF1" i="4" l="1"/>
  <c r="AF2" i="4" s="1" a="1"/>
  <c r="AB1" i="4" a="1"/>
  <c r="AF4" i="1"/>
  <c r="AG4" i="1" s="1" a="1"/>
  <c r="AK1" i="4" l="1"/>
  <c r="AK2" i="4" s="1" a="1"/>
  <c r="AG1" i="4" a="1"/>
  <c r="AK4" i="1"/>
  <c r="AL4" i="1" s="1" a="1"/>
  <c r="AP1" i="4" l="1"/>
  <c r="AP2" i="4" s="1" a="1"/>
  <c r="AL1" i="4" a="1"/>
  <c r="AP4" i="1"/>
  <c r="AQ4" i="1" s="1" a="1"/>
  <c r="AQ1" i="4" l="1" a="1"/>
  <c r="AU1" i="4"/>
  <c r="AU2" i="4" s="1" a="1"/>
  <c r="AU4" i="1"/>
  <c r="AV4" i="1" s="1" a="1"/>
  <c r="AV1" i="4" l="1" a="1"/>
  <c r="AH3" i="4" l="1"/>
  <c r="AI3" i="4" s="1" a="1"/>
  <c r="AJ3" i="4" s="1" a="1"/>
  <c r="AH6" i="1" s="1" a="1"/>
  <c r="AM3" i="4"/>
  <c r="AN3" i="4" s="1" a="1"/>
  <c r="AO3" i="4" s="1" a="1"/>
  <c r="AM6" i="1" s="1" a="1"/>
  <c r="N3" i="4"/>
  <c r="O3" i="4" s="1" a="1"/>
  <c r="P3" i="4" s="1" a="1"/>
  <c r="N6" i="1" s="1" a="1"/>
  <c r="I3" i="4"/>
  <c r="J3" i="4" s="1" a="1"/>
  <c r="AR3" i="4"/>
  <c r="AS3" i="4" s="1" a="1"/>
  <c r="S3" i="4"/>
  <c r="T3" i="4" s="1" a="1"/>
  <c r="AW3" i="4"/>
  <c r="AX3" i="4" s="1" a="1"/>
  <c r="X3" i="4"/>
  <c r="Y3" i="4" s="1" a="1"/>
  <c r="AC3" i="4"/>
  <c r="AD3" i="4" s="1" a="1"/>
  <c r="D3" i="4"/>
  <c r="E3" i="4" s="1" a="1"/>
  <c r="AL4" i="4" l="1"/>
  <c r="AM4" i="4" s="1"/>
  <c r="AN4" i="4" s="1" a="1"/>
  <c r="AL5" i="4" s="1"/>
  <c r="AM5" i="4" s="1"/>
  <c r="AN5" i="4" s="1" a="1"/>
  <c r="AG4" i="4"/>
  <c r="AH4" i="4" s="1"/>
  <c r="AI4" i="4" s="1" a="1"/>
  <c r="M4" i="4"/>
  <c r="N4" i="4" s="1"/>
  <c r="O4" i="4" s="1" a="1"/>
  <c r="M5" i="4" s="1"/>
  <c r="N5" i="4" s="1"/>
  <c r="O5" i="4" s="1" a="1"/>
  <c r="F3" i="4" a="1"/>
  <c r="D6" i="1" s="1" a="1"/>
  <c r="C4" i="4"/>
  <c r="D4" i="4" s="1"/>
  <c r="E4" i="4" s="1" a="1"/>
  <c r="AY3" i="4" a="1"/>
  <c r="AW6" i="1" s="1" a="1"/>
  <c r="AV4" i="4"/>
  <c r="AW4" i="4" s="1"/>
  <c r="AX4" i="4" s="1" a="1"/>
  <c r="AT3" i="4" a="1"/>
  <c r="AQ6" i="1" s="1" a="1"/>
  <c r="AQ4" i="4"/>
  <c r="AR4" i="4" s="1"/>
  <c r="AS4" i="4" s="1" a="1"/>
  <c r="AL6" i="1" a="1"/>
  <c r="K3" i="4" a="1"/>
  <c r="I6" i="1" s="1" a="1"/>
  <c r="H4" i="4"/>
  <c r="I4" i="4" s="1"/>
  <c r="J4" i="4" s="1" a="1"/>
  <c r="AE3" i="4" a="1"/>
  <c r="AC6" i="1" s="1" a="1"/>
  <c r="AB4" i="4"/>
  <c r="AG6" i="1" a="1"/>
  <c r="Z3" i="4" a="1"/>
  <c r="W6" i="1" s="1" a="1"/>
  <c r="W4" i="4"/>
  <c r="U3" i="4" a="1"/>
  <c r="S6" i="1" s="1" a="1"/>
  <c r="R4" i="4"/>
  <c r="S4" i="4" s="1"/>
  <c r="T4" i="4" s="1" a="1"/>
  <c r="M6" i="1" a="1"/>
  <c r="AO4" i="4" l="1" a="1"/>
  <c r="AN6" i="1" s="1" a="1"/>
  <c r="P4" i="4" a="1"/>
  <c r="O6" i="1" s="1" a="1"/>
  <c r="AV6" i="1" a="1"/>
  <c r="X6" i="1" a="1"/>
  <c r="AB6" i="1" a="1"/>
  <c r="AR6" i="1" a="1"/>
  <c r="H5" i="4"/>
  <c r="I5" i="4" s="1"/>
  <c r="J5" i="4" s="1" a="1"/>
  <c r="K4" i="4" a="1"/>
  <c r="J6" i="1" s="1" a="1"/>
  <c r="AL6" i="4"/>
  <c r="AM6" i="4" s="1"/>
  <c r="AN6" i="4" s="1" a="1"/>
  <c r="AO5" i="4" a="1"/>
  <c r="AN7" i="1" s="1" a="1"/>
  <c r="M6" i="4"/>
  <c r="N6" i="4" s="1"/>
  <c r="O6" i="4" s="1" a="1"/>
  <c r="P5" i="4" a="1"/>
  <c r="O7" i="1" s="1" a="1"/>
  <c r="R5" i="4"/>
  <c r="S5" i="4" s="1"/>
  <c r="T5" i="4" s="1" a="1"/>
  <c r="U4" i="4" a="1"/>
  <c r="T6" i="1" s="1" a="1"/>
  <c r="AJ4" i="4" a="1"/>
  <c r="AI6" i="1" s="1" a="1"/>
  <c r="AV5" i="4"/>
  <c r="AY4" i="4" a="1"/>
  <c r="AX6" i="1" s="1" a="1"/>
  <c r="AG5" i="4"/>
  <c r="AH5" i="4" s="1"/>
  <c r="AI5" i="4" s="1" a="1"/>
  <c r="X4" i="4"/>
  <c r="Y4" i="4" s="1" a="1"/>
  <c r="AC4" i="4"/>
  <c r="AD4" i="4" s="1" a="1"/>
  <c r="AB5" i="4" s="1"/>
  <c r="AC5" i="4" s="1"/>
  <c r="AD5" i="4" s="1" a="1"/>
  <c r="C6" i="1" a="1"/>
  <c r="C5" i="4"/>
  <c r="D5" i="4" s="1"/>
  <c r="E5" i="4" s="1" a="1"/>
  <c r="F4" i="4" a="1"/>
  <c r="E6" i="1" s="1" a="1"/>
  <c r="AQ5" i="4"/>
  <c r="AT4" i="4" a="1"/>
  <c r="AS6" i="1" s="1" a="1"/>
  <c r="R6" i="1" a="1"/>
  <c r="H6" i="1" a="1"/>
  <c r="M7" i="1" l="1" a="1"/>
  <c r="AL7" i="1" a="1"/>
  <c r="N7" i="1" a="1"/>
  <c r="AM7" i="1" a="1"/>
  <c r="C7" i="1" a="1"/>
  <c r="AB6" i="4"/>
  <c r="AE5" i="4" a="1"/>
  <c r="AD7" i="1" s="1" a="1"/>
  <c r="R6" i="4"/>
  <c r="S6" i="4" s="1"/>
  <c r="T6" i="4" s="1" a="1"/>
  <c r="U5" i="4" a="1"/>
  <c r="T7" i="1" s="1" a="1"/>
  <c r="Z4" i="4" a="1"/>
  <c r="Y6" i="1" s="1" a="1"/>
  <c r="M8" i="1" a="1"/>
  <c r="M7" i="4"/>
  <c r="N7" i="4" s="1"/>
  <c r="O7" i="4" s="1" a="1"/>
  <c r="P6" i="4" a="1"/>
  <c r="O8" i="1" s="1" a="1"/>
  <c r="W5" i="4"/>
  <c r="X5" i="4" s="1"/>
  <c r="Y5" i="4" s="1" a="1"/>
  <c r="N8" i="1" a="1"/>
  <c r="AM8" i="1" a="1"/>
  <c r="AQ7" i="1" a="1"/>
  <c r="AV7" i="1" a="1"/>
  <c r="AR7" i="1" a="1"/>
  <c r="AW7" i="1" a="1"/>
  <c r="AL8" i="1" a="1"/>
  <c r="AR5" i="4"/>
  <c r="AS5" i="4" s="1" a="1"/>
  <c r="AQ6" i="4" s="1"/>
  <c r="AR6" i="4" s="1"/>
  <c r="AS6" i="4" s="1" a="1"/>
  <c r="AW5" i="4"/>
  <c r="AX5" i="4" s="1" a="1"/>
  <c r="AV6" i="4" s="1"/>
  <c r="AW6" i="4" s="1"/>
  <c r="AX6" i="4" s="1" a="1"/>
  <c r="AL7" i="4"/>
  <c r="AM7" i="4" s="1"/>
  <c r="AN7" i="4" s="1" a="1"/>
  <c r="AO6" i="4" a="1"/>
  <c r="AN8" i="1" s="1" a="1"/>
  <c r="H7" i="1" a="1"/>
  <c r="D7" i="1" a="1"/>
  <c r="AH7" i="1" a="1"/>
  <c r="I7" i="1" a="1"/>
  <c r="AG7" i="1" a="1"/>
  <c r="S7" i="1" a="1"/>
  <c r="AG6" i="4"/>
  <c r="AH6" i="4" s="1"/>
  <c r="AI6" i="4" s="1" a="1"/>
  <c r="AJ5" i="4" a="1"/>
  <c r="AI7" i="1" s="1" a="1"/>
  <c r="H6" i="4"/>
  <c r="I6" i="4" s="1"/>
  <c r="J6" i="4" s="1" a="1"/>
  <c r="K5" i="4" a="1"/>
  <c r="J7" i="1" s="1" a="1"/>
  <c r="AE4" i="4" a="1"/>
  <c r="AD6" i="1" s="1" a="1"/>
  <c r="C6" i="4"/>
  <c r="F5" i="4" a="1"/>
  <c r="E7" i="1" s="1" a="1"/>
  <c r="R7" i="1" a="1"/>
  <c r="D8" i="1" l="1" a="1"/>
  <c r="I8" i="1" a="1"/>
  <c r="AB7" i="1" a="1"/>
  <c r="H8" i="1" a="1"/>
  <c r="AH8" i="1" a="1"/>
  <c r="AC7" i="1" a="1"/>
  <c r="AQ7" i="4"/>
  <c r="AR7" i="4" s="1"/>
  <c r="AS7" i="4" s="1" a="1"/>
  <c r="AT6" i="4" a="1"/>
  <c r="AS8" i="1" s="1" a="1"/>
  <c r="AM9" i="1" a="1"/>
  <c r="N9" i="1" a="1"/>
  <c r="AL9" i="1" a="1"/>
  <c r="M9" i="1" a="1"/>
  <c r="M8" i="4"/>
  <c r="P7" i="4" a="1"/>
  <c r="O9" i="1" s="1" a="1"/>
  <c r="AV7" i="4"/>
  <c r="AW7" i="4" s="1"/>
  <c r="AX7" i="4" s="1" a="1"/>
  <c r="AY6" i="4" a="1"/>
  <c r="AX8" i="1" s="1" a="1"/>
  <c r="AY5" i="4" a="1"/>
  <c r="AX7" i="1" s="1" a="1"/>
  <c r="X7" i="1" a="1"/>
  <c r="AL8" i="4"/>
  <c r="AM8" i="4" s="1"/>
  <c r="AN8" i="4" s="1" a="1"/>
  <c r="AO7" i="4" a="1"/>
  <c r="AN9" i="1" s="1" a="1"/>
  <c r="H7" i="4"/>
  <c r="I7" i="4" s="1"/>
  <c r="J7" i="4" s="1" a="1"/>
  <c r="K6" i="4" a="1"/>
  <c r="J8" i="1" s="1" a="1"/>
  <c r="AG8" i="1" a="1"/>
  <c r="W7" i="1" a="1"/>
  <c r="AT5" i="4" a="1"/>
  <c r="AS7" i="1" s="1" a="1"/>
  <c r="R8" i="1" a="1"/>
  <c r="AG7" i="4"/>
  <c r="AH7" i="4" s="1"/>
  <c r="AI7" i="4" s="1" a="1"/>
  <c r="AJ6" i="4" a="1"/>
  <c r="AI8" i="1" s="1" a="1"/>
  <c r="S8" i="1" a="1"/>
  <c r="D6" i="4"/>
  <c r="E6" i="4" s="1" a="1"/>
  <c r="C7" i="4" s="1"/>
  <c r="D7" i="4" s="1"/>
  <c r="E7" i="4" s="1" a="1"/>
  <c r="R7" i="4"/>
  <c r="S7" i="4" s="1"/>
  <c r="T7" i="4" s="1" a="1"/>
  <c r="U6" i="4" a="1"/>
  <c r="T8" i="1" s="1" a="1"/>
  <c r="C8" i="1" a="1"/>
  <c r="AB8" i="1" a="1"/>
  <c r="AC8" i="1" a="1"/>
  <c r="W6" i="4"/>
  <c r="Z5" i="4" a="1"/>
  <c r="Y7" i="1" s="1" a="1"/>
  <c r="AC6" i="4"/>
  <c r="AD6" i="4" s="1" a="1"/>
  <c r="AB7" i="4" s="1"/>
  <c r="AC7" i="4" s="1"/>
  <c r="AD7" i="4" s="1" a="1"/>
  <c r="AQ8" i="1" l="1" a="1"/>
  <c r="AL10" i="1" a="1"/>
  <c r="AW8" i="1" a="1"/>
  <c r="AH9" i="1" a="1"/>
  <c r="AG9" i="1" a="1"/>
  <c r="C8" i="4"/>
  <c r="F7" i="4" a="1"/>
  <c r="E9" i="1" s="1" a="1"/>
  <c r="AV9" i="1" a="1"/>
  <c r="AW9" i="1" a="1"/>
  <c r="S9" i="1" a="1"/>
  <c r="AV8" i="4"/>
  <c r="AW8" i="4" s="1"/>
  <c r="AX8" i="4" s="1" a="1"/>
  <c r="AY7" i="4" a="1"/>
  <c r="AX9" i="1" s="1" a="1"/>
  <c r="R9" i="1" a="1"/>
  <c r="H9" i="1" a="1"/>
  <c r="M10" i="1" a="1"/>
  <c r="I9" i="1" a="1"/>
  <c r="N10" i="1" a="1"/>
  <c r="R8" i="4"/>
  <c r="U7" i="4" a="1"/>
  <c r="T9" i="1" s="1" a="1"/>
  <c r="H8" i="4"/>
  <c r="K7" i="4" a="1"/>
  <c r="J9" i="1" s="1" a="1"/>
  <c r="N8" i="4"/>
  <c r="O8" i="4" s="1" a="1"/>
  <c r="M9" i="4" s="1"/>
  <c r="AM10" i="1" a="1"/>
  <c r="AB8" i="4"/>
  <c r="AC8" i="4" s="1"/>
  <c r="AD8" i="4" s="1" a="1"/>
  <c r="AE7" i="4" a="1"/>
  <c r="AD9" i="1" s="1" a="1"/>
  <c r="AL9" i="4"/>
  <c r="AM9" i="4" s="1"/>
  <c r="AN9" i="4" s="1" a="1"/>
  <c r="AO8" i="4" a="1"/>
  <c r="AN10" i="1" s="1" a="1"/>
  <c r="F6" i="4" a="1"/>
  <c r="E8" i="1" s="1" a="1"/>
  <c r="AE6" i="4" a="1"/>
  <c r="AD8" i="1" s="1" a="1"/>
  <c r="X8" i="1" a="1"/>
  <c r="AR9" i="1" a="1"/>
  <c r="W8" i="1" a="1"/>
  <c r="AG8" i="4"/>
  <c r="AH8" i="4" s="1"/>
  <c r="AI8" i="4" s="1" a="1"/>
  <c r="AJ7" i="4" a="1"/>
  <c r="AI9" i="1" s="1" a="1"/>
  <c r="AV8" i="1" a="1"/>
  <c r="AQ9" i="1" a="1"/>
  <c r="X6" i="4"/>
  <c r="Y6" i="4" s="1" a="1"/>
  <c r="W7" i="4" s="1"/>
  <c r="AR8" i="1" a="1"/>
  <c r="AQ8" i="4"/>
  <c r="AR8" i="4" s="1"/>
  <c r="AS8" i="4" s="1" a="1"/>
  <c r="AT7" i="4" a="1"/>
  <c r="AS9" i="1" s="1" a="1"/>
  <c r="AB10" i="1" l="1" a="1"/>
  <c r="AB9" i="1" a="1"/>
  <c r="D9" i="1" a="1"/>
  <c r="AQ10" i="1" a="1"/>
  <c r="AL11" i="1" a="1"/>
  <c r="AR10" i="1" a="1"/>
  <c r="H10" i="1" a="1"/>
  <c r="C9" i="1" a="1"/>
  <c r="AC10" i="1" a="1"/>
  <c r="AV10" i="1" a="1"/>
  <c r="AW10" i="1" a="1"/>
  <c r="AC9" i="1" a="1"/>
  <c r="I10" i="1" a="1"/>
  <c r="AM11" i="1" a="1"/>
  <c r="X7" i="4"/>
  <c r="Y7" i="4" s="1" a="1"/>
  <c r="W8" i="4" s="1"/>
  <c r="X8" i="4" s="1"/>
  <c r="Y8" i="4" s="1" a="1"/>
  <c r="N9" i="4"/>
  <c r="O9" i="4" s="1" a="1"/>
  <c r="M10" i="4" s="1"/>
  <c r="N10" i="4" s="1"/>
  <c r="O10" i="4" s="1" a="1"/>
  <c r="AG10" i="1" a="1"/>
  <c r="AH10" i="1" a="1"/>
  <c r="AB9" i="4"/>
  <c r="AC9" i="4" s="1"/>
  <c r="AD9" i="4" s="1" a="1"/>
  <c r="AE8" i="4" a="1"/>
  <c r="AD10" i="1" s="1" a="1"/>
  <c r="P8" i="4" a="1"/>
  <c r="O10" i="1" s="1" a="1"/>
  <c r="AV9" i="4"/>
  <c r="AY8" i="4" a="1"/>
  <c r="AX10" i="1" s="1" a="1"/>
  <c r="AG9" i="4"/>
  <c r="AJ8" i="4" a="1"/>
  <c r="AI10" i="1" s="1" a="1"/>
  <c r="AQ9" i="4"/>
  <c r="AR9" i="4" s="1"/>
  <c r="AS9" i="4" s="1" a="1"/>
  <c r="AT8" i="4" a="1"/>
  <c r="AS10" i="1" s="1" a="1"/>
  <c r="I8" i="4"/>
  <c r="J8" i="4" s="1" a="1"/>
  <c r="H9" i="4" s="1"/>
  <c r="S10" i="1" a="1"/>
  <c r="C10" i="1" a="1"/>
  <c r="Z6" i="4" a="1"/>
  <c r="Y8" i="1" s="1" a="1"/>
  <c r="R10" i="1" a="1"/>
  <c r="D10" i="1" a="1"/>
  <c r="AL10" i="4"/>
  <c r="AO9" i="4" a="1"/>
  <c r="AN11" i="1" s="1" a="1"/>
  <c r="S8" i="4"/>
  <c r="T8" i="4" s="1" a="1"/>
  <c r="R9" i="4" s="1"/>
  <c r="S9" i="4" s="1"/>
  <c r="T9" i="4" s="1" a="1"/>
  <c r="D8" i="4"/>
  <c r="E8" i="4" s="1" a="1"/>
  <c r="C9" i="4" s="1"/>
  <c r="D9" i="4" s="1"/>
  <c r="E9" i="4" s="1" a="1"/>
  <c r="AC11" i="1" l="1" a="1"/>
  <c r="AB11" i="1" a="1"/>
  <c r="R10" i="4"/>
  <c r="S10" i="4" s="1"/>
  <c r="T10" i="4" s="1" a="1"/>
  <c r="U9" i="4" a="1"/>
  <c r="T11" i="1" s="1" a="1"/>
  <c r="M11" i="4"/>
  <c r="N11" i="4" s="1"/>
  <c r="O11" i="4" s="1" a="1"/>
  <c r="P10" i="4" a="1"/>
  <c r="O12" i="1" s="1" a="1"/>
  <c r="AH9" i="4"/>
  <c r="AI9" i="4" s="1" a="1"/>
  <c r="AG10" i="4" s="1"/>
  <c r="AH10" i="4" s="1"/>
  <c r="AI10" i="4" s="1" a="1"/>
  <c r="X9" i="1" a="1"/>
  <c r="AV11" i="1" a="1"/>
  <c r="AW9" i="4"/>
  <c r="AX9" i="4" s="1" a="1"/>
  <c r="AV10" i="4" s="1"/>
  <c r="AW10" i="4" s="1"/>
  <c r="AX10" i="4" s="1" a="1"/>
  <c r="M11" i="1" a="1"/>
  <c r="W9" i="1" a="1"/>
  <c r="N11" i="1" a="1"/>
  <c r="AM10" i="4"/>
  <c r="AN10" i="4" s="1" a="1"/>
  <c r="C10" i="4"/>
  <c r="D10" i="4" s="1"/>
  <c r="E10" i="4" s="1" a="1"/>
  <c r="F9" i="4" a="1"/>
  <c r="E11" i="1" s="1" a="1"/>
  <c r="K8" i="4" a="1"/>
  <c r="J10" i="1" s="1" a="1"/>
  <c r="F8" i="4" a="1"/>
  <c r="E10" i="1" s="1" a="1"/>
  <c r="AR11" i="1" a="1"/>
  <c r="AQ11" i="1" a="1"/>
  <c r="AB10" i="4"/>
  <c r="AE9" i="4" a="1"/>
  <c r="AD11" i="1" s="1" a="1"/>
  <c r="U8" i="4" a="1"/>
  <c r="T10" i="1" s="1" a="1"/>
  <c r="AQ10" i="4"/>
  <c r="AR10" i="4" s="1"/>
  <c r="AS10" i="4" s="1" a="1"/>
  <c r="AT9" i="4" a="1"/>
  <c r="AS11" i="1" s="1" a="1"/>
  <c r="I9" i="4"/>
  <c r="J9" i="4" s="1" a="1"/>
  <c r="H10" i="4" s="1"/>
  <c r="I10" i="4" s="1"/>
  <c r="J10" i="4" s="1" a="1"/>
  <c r="AL12" i="1" a="1"/>
  <c r="AM12" i="1" a="1"/>
  <c r="AH11" i="1" a="1"/>
  <c r="AG11" i="1" a="1"/>
  <c r="P9" i="4" a="1"/>
  <c r="O11" i="1" s="1" a="1"/>
  <c r="W9" i="4"/>
  <c r="X9" i="4" s="1"/>
  <c r="Y9" i="4" s="1" a="1"/>
  <c r="Z8" i="4" a="1"/>
  <c r="Y10" i="1" s="1" a="1"/>
  <c r="AW11" i="1" a="1"/>
  <c r="Z7" i="4" a="1"/>
  <c r="Y9" i="1" s="1" a="1"/>
  <c r="C11" i="1" l="1" a="1"/>
  <c r="D11" i="1" a="1"/>
  <c r="W10" i="1" a="1"/>
  <c r="AR12" i="1" a="1"/>
  <c r="X10" i="1" a="1"/>
  <c r="I11" i="1" a="1"/>
  <c r="AV11" i="4"/>
  <c r="AW11" i="4" s="1"/>
  <c r="AX11" i="4" s="1" a="1"/>
  <c r="AY10" i="4" a="1"/>
  <c r="AX12" i="1" s="1" a="1"/>
  <c r="AC10" i="4"/>
  <c r="AD10" i="4" s="1" a="1"/>
  <c r="AB11" i="4" s="1"/>
  <c r="AC11" i="4" s="1"/>
  <c r="AD11" i="4" s="1" a="1"/>
  <c r="R11" i="1" a="1"/>
  <c r="AY9" i="4" a="1"/>
  <c r="AX11" i="1" s="1" a="1"/>
  <c r="H11" i="4"/>
  <c r="I11" i="4" s="1"/>
  <c r="J11" i="4" s="1" a="1"/>
  <c r="K10" i="4" a="1"/>
  <c r="J12" i="1" s="1" a="1"/>
  <c r="C12" i="1" a="1"/>
  <c r="K9" i="4" a="1"/>
  <c r="J11" i="1" s="1" a="1"/>
  <c r="AG11" i="4"/>
  <c r="AH11" i="4" s="1"/>
  <c r="AI11" i="4" s="1" a="1"/>
  <c r="AJ10" i="4" a="1"/>
  <c r="AI12" i="1" s="1" a="1"/>
  <c r="S11" i="1" a="1"/>
  <c r="M12" i="1" a="1"/>
  <c r="AB12" i="1" a="1"/>
  <c r="AQ12" i="1" a="1"/>
  <c r="H11" i="1" a="1"/>
  <c r="AJ9" i="4" a="1"/>
  <c r="AI11" i="1" s="1" a="1"/>
  <c r="N13" i="1" a="1"/>
  <c r="W11" i="1" a="1"/>
  <c r="AO10" i="4" a="1"/>
  <c r="AN12" i="1" s="1" a="1"/>
  <c r="X11" i="1" a="1"/>
  <c r="AQ11" i="4"/>
  <c r="AR11" i="4" s="1"/>
  <c r="AS11" i="4" s="1" a="1"/>
  <c r="AT10" i="4" a="1"/>
  <c r="AS12" i="1" s="1" a="1"/>
  <c r="D12" i="1" a="1"/>
  <c r="M13" i="1" a="1"/>
  <c r="M12" i="4"/>
  <c r="N12" i="4" s="1"/>
  <c r="O12" i="4" s="1" a="1"/>
  <c r="P11" i="4" a="1"/>
  <c r="O13" i="1" s="1" a="1"/>
  <c r="W10" i="4"/>
  <c r="X10" i="4" s="1"/>
  <c r="Y10" i="4" s="1" a="1"/>
  <c r="Z9" i="4" a="1"/>
  <c r="Y11" i="1" s="1" a="1"/>
  <c r="C11" i="4"/>
  <c r="F10" i="4" a="1"/>
  <c r="E12" i="1" s="1" a="1"/>
  <c r="R12" i="1" a="1"/>
  <c r="N12" i="1" a="1"/>
  <c r="AC12" i="1" a="1"/>
  <c r="AL11" i="4"/>
  <c r="AM11" i="4" s="1"/>
  <c r="AN11" i="4" s="1" a="1"/>
  <c r="S12" i="1" a="1"/>
  <c r="R11" i="4"/>
  <c r="U10" i="4" a="1"/>
  <c r="T12" i="1" s="1" a="1"/>
  <c r="AG13" i="1" l="1" a="1"/>
  <c r="AH12" i="1" a="1"/>
  <c r="AW12" i="1" a="1"/>
  <c r="AV12" i="1" a="1"/>
  <c r="AR13" i="1" a="1"/>
  <c r="H13" i="1" a="1"/>
  <c r="N14" i="1" a="1"/>
  <c r="S13" i="1" a="1"/>
  <c r="W11" i="4"/>
  <c r="X11" i="4" s="1"/>
  <c r="Y11" i="4" s="1" a="1"/>
  <c r="Z10" i="4" a="1"/>
  <c r="Y12" i="1" s="1" a="1"/>
  <c r="R13" i="1" a="1"/>
  <c r="M14" i="1" a="1"/>
  <c r="AG12" i="1" a="1"/>
  <c r="I13" i="1" a="1"/>
  <c r="S11" i="4"/>
  <c r="T11" i="4" s="1" a="1"/>
  <c r="R12" i="4" s="1"/>
  <c r="S12" i="4" s="1"/>
  <c r="T12" i="4" s="1" a="1"/>
  <c r="M13" i="4"/>
  <c r="N13" i="4" s="1"/>
  <c r="O13" i="4" s="1" a="1"/>
  <c r="P12" i="4" a="1"/>
  <c r="O14" i="1" s="1" a="1"/>
  <c r="H12" i="4"/>
  <c r="I12" i="4" s="1"/>
  <c r="J12" i="4" s="1" a="1"/>
  <c r="K11" i="4" a="1"/>
  <c r="J13" i="1" s="1" a="1"/>
  <c r="AB12" i="4"/>
  <c r="AC12" i="4" s="1"/>
  <c r="AD12" i="4" s="1" a="1"/>
  <c r="AE11" i="4" a="1"/>
  <c r="AD13" i="1" s="1" a="1"/>
  <c r="AL12" i="4"/>
  <c r="AM12" i="4" s="1"/>
  <c r="AN12" i="4" s="1" a="1"/>
  <c r="AO11" i="4" a="1"/>
  <c r="AN13" i="1" s="1" a="1"/>
  <c r="C13" i="1" a="1"/>
  <c r="AQ12" i="4"/>
  <c r="AR12" i="4" s="1"/>
  <c r="AS12" i="4" s="1" a="1"/>
  <c r="AT11" i="4" a="1"/>
  <c r="AS13" i="1" s="1" a="1"/>
  <c r="AH13" i="1" a="1"/>
  <c r="AE10" i="4" a="1"/>
  <c r="AD12" i="1" s="1" a="1"/>
  <c r="D13" i="1" a="1"/>
  <c r="AW13" i="1" a="1"/>
  <c r="D11" i="4"/>
  <c r="E11" i="4" s="1" a="1"/>
  <c r="C12" i="4" s="1"/>
  <c r="AM13" i="1" a="1"/>
  <c r="AG12" i="4"/>
  <c r="AH12" i="4" s="1"/>
  <c r="AI12" i="4" s="1" a="1"/>
  <c r="AJ11" i="4" a="1"/>
  <c r="AI13" i="1" s="1" a="1"/>
  <c r="AV13" i="1" a="1"/>
  <c r="AQ13" i="1" a="1"/>
  <c r="W12" i="1" a="1"/>
  <c r="AL13" i="1" a="1"/>
  <c r="H12" i="1" a="1"/>
  <c r="X12" i="1" a="1"/>
  <c r="I12" i="1" a="1"/>
  <c r="AV12" i="4"/>
  <c r="AW12" i="4" s="1"/>
  <c r="AX12" i="4" s="1" a="1"/>
  <c r="AY11" i="4" a="1"/>
  <c r="AX13" i="1" s="1" a="1"/>
  <c r="AG14" i="1" l="1" a="1"/>
  <c r="AQ14" i="1" a="1"/>
  <c r="AR14" i="1" a="1"/>
  <c r="AC14" i="1" a="1"/>
  <c r="X13" i="1" a="1"/>
  <c r="AB13" i="1" a="1"/>
  <c r="AH14" i="1" a="1"/>
  <c r="AL14" i="1" a="1"/>
  <c r="AC13" i="1" a="1"/>
  <c r="R13" i="4"/>
  <c r="S13" i="4" s="1"/>
  <c r="T13" i="4" s="1" a="1"/>
  <c r="U12" i="4" a="1"/>
  <c r="T14" i="1" s="1" a="1"/>
  <c r="H13" i="4"/>
  <c r="K12" i="4" a="1"/>
  <c r="J14" i="1" s="1" a="1"/>
  <c r="N15" i="1" a="1"/>
  <c r="M15" i="1" a="1"/>
  <c r="AV14" i="1" a="1"/>
  <c r="AQ13" i="4"/>
  <c r="AR13" i="4" s="1"/>
  <c r="AS13" i="4" s="1" a="1"/>
  <c r="AT12" i="4" a="1"/>
  <c r="AS14" i="1" s="1" a="1"/>
  <c r="M14" i="4"/>
  <c r="N14" i="4" s="1"/>
  <c r="O14" i="4" s="1" a="1"/>
  <c r="P13" i="4" a="1"/>
  <c r="O15" i="1" s="1" a="1"/>
  <c r="AG13" i="4"/>
  <c r="AJ12" i="4" a="1"/>
  <c r="AI14" i="1" s="1" a="1"/>
  <c r="AM14" i="1" a="1"/>
  <c r="U11" i="4" a="1"/>
  <c r="T13" i="1" s="1" a="1"/>
  <c r="AL13" i="4"/>
  <c r="AM13" i="4" s="1"/>
  <c r="AN13" i="4" s="1" a="1"/>
  <c r="AO12" i="4" a="1"/>
  <c r="AN14" i="1" s="1" a="1"/>
  <c r="D12" i="4"/>
  <c r="E12" i="4" s="1" a="1"/>
  <c r="C13" i="4" s="1"/>
  <c r="D13" i="4" s="1"/>
  <c r="E13" i="4" s="1" a="1"/>
  <c r="AW14" i="1" a="1"/>
  <c r="F11" i="4" a="1"/>
  <c r="E13" i="1" s="1" a="1"/>
  <c r="AB14" i="1" a="1"/>
  <c r="AB13" i="4"/>
  <c r="AC13" i="4" s="1"/>
  <c r="AD13" i="4" s="1" a="1"/>
  <c r="AE12" i="4" a="1"/>
  <c r="AD14" i="1" s="1" a="1"/>
  <c r="W13" i="1" a="1"/>
  <c r="AV13" i="4"/>
  <c r="AW13" i="4" s="1"/>
  <c r="AX13" i="4" s="1" a="1"/>
  <c r="AY12" i="4" a="1"/>
  <c r="AX14" i="1" s="1" a="1"/>
  <c r="I14" i="1" a="1"/>
  <c r="H14" i="1" a="1"/>
  <c r="W12" i="4"/>
  <c r="X12" i="4" s="1"/>
  <c r="Y12" i="4" s="1" a="1"/>
  <c r="Z11" i="4" a="1"/>
  <c r="Y13" i="1" s="1" a="1"/>
  <c r="AG15" i="1" l="1" a="1"/>
  <c r="AH15" i="1" a="1"/>
  <c r="D14" i="1" a="1"/>
  <c r="W14" i="1" a="1"/>
  <c r="S14" i="1" a="1"/>
  <c r="S15" i="1" a="1"/>
  <c r="N16" i="1" a="1"/>
  <c r="R14" i="1" a="1"/>
  <c r="I15" i="1" a="1"/>
  <c r="H15" i="1" a="1"/>
  <c r="X14" i="1" a="1"/>
  <c r="AB15" i="1" a="1"/>
  <c r="AC15" i="1" a="1"/>
  <c r="C14" i="1" a="1"/>
  <c r="M16" i="1" a="1"/>
  <c r="AQ14" i="4"/>
  <c r="AR14" i="4" s="1"/>
  <c r="AS14" i="4" s="1" a="1"/>
  <c r="AT13" i="4" a="1"/>
  <c r="AS15" i="1" s="1" a="1"/>
  <c r="C14" i="4"/>
  <c r="D14" i="4" s="1"/>
  <c r="E14" i="4" s="1" a="1"/>
  <c r="F13" i="4" a="1"/>
  <c r="E15" i="1" s="1" a="1"/>
  <c r="F12" i="4" a="1"/>
  <c r="E14" i="1" s="1" a="1"/>
  <c r="M15" i="4"/>
  <c r="P14" i="4" a="1"/>
  <c r="O16" i="1" s="1" a="1"/>
  <c r="AL14" i="4"/>
  <c r="AM14" i="4" s="1"/>
  <c r="AN14" i="4" s="1" a="1"/>
  <c r="AO13" i="4" a="1"/>
  <c r="AN15" i="1" s="1" a="1"/>
  <c r="W13" i="4"/>
  <c r="X13" i="4" s="1"/>
  <c r="Y13" i="4" s="1" a="1"/>
  <c r="Z12" i="4" a="1"/>
  <c r="Y14" i="1" s="1" a="1"/>
  <c r="AV15" i="1" a="1"/>
  <c r="AM15" i="1" a="1"/>
  <c r="AQ15" i="1" a="1"/>
  <c r="AW15" i="1" a="1"/>
  <c r="AL15" i="1" a="1"/>
  <c r="AR15" i="1" a="1"/>
  <c r="AV14" i="4"/>
  <c r="AY13" i="4" a="1"/>
  <c r="AX15" i="1" s="1" a="1"/>
  <c r="AB14" i="4"/>
  <c r="AC14" i="4" s="1"/>
  <c r="AD14" i="4" s="1" a="1"/>
  <c r="AE13" i="4" a="1"/>
  <c r="AD15" i="1" s="1" a="1"/>
  <c r="I13" i="4"/>
  <c r="J13" i="4" s="1" a="1"/>
  <c r="H14" i="4" s="1"/>
  <c r="I14" i="4" s="1"/>
  <c r="J14" i="4" s="1" a="1"/>
  <c r="R15" i="1" a="1"/>
  <c r="AH13" i="4"/>
  <c r="AI13" i="4" s="1" a="1"/>
  <c r="AG14" i="4" s="1"/>
  <c r="AH14" i="4" s="1"/>
  <c r="AI14" i="4" s="1" a="1"/>
  <c r="R14" i="4"/>
  <c r="S14" i="4" s="1"/>
  <c r="T14" i="4" s="1" a="1"/>
  <c r="U13" i="4" a="1"/>
  <c r="T15" i="1" s="1" a="1"/>
  <c r="AV16" i="1" l="1" a="1"/>
  <c r="AW16" i="1" a="1"/>
  <c r="M17" i="1" a="1"/>
  <c r="AC16" i="1" a="1"/>
  <c r="AB16" i="1" a="1"/>
  <c r="H15" i="4"/>
  <c r="K14" i="4" a="1"/>
  <c r="J16" i="1" s="1" a="1"/>
  <c r="AL15" i="4"/>
  <c r="AM15" i="4" s="1"/>
  <c r="AN15" i="4" s="1" a="1"/>
  <c r="AO14" i="4" a="1"/>
  <c r="AN16" i="1" s="1" a="1"/>
  <c r="N17" i="1" a="1"/>
  <c r="AB15" i="4"/>
  <c r="AC15" i="4" s="1"/>
  <c r="AD15" i="4" s="1" a="1"/>
  <c r="AE14" i="4" a="1"/>
  <c r="AD16" i="1" s="1" a="1"/>
  <c r="S16" i="1" a="1"/>
  <c r="N15" i="4"/>
  <c r="O15" i="4" s="1" a="1"/>
  <c r="M16" i="4" s="1"/>
  <c r="R15" i="4"/>
  <c r="S15" i="4" s="1"/>
  <c r="T15" i="4" s="1" a="1"/>
  <c r="U14" i="4" a="1"/>
  <c r="T16" i="1" s="1" a="1"/>
  <c r="D15" i="1" a="1"/>
  <c r="AW14" i="4"/>
  <c r="AX14" i="4" s="1" a="1"/>
  <c r="AV15" i="4" s="1"/>
  <c r="AW15" i="4" s="1"/>
  <c r="AX15" i="4" s="1" a="1"/>
  <c r="R16" i="1" a="1"/>
  <c r="C15" i="1" a="1"/>
  <c r="C16" i="1" a="1"/>
  <c r="X15" i="1" a="1"/>
  <c r="D16" i="1" a="1"/>
  <c r="AG15" i="4"/>
  <c r="AH15" i="4" s="1"/>
  <c r="AI15" i="4" s="1" a="1"/>
  <c r="AJ14" i="4" a="1"/>
  <c r="AI16" i="1" s="1" a="1"/>
  <c r="AJ13" i="4" a="1"/>
  <c r="AI15" i="1" s="1" a="1"/>
  <c r="K13" i="4" a="1"/>
  <c r="J15" i="1" s="1" a="1"/>
  <c r="W15" i="1" a="1"/>
  <c r="C15" i="4"/>
  <c r="D15" i="4" s="1"/>
  <c r="E15" i="4" s="1" a="1"/>
  <c r="F14" i="4" a="1"/>
  <c r="E16" i="1" s="1" a="1"/>
  <c r="W14" i="4"/>
  <c r="X14" i="4" s="1"/>
  <c r="Y14" i="4" s="1" a="1"/>
  <c r="Z13" i="4" a="1"/>
  <c r="Y15" i="1" s="1" a="1"/>
  <c r="AR16" i="1" a="1"/>
  <c r="AL16" i="1" a="1"/>
  <c r="AQ16" i="1" a="1"/>
  <c r="AM16" i="1" a="1"/>
  <c r="AQ15" i="4"/>
  <c r="AR15" i="4" s="1"/>
  <c r="AS15" i="4" s="1" a="1"/>
  <c r="AT14" i="4" a="1"/>
  <c r="AS16" i="1" s="1" a="1"/>
  <c r="AG17" i="1" l="1" a="1"/>
  <c r="AH16" i="1" a="1"/>
  <c r="C17" i="1" a="1"/>
  <c r="D17" i="1" a="1"/>
  <c r="H16" i="1" a="1"/>
  <c r="I16" i="1" a="1"/>
  <c r="AQ17" i="1" a="1"/>
  <c r="AR17" i="1" a="1"/>
  <c r="AC17" i="1" a="1"/>
  <c r="AV16" i="4"/>
  <c r="AW16" i="4" s="1"/>
  <c r="AX16" i="4" s="1" a="1"/>
  <c r="AY15" i="4" a="1"/>
  <c r="AX17" i="1" s="1" a="1"/>
  <c r="N16" i="4"/>
  <c r="O16" i="4" s="1" a="1"/>
  <c r="M17" i="4" s="1"/>
  <c r="N17" i="4" s="1"/>
  <c r="O17" i="4" s="1" a="1"/>
  <c r="AH17" i="1" a="1"/>
  <c r="P15" i="4" a="1"/>
  <c r="O17" i="1" s="1" a="1"/>
  <c r="W16" i="1" a="1"/>
  <c r="AB17" i="1" a="1"/>
  <c r="AG16" i="4"/>
  <c r="AH16" i="4" s="1"/>
  <c r="AI16" i="4" s="1" a="1"/>
  <c r="AJ15" i="4" a="1"/>
  <c r="AI17" i="1" s="1" a="1"/>
  <c r="X16" i="1" a="1"/>
  <c r="AB16" i="4"/>
  <c r="AC16" i="4" s="1"/>
  <c r="AD16" i="4" s="1" a="1"/>
  <c r="AE15" i="4" a="1"/>
  <c r="AD17" i="1" s="1" a="1"/>
  <c r="W15" i="4"/>
  <c r="X15" i="4" s="1"/>
  <c r="Y15" i="4" s="1" a="1"/>
  <c r="Z14" i="4" a="1"/>
  <c r="Y16" i="1" s="1" a="1"/>
  <c r="AM17" i="1" a="1"/>
  <c r="AL17" i="1" a="1"/>
  <c r="AY14" i="4" a="1"/>
  <c r="AX16" i="1" s="1" a="1"/>
  <c r="C16" i="4"/>
  <c r="D16" i="4" s="1"/>
  <c r="E16" i="4" s="1" a="1"/>
  <c r="F15" i="4" a="1"/>
  <c r="E17" i="1" s="1" a="1"/>
  <c r="AL16" i="4"/>
  <c r="AM16" i="4" s="1"/>
  <c r="AN16" i="4" s="1" a="1"/>
  <c r="AO15" i="4" a="1"/>
  <c r="AN17" i="1" s="1" a="1"/>
  <c r="S17" i="1" a="1"/>
  <c r="I17" i="1" a="1"/>
  <c r="AQ16" i="4"/>
  <c r="AR16" i="4" s="1"/>
  <c r="AS16" i="4" s="1" a="1"/>
  <c r="AT15" i="4" a="1"/>
  <c r="AS17" i="1" s="1" a="1"/>
  <c r="AG16" i="1" a="1"/>
  <c r="R17" i="1" a="1"/>
  <c r="H17" i="1" a="1"/>
  <c r="R16" i="4"/>
  <c r="S16" i="4" s="1"/>
  <c r="T16" i="4" s="1" a="1"/>
  <c r="U15" i="4" a="1"/>
  <c r="T17" i="1" s="1" a="1"/>
  <c r="I15" i="4"/>
  <c r="J15" i="4" s="1" a="1"/>
  <c r="H16" i="4" s="1"/>
  <c r="AC18" i="1" l="1" a="1"/>
  <c r="AB18" i="1" a="1"/>
  <c r="N18" i="1" a="1"/>
  <c r="X17" i="1" a="1"/>
  <c r="M18" i="1" a="1"/>
  <c r="AV18" i="1" a="1"/>
  <c r="AM18" i="1" a="1"/>
  <c r="AL18" i="1" a="1"/>
  <c r="AV17" i="1" a="1"/>
  <c r="AW17" i="1" a="1"/>
  <c r="R17" i="4"/>
  <c r="U16" i="4" a="1"/>
  <c r="T18" i="1" s="1" a="1"/>
  <c r="AH18" i="1" a="1"/>
  <c r="C17" i="4"/>
  <c r="F16" i="4" a="1"/>
  <c r="E18" i="1" s="1" a="1"/>
  <c r="AG18" i="1" a="1"/>
  <c r="AG17" i="4"/>
  <c r="AH17" i="4" s="1"/>
  <c r="AI17" i="4" s="1" a="1"/>
  <c r="AJ16" i="4" a="1"/>
  <c r="AI18" i="1" s="1" a="1"/>
  <c r="W17" i="1" a="1"/>
  <c r="M18" i="4"/>
  <c r="N18" i="4" s="1"/>
  <c r="O18" i="4" s="1" a="1"/>
  <c r="P17" i="4" a="1"/>
  <c r="O19" i="1" s="1" a="1"/>
  <c r="AR18" i="1" a="1"/>
  <c r="AQ18" i="1" a="1"/>
  <c r="AQ17" i="4"/>
  <c r="AR17" i="4" s="1"/>
  <c r="AS17" i="4" s="1" a="1"/>
  <c r="AT16" i="4" a="1"/>
  <c r="AS18" i="1" s="1" a="1"/>
  <c r="P16" i="4" a="1"/>
  <c r="O18" i="1" s="1" a="1"/>
  <c r="I16" i="4"/>
  <c r="J16" i="4" s="1" a="1"/>
  <c r="K15" i="4" a="1"/>
  <c r="J17" i="1" s="1" a="1"/>
  <c r="R18" i="1" a="1"/>
  <c r="AL17" i="4"/>
  <c r="AM17" i="4" s="1"/>
  <c r="AN17" i="4" s="1" a="1"/>
  <c r="AO16" i="4" a="1"/>
  <c r="AN18" i="1" s="1" a="1"/>
  <c r="AW18" i="1" a="1"/>
  <c r="W16" i="4"/>
  <c r="X16" i="4" s="1"/>
  <c r="Y16" i="4" s="1" a="1"/>
  <c r="Z15" i="4" a="1"/>
  <c r="Y17" i="1" s="1" a="1"/>
  <c r="S18" i="1" a="1"/>
  <c r="D18" i="1" a="1"/>
  <c r="AB17" i="4"/>
  <c r="AC17" i="4" s="1"/>
  <c r="AD17" i="4" s="1" a="1"/>
  <c r="AE16" i="4" a="1"/>
  <c r="AD18" i="1" s="1" a="1"/>
  <c r="C18" i="1" a="1"/>
  <c r="AV17" i="4"/>
  <c r="AW17" i="4" s="1"/>
  <c r="AX17" i="4" s="1" a="1"/>
  <c r="AY16" i="4" a="1"/>
  <c r="AX18" i="1" s="1" a="1"/>
  <c r="AG19" i="1" l="1" a="1"/>
  <c r="W18" i="1" a="1"/>
  <c r="N20" i="1" a="1"/>
  <c r="AH19" i="1" a="1"/>
  <c r="X18" i="1" a="1"/>
  <c r="AB19" i="1" a="1"/>
  <c r="I18" i="1" a="1"/>
  <c r="M19" i="4"/>
  <c r="N19" i="4" s="1"/>
  <c r="O19" i="4" s="1" a="1"/>
  <c r="P18" i="4" a="1"/>
  <c r="O20" i="1" s="1" a="1"/>
  <c r="AB18" i="4"/>
  <c r="AC18" i="4" s="1"/>
  <c r="AD18" i="4" s="1" a="1"/>
  <c r="AE17" i="4" a="1"/>
  <c r="AD19" i="1" s="1" a="1"/>
  <c r="AG18" i="4"/>
  <c r="AH18" i="4" s="1"/>
  <c r="AI18" i="4" s="1" a="1"/>
  <c r="AJ17" i="4" a="1"/>
  <c r="AI19" i="1" s="1" a="1"/>
  <c r="K16" i="4" a="1"/>
  <c r="J18" i="1" s="1" a="1"/>
  <c r="C19" i="1" a="1"/>
  <c r="AQ19" i="1" a="1"/>
  <c r="W17" i="4"/>
  <c r="X17" i="4" s="1"/>
  <c r="Y17" i="4" s="1" a="1"/>
  <c r="Z16" i="4" a="1"/>
  <c r="Y18" i="1" s="1" a="1"/>
  <c r="AR19" i="1" a="1"/>
  <c r="D19" i="1" a="1"/>
  <c r="H17" i="4"/>
  <c r="I17" i="4" s="1"/>
  <c r="J17" i="4" s="1" a="1"/>
  <c r="N19" i="1" a="1"/>
  <c r="AV19" i="1" a="1"/>
  <c r="AM19" i="1" a="1"/>
  <c r="AQ18" i="4"/>
  <c r="AR18" i="4" s="1"/>
  <c r="AS18" i="4" s="1" a="1"/>
  <c r="AT17" i="4" a="1"/>
  <c r="AS19" i="1" s="1" a="1"/>
  <c r="D17" i="4"/>
  <c r="E17" i="4" s="1" a="1"/>
  <c r="C18" i="4" s="1"/>
  <c r="M19" i="1" a="1"/>
  <c r="AW19" i="1" a="1"/>
  <c r="AL19" i="1" a="1"/>
  <c r="S19" i="1" a="1"/>
  <c r="AV18" i="4"/>
  <c r="AW18" i="4" s="1"/>
  <c r="AX18" i="4" s="1" a="1"/>
  <c r="AY17" i="4" a="1"/>
  <c r="AX19" i="1" s="1" a="1"/>
  <c r="AL18" i="4"/>
  <c r="AM18" i="4" s="1"/>
  <c r="AN18" i="4" s="1" a="1"/>
  <c r="AO17" i="4" a="1"/>
  <c r="AN19" i="1" s="1" a="1"/>
  <c r="M20" i="1" a="1"/>
  <c r="R19" i="1" a="1"/>
  <c r="AC19" i="1" a="1"/>
  <c r="H18" i="1" a="1"/>
  <c r="S17" i="4"/>
  <c r="T17" i="4" s="1" a="1"/>
  <c r="R18" i="4" s="1"/>
  <c r="S18" i="4" s="1"/>
  <c r="T18" i="4" s="1" a="1"/>
  <c r="X19" i="1" l="1" a="1"/>
  <c r="AR20" i="1" a="1"/>
  <c r="D18" i="4"/>
  <c r="E18" i="4" s="1" a="1"/>
  <c r="C19" i="4" s="1"/>
  <c r="D19" i="4" s="1"/>
  <c r="E19" i="4" s="1" a="1"/>
  <c r="R19" i="4"/>
  <c r="U18" i="4" a="1"/>
  <c r="T20" i="1" s="1" a="1"/>
  <c r="H19" i="1" a="1"/>
  <c r="AQ20" i="1" a="1"/>
  <c r="I19" i="1" a="1"/>
  <c r="AM20" i="1" a="1"/>
  <c r="AL20" i="1" a="1"/>
  <c r="AQ19" i="4"/>
  <c r="AR19" i="4" s="1"/>
  <c r="AS19" i="4" s="1" a="1"/>
  <c r="AT18" i="4" a="1"/>
  <c r="AS20" i="1" s="1" a="1"/>
  <c r="AH20" i="1" a="1"/>
  <c r="AG20" i="1" a="1"/>
  <c r="AL19" i="4"/>
  <c r="AM19" i="4" s="1"/>
  <c r="AN19" i="4" s="1" a="1"/>
  <c r="AO18" i="4" a="1"/>
  <c r="AN20" i="1" s="1" a="1"/>
  <c r="AV20" i="1" a="1"/>
  <c r="AG19" i="4"/>
  <c r="AH19" i="4" s="1"/>
  <c r="AI19" i="4" s="1" a="1"/>
  <c r="AJ18" i="4" a="1"/>
  <c r="AI20" i="1" s="1" a="1"/>
  <c r="AW20" i="1" a="1"/>
  <c r="H18" i="4"/>
  <c r="I18" i="4" s="1"/>
  <c r="J18" i="4" s="1" a="1"/>
  <c r="K17" i="4" a="1"/>
  <c r="J19" i="1" s="1" a="1"/>
  <c r="AB20" i="1" a="1"/>
  <c r="AC20" i="1" a="1"/>
  <c r="AB19" i="4"/>
  <c r="AE18" i="4" a="1"/>
  <c r="AD20" i="1" s="1" a="1"/>
  <c r="W19" i="1" a="1"/>
  <c r="M21" i="1" a="1"/>
  <c r="N21" i="1" a="1"/>
  <c r="AV19" i="4"/>
  <c r="AW19" i="4" s="1"/>
  <c r="AX19" i="4" s="1" a="1"/>
  <c r="AY18" i="4" a="1"/>
  <c r="AX20" i="1" s="1" a="1"/>
  <c r="U17" i="4" a="1"/>
  <c r="T19" i="1" s="1" a="1"/>
  <c r="W18" i="4"/>
  <c r="Z17" i="4" a="1"/>
  <c r="Y19" i="1" s="1" a="1"/>
  <c r="M20" i="4"/>
  <c r="N20" i="4" s="1"/>
  <c r="O20" i="4" s="1" a="1"/>
  <c r="P19" i="4" a="1"/>
  <c r="O21" i="1" s="1" a="1"/>
  <c r="F17" i="4" a="1"/>
  <c r="E19" i="1" s="1" a="1"/>
  <c r="M22" i="1" l="1" a="1"/>
  <c r="N22" i="1" a="1"/>
  <c r="W20" i="1" a="1"/>
  <c r="AG21" i="1" a="1"/>
  <c r="X20" i="1" a="1"/>
  <c r="C20" i="1" a="1"/>
  <c r="AH21" i="1" a="1"/>
  <c r="D20" i="1" a="1"/>
  <c r="AM21" i="1" a="1"/>
  <c r="AB21" i="1" a="1"/>
  <c r="C20" i="4"/>
  <c r="D20" i="4" s="1"/>
  <c r="E20" i="4" s="1" a="1"/>
  <c r="F19" i="4" a="1"/>
  <c r="E21" i="1" s="1" a="1"/>
  <c r="M21" i="4"/>
  <c r="P20" i="4" a="1"/>
  <c r="O22" i="1" s="1" a="1"/>
  <c r="R20" i="1" a="1"/>
  <c r="AQ21" i="1" a="1"/>
  <c r="AC19" i="4"/>
  <c r="AD19" i="4" s="1" a="1"/>
  <c r="AB20" i="4" s="1"/>
  <c r="X18" i="4"/>
  <c r="Y18" i="4" s="1" a="1"/>
  <c r="W19" i="4" s="1"/>
  <c r="X19" i="4" s="1"/>
  <c r="Y19" i="4" s="1" a="1"/>
  <c r="H20" i="1" a="1"/>
  <c r="S20" i="1" a="1"/>
  <c r="I20" i="1" a="1"/>
  <c r="AR21" i="1" a="1"/>
  <c r="H19" i="4"/>
  <c r="I19" i="4" s="1"/>
  <c r="J19" i="4" s="1" a="1"/>
  <c r="K18" i="4" a="1"/>
  <c r="J20" i="1" s="1" a="1"/>
  <c r="AQ20" i="4"/>
  <c r="AR20" i="4" s="1"/>
  <c r="AS20" i="4" s="1" a="1"/>
  <c r="AT19" i="4" a="1"/>
  <c r="AS21" i="1" s="1" a="1"/>
  <c r="AV21" i="1" a="1"/>
  <c r="AW21" i="1" a="1"/>
  <c r="R21" i="1" a="1"/>
  <c r="AV20" i="4"/>
  <c r="AW20" i="4" s="1"/>
  <c r="AX20" i="4" s="1" a="1"/>
  <c r="AY19" i="4" a="1"/>
  <c r="AX21" i="1" s="1" a="1"/>
  <c r="AG20" i="4"/>
  <c r="AJ19" i="4" a="1"/>
  <c r="AI21" i="1" s="1" a="1"/>
  <c r="AC21" i="1" a="1"/>
  <c r="AL21" i="1" a="1"/>
  <c r="S21" i="1" a="1"/>
  <c r="S19" i="4"/>
  <c r="T19" i="4" s="1" a="1"/>
  <c r="R20" i="4" s="1"/>
  <c r="S20" i="4" s="1"/>
  <c r="T20" i="4" s="1" a="1"/>
  <c r="AL20" i="4"/>
  <c r="AM20" i="4" s="1"/>
  <c r="AN20" i="4" s="1" a="1"/>
  <c r="AO19" i="4" a="1"/>
  <c r="AN21" i="1" s="1" a="1"/>
  <c r="F18" i="4" a="1"/>
  <c r="E20" i="1" s="1" a="1"/>
  <c r="I21" i="1" l="1" a="1"/>
  <c r="C22" i="1" a="1"/>
  <c r="AM22" i="1" a="1"/>
  <c r="AL22" i="1" a="1"/>
  <c r="H21" i="1" a="1"/>
  <c r="AV22" i="1" a="1"/>
  <c r="D21" i="1" a="1"/>
  <c r="AH22" i="1" a="1"/>
  <c r="AW22" i="1" a="1"/>
  <c r="AG22" i="1" a="1"/>
  <c r="W20" i="4"/>
  <c r="X20" i="4" s="1"/>
  <c r="Y20" i="4" s="1" a="1"/>
  <c r="Z19" i="4" a="1"/>
  <c r="Y21" i="1" s="1" a="1"/>
  <c r="R21" i="4"/>
  <c r="U20" i="4" a="1"/>
  <c r="T22" i="1" s="1" a="1"/>
  <c r="AV21" i="4"/>
  <c r="AW21" i="4" s="1"/>
  <c r="AX21" i="4" s="1" a="1"/>
  <c r="AY20" i="4" a="1"/>
  <c r="AX22" i="1" s="1" a="1"/>
  <c r="Z18" i="4" a="1"/>
  <c r="Y20" i="1" s="1" a="1"/>
  <c r="AC20" i="4"/>
  <c r="AD20" i="4" s="1" a="1"/>
  <c r="AB21" i="4" s="1"/>
  <c r="AC21" i="4" s="1"/>
  <c r="AD21" i="4" s="1" a="1"/>
  <c r="C21" i="1" a="1"/>
  <c r="AL21" i="4"/>
  <c r="AM21" i="4" s="1"/>
  <c r="AN21" i="4" s="1" a="1"/>
  <c r="AO20" i="4" a="1"/>
  <c r="AN22" i="1" s="1" a="1"/>
  <c r="AE19" i="4" a="1"/>
  <c r="AD21" i="1" s="1" a="1"/>
  <c r="AQ22" i="1" a="1"/>
  <c r="M23" i="1" a="1"/>
  <c r="U19" i="4" a="1"/>
  <c r="T21" i="1" s="1" a="1"/>
  <c r="AQ21" i="4"/>
  <c r="AR21" i="4" s="1"/>
  <c r="AS21" i="4" s="1" a="1"/>
  <c r="AT20" i="4" a="1"/>
  <c r="AS22" i="1" s="1" a="1"/>
  <c r="N23" i="1" a="1"/>
  <c r="N21" i="4"/>
  <c r="O21" i="4" s="1" a="1"/>
  <c r="M22" i="4" s="1"/>
  <c r="N22" i="4" s="1"/>
  <c r="O22" i="4" s="1" a="1"/>
  <c r="AR22" i="1" a="1"/>
  <c r="H20" i="4"/>
  <c r="I20" i="4" s="1"/>
  <c r="J20" i="4" s="1" a="1"/>
  <c r="K19" i="4" a="1"/>
  <c r="J21" i="1" s="1" a="1"/>
  <c r="D22" i="1" a="1"/>
  <c r="AH20" i="4"/>
  <c r="AI20" i="4" s="1" a="1"/>
  <c r="C21" i="4"/>
  <c r="D21" i="4" s="1"/>
  <c r="E21" i="4" s="1" a="1"/>
  <c r="F20" i="4" a="1"/>
  <c r="E22" i="1" s="1" a="1"/>
  <c r="AL23" i="1" l="1" a="1"/>
  <c r="R23" i="1" a="1"/>
  <c r="AB22" i="1" a="1"/>
  <c r="X22" i="1" a="1"/>
  <c r="S23" i="1" a="1"/>
  <c r="AQ23" i="1" a="1"/>
  <c r="AR23" i="1" a="1"/>
  <c r="H22" i="1" a="1"/>
  <c r="W22" i="1" a="1"/>
  <c r="AW23" i="1" a="1"/>
  <c r="AC22" i="1" a="1"/>
  <c r="AV23" i="1" a="1"/>
  <c r="I22" i="1" a="1"/>
  <c r="H21" i="4"/>
  <c r="I21" i="4" s="1"/>
  <c r="J21" i="4" s="1" a="1"/>
  <c r="K20" i="4" a="1"/>
  <c r="J22" i="1" s="1" a="1"/>
  <c r="P21" i="4" a="1"/>
  <c r="O23" i="1" s="1" a="1"/>
  <c r="C23" i="1" a="1"/>
  <c r="AE20" i="4" a="1"/>
  <c r="AD22" i="1" s="1" a="1"/>
  <c r="AJ20" i="4" a="1"/>
  <c r="AI22" i="1" s="1" a="1"/>
  <c r="AV22" i="4"/>
  <c r="AW22" i="4" s="1"/>
  <c r="AX22" i="4" s="1" a="1"/>
  <c r="AY21" i="4" a="1"/>
  <c r="AX23" i="1" s="1" a="1"/>
  <c r="M23" i="4"/>
  <c r="N23" i="4" s="1"/>
  <c r="O23" i="4" s="1" a="1"/>
  <c r="P22" i="4" a="1"/>
  <c r="O24" i="1" s="1" a="1"/>
  <c r="AM23" i="1" a="1"/>
  <c r="S21" i="4"/>
  <c r="T21" i="4" s="1" a="1"/>
  <c r="R22" i="4" s="1"/>
  <c r="AL22" i="4"/>
  <c r="AM22" i="4" s="1"/>
  <c r="AN22" i="4" s="1" a="1"/>
  <c r="AO21" i="4" a="1"/>
  <c r="AN23" i="1" s="1" a="1"/>
  <c r="AQ22" i="4"/>
  <c r="AR22" i="4" s="1"/>
  <c r="AS22" i="4" s="1" a="1"/>
  <c r="AT21" i="4" a="1"/>
  <c r="AS23" i="1" s="1" a="1"/>
  <c r="X21" i="1" a="1"/>
  <c r="C22" i="4"/>
  <c r="D22" i="4" s="1"/>
  <c r="E22" i="4" s="1" a="1"/>
  <c r="F21" i="4" a="1"/>
  <c r="E23" i="1" s="1" a="1"/>
  <c r="R22" i="1" a="1"/>
  <c r="W21" i="1" a="1"/>
  <c r="AG21" i="4"/>
  <c r="AH21" i="4" s="1"/>
  <c r="AI21" i="4" s="1" a="1"/>
  <c r="S22" i="1" a="1"/>
  <c r="D23" i="1" a="1"/>
  <c r="AB22" i="4"/>
  <c r="AC22" i="4" s="1"/>
  <c r="AD22" i="4" s="1" a="1"/>
  <c r="AE21" i="4" a="1"/>
  <c r="AD23" i="1" s="1" a="1"/>
  <c r="W21" i="4"/>
  <c r="X21" i="4" s="1"/>
  <c r="Y21" i="4" s="1" a="1"/>
  <c r="Z20" i="4" a="1"/>
  <c r="Y22" i="1" s="1" a="1"/>
  <c r="AV24" i="1" l="1" a="1"/>
  <c r="N25" i="1" a="1"/>
  <c r="AB24" i="1" a="1"/>
  <c r="AW24" i="1" a="1"/>
  <c r="M25" i="1" a="1"/>
  <c r="D24" i="1" a="1"/>
  <c r="N24" i="1" a="1"/>
  <c r="C24" i="1" a="1"/>
  <c r="X23" i="1" a="1"/>
  <c r="M24" i="1" a="1"/>
  <c r="AH23" i="1" a="1"/>
  <c r="AC24" i="1" a="1"/>
  <c r="W23" i="1" a="1"/>
  <c r="AG23" i="1" a="1"/>
  <c r="S22" i="4"/>
  <c r="T22" i="4" s="1" a="1"/>
  <c r="R23" i="4" s="1"/>
  <c r="S23" i="4" s="1"/>
  <c r="T23" i="4" s="1" a="1"/>
  <c r="AL24" i="1" a="1"/>
  <c r="AB23" i="4"/>
  <c r="AC23" i="4" s="1"/>
  <c r="AD23" i="4" s="1" a="1"/>
  <c r="AE22" i="4" a="1"/>
  <c r="AD24" i="1" s="1" a="1"/>
  <c r="AM24" i="1" a="1"/>
  <c r="AC23" i="1" a="1"/>
  <c r="AL23" i="4"/>
  <c r="AM23" i="4" s="1"/>
  <c r="AN23" i="4" s="1" a="1"/>
  <c r="AO22" i="4" a="1"/>
  <c r="AN24" i="1" s="1" a="1"/>
  <c r="AB23" i="1" a="1"/>
  <c r="AV23" i="4"/>
  <c r="AW23" i="4" s="1"/>
  <c r="AX23" i="4" s="1" a="1"/>
  <c r="AY22" i="4" a="1"/>
  <c r="AX24" i="1" s="1" a="1"/>
  <c r="AG22" i="4"/>
  <c r="AH22" i="4" s="1"/>
  <c r="AI22" i="4" s="1" a="1"/>
  <c r="AJ21" i="4" a="1"/>
  <c r="AI23" i="1" s="1" a="1"/>
  <c r="AQ23" i="4"/>
  <c r="AT22" i="4" a="1"/>
  <c r="AS24" i="1" s="1" a="1"/>
  <c r="U21" i="4" a="1"/>
  <c r="T23" i="1" s="1" a="1"/>
  <c r="I23" i="1" a="1"/>
  <c r="M24" i="4"/>
  <c r="N24" i="4" s="1"/>
  <c r="O24" i="4" s="1" a="1"/>
  <c r="P23" i="4" a="1"/>
  <c r="O25" i="1" s="1" a="1"/>
  <c r="H23" i="1" a="1"/>
  <c r="C23" i="4"/>
  <c r="D23" i="4" s="1"/>
  <c r="E23" i="4" s="1" a="1"/>
  <c r="F22" i="4" a="1"/>
  <c r="E24" i="1" s="1" a="1"/>
  <c r="H22" i="4"/>
  <c r="I22" i="4" s="1"/>
  <c r="J22" i="4" s="1" a="1"/>
  <c r="K21" i="4" a="1"/>
  <c r="J23" i="1" s="1" a="1"/>
  <c r="AR24" i="1" a="1"/>
  <c r="W22" i="4"/>
  <c r="Z21" i="4" a="1"/>
  <c r="Y23" i="1" s="1" a="1"/>
  <c r="AQ24" i="1" a="1"/>
  <c r="AV25" i="1" l="1" a="1"/>
  <c r="AB25" i="1" a="1"/>
  <c r="AR25" i="1" a="1"/>
  <c r="AC25" i="1" a="1"/>
  <c r="M26" i="1" a="1"/>
  <c r="D25" i="1" a="1"/>
  <c r="C25" i="1" a="1"/>
  <c r="R24" i="4"/>
  <c r="S24" i="4" s="1"/>
  <c r="T24" i="4" s="1" a="1"/>
  <c r="U23" i="4" a="1"/>
  <c r="T25" i="1" s="1" a="1"/>
  <c r="W24" i="1" a="1"/>
  <c r="X24" i="1" a="1"/>
  <c r="M25" i="4"/>
  <c r="N25" i="4" s="1"/>
  <c r="O25" i="4" s="1" a="1"/>
  <c r="P24" i="4" a="1"/>
  <c r="O26" i="1" s="1" a="1"/>
  <c r="AV24" i="4"/>
  <c r="AW24" i="4" s="1"/>
  <c r="AX24" i="4" s="1" a="1"/>
  <c r="AY23" i="4" a="1"/>
  <c r="AX25" i="1" s="1" a="1"/>
  <c r="X22" i="4"/>
  <c r="Y22" i="4" s="1" a="1"/>
  <c r="W23" i="4" s="1"/>
  <c r="R24" i="1" a="1"/>
  <c r="AL25" i="1" a="1"/>
  <c r="S24" i="1" a="1"/>
  <c r="AM25" i="1" a="1"/>
  <c r="H24" i="1" a="1"/>
  <c r="I24" i="1" a="1"/>
  <c r="AQ25" i="1" a="1"/>
  <c r="AL24" i="4"/>
  <c r="AM24" i="4" s="1"/>
  <c r="AN24" i="4" s="1" a="1"/>
  <c r="AO23" i="4" a="1"/>
  <c r="AN25" i="1" s="1" a="1"/>
  <c r="AR23" i="4"/>
  <c r="AS23" i="4" s="1" a="1"/>
  <c r="AQ24" i="4" s="1"/>
  <c r="AR24" i="4" s="1"/>
  <c r="AS24" i="4" s="1" a="1"/>
  <c r="AG24" i="1" a="1"/>
  <c r="AH24" i="1" a="1"/>
  <c r="AB24" i="4"/>
  <c r="AC24" i="4" s="1"/>
  <c r="AD24" i="4" s="1" a="1"/>
  <c r="AE23" i="4" a="1"/>
  <c r="AD25" i="1" s="1" a="1"/>
  <c r="H23" i="4"/>
  <c r="I23" i="4" s="1"/>
  <c r="J23" i="4" s="1" a="1"/>
  <c r="K22" i="4" a="1"/>
  <c r="J24" i="1" s="1" a="1"/>
  <c r="C24" i="4"/>
  <c r="D24" i="4" s="1"/>
  <c r="E24" i="4" s="1" a="1"/>
  <c r="F23" i="4" a="1"/>
  <c r="E25" i="1" s="1" a="1"/>
  <c r="AG23" i="4"/>
  <c r="AH23" i="4" s="1"/>
  <c r="AI23" i="4" s="1" a="1"/>
  <c r="AJ22" i="4" a="1"/>
  <c r="AI24" i="1" s="1" a="1"/>
  <c r="N26" i="1" a="1"/>
  <c r="AW25" i="1" a="1"/>
  <c r="U22" i="4" a="1"/>
  <c r="T24" i="1" s="1" a="1"/>
  <c r="H25" i="1" l="1" a="1"/>
  <c r="M27" i="1" a="1"/>
  <c r="N27" i="1" a="1"/>
  <c r="AW26" i="1" a="1"/>
  <c r="R25" i="1" a="1"/>
  <c r="AB26" i="1" a="1"/>
  <c r="AH25" i="1" a="1"/>
  <c r="AL26" i="1" a="1"/>
  <c r="I25" i="1" a="1"/>
  <c r="AC26" i="1" a="1"/>
  <c r="AG25" i="1" a="1"/>
  <c r="S26" i="1" a="1"/>
  <c r="R26" i="1" a="1"/>
  <c r="C26" i="1" a="1"/>
  <c r="S25" i="1" a="1"/>
  <c r="AV26" i="1" a="1"/>
  <c r="H24" i="4"/>
  <c r="I24" i="4" s="1"/>
  <c r="J24" i="4" s="1" a="1"/>
  <c r="K23" i="4" a="1"/>
  <c r="J25" i="1" s="1" a="1"/>
  <c r="Z22" i="4" a="1"/>
  <c r="Y24" i="1" s="1" a="1"/>
  <c r="AQ25" i="4"/>
  <c r="AR25" i="4" s="1"/>
  <c r="AS25" i="4" s="1" a="1"/>
  <c r="AT24" i="4" a="1"/>
  <c r="AS26" i="1" s="1" a="1"/>
  <c r="AG24" i="4"/>
  <c r="AH24" i="4" s="1"/>
  <c r="AI24" i="4" s="1" a="1"/>
  <c r="AJ23" i="4" a="1"/>
  <c r="AI25" i="1" s="1" a="1"/>
  <c r="AT23" i="4" a="1"/>
  <c r="AS25" i="1" s="1" a="1"/>
  <c r="D26" i="1" a="1"/>
  <c r="AM26" i="1" a="1"/>
  <c r="AV25" i="4"/>
  <c r="AW25" i="4" s="1"/>
  <c r="AX25" i="4" s="1" a="1"/>
  <c r="AY24" i="4" a="1"/>
  <c r="AX26" i="1" s="1" a="1"/>
  <c r="AB25" i="4"/>
  <c r="AC25" i="4" s="1"/>
  <c r="AD25" i="4" s="1" a="1"/>
  <c r="AE24" i="4" a="1"/>
  <c r="AD26" i="1" s="1" a="1"/>
  <c r="X23" i="4"/>
  <c r="Y23" i="4" s="1" a="1"/>
  <c r="C25" i="4"/>
  <c r="D25" i="4" s="1"/>
  <c r="E25" i="4" s="1" a="1"/>
  <c r="F24" i="4" a="1"/>
  <c r="E26" i="1" s="1" a="1"/>
  <c r="AL25" i="4"/>
  <c r="AM25" i="4" s="1"/>
  <c r="AN25" i="4" s="1" a="1"/>
  <c r="AO24" i="4" a="1"/>
  <c r="AN26" i="1" s="1" a="1"/>
  <c r="M26" i="4"/>
  <c r="N26" i="4" s="1"/>
  <c r="O26" i="4" s="1" a="1"/>
  <c r="P25" i="4" a="1"/>
  <c r="O27" i="1" s="1" a="1"/>
  <c r="R25" i="4"/>
  <c r="U24" i="4" a="1"/>
  <c r="T26" i="1" s="1" a="1"/>
  <c r="N28" i="1" l="1" a="1"/>
  <c r="X25" i="1" a="1"/>
  <c r="M28" i="1" a="1"/>
  <c r="AM27" i="1" a="1"/>
  <c r="W25" i="1" a="1"/>
  <c r="AH26" i="1" a="1"/>
  <c r="AV27" i="1" a="1"/>
  <c r="AG26" i="1" a="1"/>
  <c r="Z23" i="4" a="1"/>
  <c r="Y25" i="1" s="1" a="1"/>
  <c r="AG25" i="4"/>
  <c r="AH25" i="4" s="1"/>
  <c r="AI25" i="4" s="1" a="1"/>
  <c r="AJ24" i="4" a="1"/>
  <c r="AI26" i="1" s="1" a="1"/>
  <c r="AC27" i="1" a="1"/>
  <c r="S25" i="4"/>
  <c r="T25" i="4" s="1" a="1"/>
  <c r="R26" i="4" s="1"/>
  <c r="S26" i="4" s="1"/>
  <c r="T26" i="4" s="1" a="1"/>
  <c r="AB27" i="1" a="1"/>
  <c r="AQ27" i="1" a="1"/>
  <c r="AR27" i="1" a="1"/>
  <c r="C26" i="4"/>
  <c r="D26" i="4" s="1"/>
  <c r="E26" i="4" s="1" a="1"/>
  <c r="F25" i="4" a="1"/>
  <c r="E27" i="1" s="1" a="1"/>
  <c r="AB26" i="4"/>
  <c r="AC26" i="4" s="1"/>
  <c r="AD26" i="4" s="1" a="1"/>
  <c r="AE25" i="4" a="1"/>
  <c r="AD27" i="1" s="1" a="1"/>
  <c r="AW27" i="1" a="1"/>
  <c r="AQ26" i="4"/>
  <c r="AR26" i="4" s="1"/>
  <c r="AS26" i="4" s="1" a="1"/>
  <c r="AT25" i="4" a="1"/>
  <c r="AS27" i="1" s="1" a="1"/>
  <c r="S27" i="1" a="1"/>
  <c r="M27" i="4"/>
  <c r="N27" i="4" s="1"/>
  <c r="O27" i="4" s="1" a="1"/>
  <c r="P26" i="4" a="1"/>
  <c r="O28" i="1" s="1" a="1"/>
  <c r="AL27" i="1" a="1"/>
  <c r="AV26" i="4"/>
  <c r="AW26" i="4" s="1"/>
  <c r="AX26" i="4" s="1" a="1"/>
  <c r="AY25" i="4" a="1"/>
  <c r="AX27" i="1" s="1" a="1"/>
  <c r="I26" i="1" a="1"/>
  <c r="AL26" i="4"/>
  <c r="AO25" i="4" a="1"/>
  <c r="AN27" i="1" s="1" a="1"/>
  <c r="H26" i="1" a="1"/>
  <c r="R27" i="1" a="1"/>
  <c r="W24" i="4"/>
  <c r="C27" i="1" a="1"/>
  <c r="AQ26" i="1" a="1"/>
  <c r="D27" i="1" a="1"/>
  <c r="AR26" i="1" a="1"/>
  <c r="H25" i="4"/>
  <c r="I25" i="4" s="1"/>
  <c r="J25" i="4" s="1" a="1"/>
  <c r="K24" i="4" a="1"/>
  <c r="J26" i="1" s="1" a="1"/>
  <c r="N29" i="1" l="1" a="1"/>
  <c r="M29" i="1" a="1"/>
  <c r="AL28" i="1" a="1"/>
  <c r="X26" i="1" a="1"/>
  <c r="AM28" i="1" a="1"/>
  <c r="C28" i="1" a="1"/>
  <c r="R27" i="4"/>
  <c r="U26" i="4" a="1"/>
  <c r="T28" i="1" s="1" a="1"/>
  <c r="AR28" i="1" a="1"/>
  <c r="U25" i="4" a="1"/>
  <c r="T27" i="1" s="1" a="1"/>
  <c r="M28" i="4"/>
  <c r="N28" i="4" s="1"/>
  <c r="O28" i="4" s="1" a="1"/>
  <c r="P27" i="4" a="1"/>
  <c r="O29" i="1" s="1" a="1"/>
  <c r="AQ27" i="4"/>
  <c r="AR27" i="4" s="1"/>
  <c r="AS27" i="4" s="1" a="1"/>
  <c r="AT26" i="4" a="1"/>
  <c r="AS28" i="1" s="1" a="1"/>
  <c r="AQ28" i="1" a="1"/>
  <c r="AH27" i="1" a="1"/>
  <c r="AM26" i="4"/>
  <c r="AN26" i="4" s="1" a="1"/>
  <c r="AL27" i="4" s="1"/>
  <c r="AM27" i="4" s="1"/>
  <c r="AN27" i="4" s="1" a="1"/>
  <c r="AG27" i="1" a="1"/>
  <c r="AB28" i="1" a="1"/>
  <c r="C27" i="4"/>
  <c r="D27" i="4" s="1"/>
  <c r="E27" i="4" s="1" a="1"/>
  <c r="F26" i="4" a="1"/>
  <c r="E28" i="1" s="1" a="1"/>
  <c r="X24" i="4"/>
  <c r="Y24" i="4" s="1" a="1"/>
  <c r="W25" i="4" s="1"/>
  <c r="X25" i="4" s="1"/>
  <c r="Y25" i="4" s="1" a="1"/>
  <c r="I27" i="1" a="1"/>
  <c r="AV28" i="1" a="1"/>
  <c r="AC28" i="1" a="1"/>
  <c r="AG26" i="4"/>
  <c r="AH26" i="4" s="1"/>
  <c r="AI26" i="4" s="1" a="1"/>
  <c r="AJ25" i="4" a="1"/>
  <c r="AI27" i="1" s="1" a="1"/>
  <c r="H27" i="1" a="1"/>
  <c r="AW28" i="1" a="1"/>
  <c r="AB27" i="4"/>
  <c r="AE26" i="4" a="1"/>
  <c r="AD28" i="1" s="1" a="1"/>
  <c r="W26" i="1" a="1"/>
  <c r="H26" i="4"/>
  <c r="I26" i="4" s="1"/>
  <c r="J26" i="4" s="1" a="1"/>
  <c r="K25" i="4" a="1"/>
  <c r="J27" i="1" s="1" a="1"/>
  <c r="AV27" i="4"/>
  <c r="AW27" i="4" s="1"/>
  <c r="AX27" i="4" s="1" a="1"/>
  <c r="AY26" i="4" a="1"/>
  <c r="AX28" i="1" s="1" a="1"/>
  <c r="D28" i="1" a="1"/>
  <c r="D29" i="1" l="1" a="1"/>
  <c r="AW29" i="1" a="1"/>
  <c r="AV29" i="1" a="1"/>
  <c r="I28" i="1" a="1"/>
  <c r="AH28" i="1" a="1"/>
  <c r="S28" i="1" a="1"/>
  <c r="AG28" i="1" a="1"/>
  <c r="C29" i="1" a="1"/>
  <c r="W26" i="4"/>
  <c r="X26" i="4" s="1"/>
  <c r="Y26" i="4" s="1" a="1"/>
  <c r="Z25" i="4" a="1"/>
  <c r="Y27" i="1" s="1" a="1"/>
  <c r="AL28" i="4"/>
  <c r="AM28" i="4" s="1"/>
  <c r="AN28" i="4" s="1" a="1"/>
  <c r="AO27" i="4" a="1"/>
  <c r="AN29" i="1" s="1" a="1"/>
  <c r="AG27" i="4"/>
  <c r="AH27" i="4" s="1"/>
  <c r="AI27" i="4" s="1" a="1"/>
  <c r="AJ26" i="4" a="1"/>
  <c r="AI28" i="1" s="1" a="1"/>
  <c r="AQ29" i="1" a="1"/>
  <c r="AV28" i="4"/>
  <c r="AW28" i="4" s="1"/>
  <c r="AX28" i="4" s="1" a="1"/>
  <c r="AY27" i="4" a="1"/>
  <c r="AX29" i="1" s="1" a="1"/>
  <c r="AR29" i="1" a="1"/>
  <c r="H28" i="1" a="1"/>
  <c r="AQ28" i="4"/>
  <c r="AR28" i="4" s="1"/>
  <c r="AS28" i="4" s="1" a="1"/>
  <c r="AT27" i="4" a="1"/>
  <c r="AS29" i="1" s="1" a="1"/>
  <c r="M30" i="1" a="1"/>
  <c r="Z24" i="4" a="1"/>
  <c r="Y26" i="1" s="1" a="1"/>
  <c r="N30" i="1" a="1"/>
  <c r="M29" i="4"/>
  <c r="N29" i="4" s="1"/>
  <c r="O29" i="4" s="1" a="1"/>
  <c r="P28" i="4" a="1"/>
  <c r="O30" i="1" s="1" a="1"/>
  <c r="H27" i="4"/>
  <c r="I27" i="4" s="1"/>
  <c r="J27" i="4" s="1" a="1"/>
  <c r="K26" i="4" a="1"/>
  <c r="J28" i="1" s="1" a="1"/>
  <c r="AC29" i="1" a="1"/>
  <c r="AB29" i="1" a="1"/>
  <c r="R28" i="1" a="1"/>
  <c r="C28" i="4"/>
  <c r="D28" i="4" s="1"/>
  <c r="E28" i="4" s="1" a="1"/>
  <c r="F27" i="4" a="1"/>
  <c r="E29" i="1" s="1" a="1"/>
  <c r="AC27" i="4"/>
  <c r="AD27" i="4" s="1" a="1"/>
  <c r="AB28" i="4" s="1"/>
  <c r="AC28" i="4" s="1"/>
  <c r="AD28" i="4" s="1" a="1"/>
  <c r="R29" i="1" a="1"/>
  <c r="AO26" i="4" a="1"/>
  <c r="AN28" i="1" s="1" a="1"/>
  <c r="S29" i="1" a="1"/>
  <c r="S27" i="4"/>
  <c r="T27" i="4" s="1" a="1"/>
  <c r="AL30" i="1" l="1" a="1"/>
  <c r="AQ30" i="1" a="1"/>
  <c r="AM30" i="1" a="1"/>
  <c r="AG29" i="1" a="1"/>
  <c r="AH29" i="1" a="1"/>
  <c r="AR30" i="1" a="1"/>
  <c r="D30" i="1" a="1"/>
  <c r="X27" i="1" a="1"/>
  <c r="X28" i="1" a="1"/>
  <c r="C30" i="1" a="1"/>
  <c r="W27" i="1" a="1"/>
  <c r="H29" i="1" a="1"/>
  <c r="I29" i="1" a="1"/>
  <c r="W28" i="1" a="1"/>
  <c r="M31" i="1" a="1"/>
  <c r="AB29" i="4"/>
  <c r="AC29" i="4" s="1"/>
  <c r="AD29" i="4" s="1" a="1"/>
  <c r="AE28" i="4" a="1"/>
  <c r="AD30" i="1" s="1" a="1"/>
  <c r="U27" i="4" a="1"/>
  <c r="T29" i="1" s="1" a="1"/>
  <c r="AL29" i="1" a="1"/>
  <c r="N31" i="1" a="1"/>
  <c r="AW30" i="1" a="1"/>
  <c r="AG28" i="4"/>
  <c r="AH28" i="4" s="1"/>
  <c r="AI28" i="4" s="1" a="1"/>
  <c r="AJ27" i="4" a="1"/>
  <c r="AI29" i="1" s="1" a="1"/>
  <c r="AV29" i="4"/>
  <c r="AW29" i="4" s="1"/>
  <c r="AX29" i="4" s="1" a="1"/>
  <c r="AY28" i="4" a="1"/>
  <c r="AX30" i="1" s="1" a="1"/>
  <c r="C29" i="4"/>
  <c r="D29" i="4" s="1"/>
  <c r="E29" i="4" s="1" a="1"/>
  <c r="F28" i="4" a="1"/>
  <c r="E30" i="1" s="1" a="1"/>
  <c r="AL29" i="4"/>
  <c r="AM29" i="4" s="1"/>
  <c r="AN29" i="4" s="1" a="1"/>
  <c r="AO28" i="4" a="1"/>
  <c r="AN30" i="1" s="1" a="1"/>
  <c r="R28" i="4"/>
  <c r="AQ29" i="4"/>
  <c r="AR29" i="4" s="1"/>
  <c r="AS29" i="4" s="1" a="1"/>
  <c r="AT28" i="4" a="1"/>
  <c r="AS30" i="1" s="1" a="1"/>
  <c r="M30" i="4"/>
  <c r="N30" i="4" s="1"/>
  <c r="O30" i="4" s="1" a="1"/>
  <c r="P29" i="4" a="1"/>
  <c r="O31" i="1" s="1" a="1"/>
  <c r="AE27" i="4" a="1"/>
  <c r="AD29" i="1" s="1" a="1"/>
  <c r="AM29" i="1" a="1"/>
  <c r="H28" i="4"/>
  <c r="I28" i="4" s="1"/>
  <c r="J28" i="4" s="1" a="1"/>
  <c r="K27" i="4" a="1"/>
  <c r="J29" i="1" s="1" a="1"/>
  <c r="AV30" i="1" a="1"/>
  <c r="W27" i="4"/>
  <c r="X27" i="4" s="1"/>
  <c r="Y27" i="4" s="1" a="1"/>
  <c r="Z26" i="4" a="1"/>
  <c r="Y28" i="1" s="1" a="1"/>
  <c r="M32" i="1" l="1" a="1"/>
  <c r="AG30" i="1" a="1"/>
  <c r="N32" i="1" a="1"/>
  <c r="AM31" i="1" a="1"/>
  <c r="AW31" i="1" a="1"/>
  <c r="AL31" i="1" a="1"/>
  <c r="D31" i="1" a="1"/>
  <c r="AQ31" i="1" a="1"/>
  <c r="X29" i="1" a="1"/>
  <c r="AC30" i="1" a="1"/>
  <c r="AR31" i="1" a="1"/>
  <c r="W29" i="1" a="1"/>
  <c r="M31" i="4"/>
  <c r="N31" i="4" s="1"/>
  <c r="O31" i="4" s="1" a="1"/>
  <c r="P30" i="4" a="1"/>
  <c r="O32" i="1" s="1" a="1"/>
  <c r="AV30" i="4"/>
  <c r="AW30" i="4" s="1"/>
  <c r="AX30" i="4" s="1" a="1"/>
  <c r="AY29" i="4" a="1"/>
  <c r="AX31" i="1" s="1" a="1"/>
  <c r="AH30" i="1" a="1"/>
  <c r="H30" i="1" a="1"/>
  <c r="S28" i="4"/>
  <c r="T28" i="4" s="1" a="1"/>
  <c r="R29" i="4" s="1"/>
  <c r="S29" i="4" s="1"/>
  <c r="T29" i="4" s="1" a="1"/>
  <c r="AG29" i="4"/>
  <c r="AH29" i="4" s="1"/>
  <c r="AI29" i="4" s="1" a="1"/>
  <c r="AJ28" i="4" a="1"/>
  <c r="AI30" i="1" s="1" a="1"/>
  <c r="W28" i="4"/>
  <c r="X28" i="4" s="1"/>
  <c r="Y28" i="4" s="1" a="1"/>
  <c r="Z27" i="4" a="1"/>
  <c r="Y29" i="1" s="1" a="1"/>
  <c r="I30" i="1" a="1"/>
  <c r="AQ30" i="4"/>
  <c r="AR30" i="4" s="1"/>
  <c r="AS30" i="4" s="1" a="1"/>
  <c r="AT29" i="4" a="1"/>
  <c r="AS31" i="1" s="1" a="1"/>
  <c r="H29" i="4"/>
  <c r="I29" i="4" s="1"/>
  <c r="J29" i="4" s="1" a="1"/>
  <c r="K28" i="4" a="1"/>
  <c r="J30" i="1" s="1" a="1"/>
  <c r="AL30" i="4"/>
  <c r="AO29" i="4" a="1"/>
  <c r="AN31" i="1" s="1" a="1"/>
  <c r="S30" i="1" a="1"/>
  <c r="AB30" i="1" a="1"/>
  <c r="C31" i="1" a="1"/>
  <c r="R30" i="1" a="1"/>
  <c r="AB31" i="1" a="1"/>
  <c r="C30" i="4"/>
  <c r="F29" i="4" a="1"/>
  <c r="E31" i="1" s="1" a="1"/>
  <c r="AC31" i="1" a="1"/>
  <c r="AV31" i="1" a="1"/>
  <c r="AB30" i="4"/>
  <c r="AC30" i="4" s="1"/>
  <c r="AD30" i="4" s="1" a="1"/>
  <c r="AE29" i="4" a="1"/>
  <c r="AD31" i="1" s="1" a="1"/>
  <c r="H31" i="1" l="1" a="1"/>
  <c r="AM32" i="1" a="1"/>
  <c r="R30" i="4"/>
  <c r="S30" i="4" s="1"/>
  <c r="T30" i="4" s="1" a="1"/>
  <c r="U29" i="4" a="1"/>
  <c r="T31" i="1" s="1" a="1"/>
  <c r="AB32" i="1" a="1"/>
  <c r="AG31" i="1" a="1"/>
  <c r="AM30" i="4"/>
  <c r="AN30" i="4" s="1" a="1"/>
  <c r="AL31" i="4" s="1"/>
  <c r="AM31" i="4" s="1"/>
  <c r="AN31" i="4" s="1" a="1"/>
  <c r="AG30" i="4"/>
  <c r="AH30" i="4" s="1"/>
  <c r="AI30" i="4" s="1" a="1"/>
  <c r="AJ29" i="4" a="1"/>
  <c r="AI31" i="1" s="1" a="1"/>
  <c r="I31" i="1" a="1"/>
  <c r="U28" i="4" a="1"/>
  <c r="T30" i="1" s="1" a="1"/>
  <c r="AB31" i="4"/>
  <c r="AC31" i="4" s="1"/>
  <c r="AD31" i="4" s="1" a="1"/>
  <c r="AE30" i="4" a="1"/>
  <c r="AD32" i="1" s="1" a="1"/>
  <c r="H30" i="4"/>
  <c r="I30" i="4" s="1"/>
  <c r="J30" i="4" s="1" a="1"/>
  <c r="K29" i="4" a="1"/>
  <c r="J31" i="1" s="1" a="1"/>
  <c r="C32" i="1" a="1"/>
  <c r="D32" i="1" a="1"/>
  <c r="AR32" i="1" a="1"/>
  <c r="AQ32" i="1" a="1"/>
  <c r="AV32" i="1" a="1"/>
  <c r="AW32" i="1" a="1"/>
  <c r="AV31" i="4"/>
  <c r="AW31" i="4" s="1"/>
  <c r="AX31" i="4" s="1" a="1"/>
  <c r="AY30" i="4" a="1"/>
  <c r="AX32" i="1" s="1" a="1"/>
  <c r="W30" i="1" a="1"/>
  <c r="N33" i="1" a="1"/>
  <c r="D30" i="4"/>
  <c r="E30" i="4" s="1" a="1"/>
  <c r="C31" i="4" s="1"/>
  <c r="D31" i="4" s="1"/>
  <c r="E31" i="4" s="1" a="1"/>
  <c r="X30" i="1" a="1"/>
  <c r="M33" i="1" a="1"/>
  <c r="W29" i="4"/>
  <c r="X29" i="4" s="1"/>
  <c r="Y29" i="4" s="1" a="1"/>
  <c r="Z28" i="4" a="1"/>
  <c r="Y30" i="1" s="1" a="1"/>
  <c r="M32" i="4"/>
  <c r="N32" i="4" s="1"/>
  <c r="O32" i="4" s="1" a="1"/>
  <c r="P31" i="4" a="1"/>
  <c r="O33" i="1" s="1" a="1"/>
  <c r="AQ31" i="4"/>
  <c r="AR31" i="4" s="1"/>
  <c r="AS31" i="4" s="1" a="1"/>
  <c r="AT30" i="4" a="1"/>
  <c r="AS32" i="1" s="1" a="1"/>
  <c r="AC32" i="1" a="1"/>
  <c r="AL32" i="1" a="1"/>
  <c r="AH31" i="1" a="1"/>
  <c r="AW33" i="1" l="1" a="1"/>
  <c r="AV33" i="1" a="1"/>
  <c r="S31" i="1" a="1"/>
  <c r="M34" i="1" a="1"/>
  <c r="I32" i="1" a="1"/>
  <c r="H32" i="1" a="1"/>
  <c r="W30" i="4"/>
  <c r="X30" i="4" s="1"/>
  <c r="Y30" i="4" s="1" a="1"/>
  <c r="Z29" i="4" a="1"/>
  <c r="Y31" i="1" s="1" a="1"/>
  <c r="AL32" i="4"/>
  <c r="AM32" i="4" s="1"/>
  <c r="AN32" i="4" s="1" a="1"/>
  <c r="AO31" i="4" a="1"/>
  <c r="AN33" i="1" s="1" a="1"/>
  <c r="AQ32" i="4"/>
  <c r="AR32" i="4" s="1"/>
  <c r="AS32" i="4" s="1" a="1"/>
  <c r="AT31" i="4" a="1"/>
  <c r="AS33" i="1" s="1" a="1"/>
  <c r="AB32" i="4"/>
  <c r="AC32" i="4" s="1"/>
  <c r="AD32" i="4" s="1" a="1"/>
  <c r="AE31" i="4" a="1"/>
  <c r="AD33" i="1" s="1" a="1"/>
  <c r="R31" i="4"/>
  <c r="S31" i="4" s="1"/>
  <c r="T31" i="4" s="1" a="1"/>
  <c r="U30" i="4" a="1"/>
  <c r="T32" i="1" s="1" a="1"/>
  <c r="N34" i="1" a="1"/>
  <c r="R31" i="1" a="1"/>
  <c r="AG31" i="4"/>
  <c r="AH31" i="4" s="1"/>
  <c r="AI31" i="4" s="1" a="1"/>
  <c r="AJ30" i="4" a="1"/>
  <c r="AI32" i="1" s="1" a="1"/>
  <c r="AV32" i="4"/>
  <c r="AW32" i="4" s="1"/>
  <c r="AX32" i="4" s="1" a="1"/>
  <c r="AY31" i="4" a="1"/>
  <c r="AX33" i="1" s="1" a="1"/>
  <c r="M33" i="4"/>
  <c r="N33" i="4" s="1"/>
  <c r="O33" i="4" s="1" a="1"/>
  <c r="P32" i="4" a="1"/>
  <c r="O34" i="1" s="1" a="1"/>
  <c r="W31" i="1" a="1"/>
  <c r="AH32" i="1" a="1"/>
  <c r="X31" i="1" a="1"/>
  <c r="AG32" i="1" a="1"/>
  <c r="AO30" i="4" a="1"/>
  <c r="AN32" i="1" s="1" a="1"/>
  <c r="C32" i="4"/>
  <c r="F31" i="4" a="1"/>
  <c r="E33" i="1" s="1" a="1"/>
  <c r="F30" i="4" a="1"/>
  <c r="E32" i="1" s="1" a="1"/>
  <c r="H31" i="4"/>
  <c r="I31" i="4" s="1"/>
  <c r="J31" i="4" s="1" a="1"/>
  <c r="K30" i="4" a="1"/>
  <c r="J32" i="1" s="1" a="1"/>
  <c r="AQ33" i="1" a="1"/>
  <c r="AC33" i="1" a="1"/>
  <c r="S32" i="1" a="1"/>
  <c r="AR33" i="1" a="1"/>
  <c r="AB33" i="1" a="1"/>
  <c r="R32" i="1" a="1"/>
  <c r="AW34" i="1" l="1" a="1"/>
  <c r="AV34" i="1" a="1"/>
  <c r="AG33" i="1" a="1"/>
  <c r="D33" i="1" a="1"/>
  <c r="AH33" i="1" a="1"/>
  <c r="AL33" i="1" a="1"/>
  <c r="M35" i="1" a="1"/>
  <c r="N35" i="1" a="1"/>
  <c r="D34" i="1" a="1"/>
  <c r="AB34" i="1" a="1"/>
  <c r="C33" i="1" a="1"/>
  <c r="M34" i="4"/>
  <c r="N34" i="4" s="1"/>
  <c r="O34" i="4" s="1" a="1"/>
  <c r="P33" i="4" a="1"/>
  <c r="O35" i="1" s="1" a="1"/>
  <c r="AC34" i="1" a="1"/>
  <c r="AB33" i="4"/>
  <c r="AC33" i="4" s="1"/>
  <c r="AD33" i="4" s="1" a="1"/>
  <c r="AE32" i="4" a="1"/>
  <c r="AD34" i="1" s="1" a="1"/>
  <c r="H32" i="4"/>
  <c r="I32" i="4" s="1"/>
  <c r="J32" i="4" s="1" a="1"/>
  <c r="K31" i="4" a="1"/>
  <c r="J33" i="1" s="1" a="1"/>
  <c r="C34" i="1" a="1"/>
  <c r="AR34" i="1" a="1"/>
  <c r="AV33" i="4"/>
  <c r="AW33" i="4" s="1"/>
  <c r="AX33" i="4" s="1" a="1"/>
  <c r="AY32" i="4" a="1"/>
  <c r="AX34" i="1" s="1" a="1"/>
  <c r="AQ34" i="1" a="1"/>
  <c r="AQ33" i="4"/>
  <c r="AR33" i="4" s="1"/>
  <c r="AS33" i="4" s="1" a="1"/>
  <c r="AT32" i="4" a="1"/>
  <c r="AS34" i="1" s="1" a="1"/>
  <c r="AM33" i="1" a="1"/>
  <c r="AL34" i="1" a="1"/>
  <c r="AG32" i="4"/>
  <c r="AH32" i="4" s="1"/>
  <c r="AI32" i="4" s="1" a="1"/>
  <c r="AJ31" i="4" a="1"/>
  <c r="AI33" i="1" s="1" a="1"/>
  <c r="AM34" i="1" a="1"/>
  <c r="AL33" i="4"/>
  <c r="AM33" i="4" s="1"/>
  <c r="AN33" i="4" s="1" a="1"/>
  <c r="AO32" i="4" a="1"/>
  <c r="AN34" i="1" s="1" a="1"/>
  <c r="I33" i="1" a="1"/>
  <c r="R33" i="1" a="1"/>
  <c r="W32" i="1" a="1"/>
  <c r="D32" i="4"/>
  <c r="E32" i="4" s="1" a="1"/>
  <c r="C33" i="4" s="1"/>
  <c r="D33" i="4" s="1"/>
  <c r="E33" i="4" s="1" a="1"/>
  <c r="H33" i="1" a="1"/>
  <c r="S33" i="1" a="1"/>
  <c r="X32" i="1" a="1"/>
  <c r="R32" i="4"/>
  <c r="S32" i="4" s="1"/>
  <c r="T32" i="4" s="1" a="1"/>
  <c r="U31" i="4" a="1"/>
  <c r="T33" i="1" s="1" a="1"/>
  <c r="W31" i="4"/>
  <c r="X31" i="4" s="1"/>
  <c r="Y31" i="4" s="1" a="1"/>
  <c r="Z30" i="4" a="1"/>
  <c r="Y32" i="1" s="1" a="1"/>
  <c r="AV35" i="1" l="1" a="1"/>
  <c r="AW35" i="1" a="1"/>
  <c r="N36" i="1" a="1"/>
  <c r="AC35" i="1" a="1"/>
  <c r="M36" i="1" a="1"/>
  <c r="X33" i="1" a="1"/>
  <c r="AM35" i="1" a="1"/>
  <c r="AL35" i="1" a="1"/>
  <c r="AH34" i="1" a="1"/>
  <c r="S34" i="1" a="1"/>
  <c r="AR35" i="1" a="1"/>
  <c r="AQ35" i="1" a="1"/>
  <c r="AB35" i="1" a="1"/>
  <c r="W33" i="1" a="1"/>
  <c r="AG33" i="4"/>
  <c r="AH33" i="4" s="1"/>
  <c r="AI33" i="4" s="1" a="1"/>
  <c r="AJ32" i="4" a="1"/>
  <c r="AI34" i="1" s="1" a="1"/>
  <c r="M35" i="4"/>
  <c r="N35" i="4" s="1"/>
  <c r="O35" i="4" s="1" a="1"/>
  <c r="P34" i="4" a="1"/>
  <c r="O36" i="1" s="1" a="1"/>
  <c r="AL34" i="4"/>
  <c r="AM34" i="4" s="1"/>
  <c r="AN34" i="4" s="1" a="1"/>
  <c r="AO33" i="4" a="1"/>
  <c r="AN35" i="1" s="1" a="1"/>
  <c r="R34" i="1" a="1"/>
  <c r="AG34" i="1" a="1"/>
  <c r="H34" i="1" a="1"/>
  <c r="R33" i="4"/>
  <c r="U32" i="4" a="1"/>
  <c r="T34" i="1" s="1" a="1"/>
  <c r="I34" i="1" a="1"/>
  <c r="H33" i="4"/>
  <c r="I33" i="4" s="1"/>
  <c r="J33" i="4" s="1" a="1"/>
  <c r="K32" i="4" a="1"/>
  <c r="J34" i="1" s="1" a="1"/>
  <c r="C34" i="4"/>
  <c r="D34" i="4" s="1"/>
  <c r="E34" i="4" s="1" a="1"/>
  <c r="F33" i="4" a="1"/>
  <c r="E35" i="1" s="1" a="1"/>
  <c r="F32" i="4" a="1"/>
  <c r="E34" i="1" s="1" a="1"/>
  <c r="AB34" i="4"/>
  <c r="AC34" i="4" s="1"/>
  <c r="AD34" i="4" s="1" a="1"/>
  <c r="AE33" i="4" a="1"/>
  <c r="AD35" i="1" s="1" a="1"/>
  <c r="AQ34" i="4"/>
  <c r="AR34" i="4" s="1"/>
  <c r="AS34" i="4" s="1" a="1"/>
  <c r="AT33" i="4" a="1"/>
  <c r="AS35" i="1" s="1" a="1"/>
  <c r="W32" i="4"/>
  <c r="Z31" i="4" a="1"/>
  <c r="Y33" i="1" s="1" a="1"/>
  <c r="AV34" i="4"/>
  <c r="AW34" i="4" s="1"/>
  <c r="AX34" i="4" s="1" a="1"/>
  <c r="AY33" i="4" a="1"/>
  <c r="AX35" i="1" s="1" a="1"/>
  <c r="AR36" i="1" l="1" a="1"/>
  <c r="N37" i="1" a="1"/>
  <c r="H35" i="1" a="1"/>
  <c r="I35" i="1" a="1"/>
  <c r="AG35" i="1" a="1"/>
  <c r="AQ36" i="1" a="1"/>
  <c r="AH35" i="1" a="1"/>
  <c r="C36" i="1" a="1"/>
  <c r="D36" i="1" a="1"/>
  <c r="M37" i="1" a="1"/>
  <c r="AL36" i="1" a="1"/>
  <c r="AM36" i="1" a="1"/>
  <c r="AG34" i="4"/>
  <c r="AH34" i="4" s="1"/>
  <c r="AI34" i="4" s="1" a="1"/>
  <c r="AJ33" i="4" a="1"/>
  <c r="AI35" i="1" s="1" a="1"/>
  <c r="AB35" i="4"/>
  <c r="AC35" i="4" s="1"/>
  <c r="AD35" i="4" s="1" a="1"/>
  <c r="AE34" i="4" a="1"/>
  <c r="AD36" i="1" s="1" a="1"/>
  <c r="S33" i="4"/>
  <c r="T33" i="4" s="1" a="1"/>
  <c r="R34" i="4" s="1"/>
  <c r="S34" i="4" s="1"/>
  <c r="T34" i="4" s="1" a="1"/>
  <c r="AL35" i="4"/>
  <c r="AO34" i="4" a="1"/>
  <c r="AN36" i="1" s="1" a="1"/>
  <c r="X32" i="4"/>
  <c r="Y32" i="4" s="1" a="1"/>
  <c r="W33" i="4" s="1"/>
  <c r="X33" i="4" s="1"/>
  <c r="Y33" i="4" s="1" a="1"/>
  <c r="H34" i="4"/>
  <c r="I34" i="4" s="1"/>
  <c r="J34" i="4" s="1" a="1"/>
  <c r="K33" i="4" a="1"/>
  <c r="J35" i="1" s="1" a="1"/>
  <c r="M36" i="4"/>
  <c r="N36" i="4" s="1"/>
  <c r="O36" i="4" s="1" a="1"/>
  <c r="P35" i="4" a="1"/>
  <c r="O37" i="1" s="1" a="1"/>
  <c r="AW36" i="1" a="1"/>
  <c r="D35" i="1" a="1"/>
  <c r="AV36" i="1" a="1"/>
  <c r="C35" i="1" a="1"/>
  <c r="AV35" i="4"/>
  <c r="AW35" i="4" s="1"/>
  <c r="AX35" i="4" s="1" a="1"/>
  <c r="AY34" i="4" a="1"/>
  <c r="AX36" i="1" s="1" a="1"/>
  <c r="W34" i="1" a="1"/>
  <c r="X34" i="1" a="1"/>
  <c r="C35" i="4"/>
  <c r="D35" i="4" s="1"/>
  <c r="E35" i="4" s="1" a="1"/>
  <c r="F34" i="4" a="1"/>
  <c r="E36" i="1" s="1" a="1"/>
  <c r="AQ35" i="4"/>
  <c r="AR35" i="4" s="1"/>
  <c r="AS35" i="4" s="1" a="1"/>
  <c r="AT34" i="4" a="1"/>
  <c r="AS36" i="1" s="1" a="1"/>
  <c r="AB36" i="1" a="1"/>
  <c r="S35" i="1" a="1"/>
  <c r="AC36" i="1" a="1"/>
  <c r="R35" i="1" a="1"/>
  <c r="C37" i="1" l="1" a="1"/>
  <c r="D37" i="1" a="1"/>
  <c r="I36" i="1" a="1"/>
  <c r="AB37" i="1" a="1"/>
  <c r="M38" i="1" a="1"/>
  <c r="AG36" i="1" a="1"/>
  <c r="AQ37" i="1" a="1"/>
  <c r="N38" i="1" a="1"/>
  <c r="AC37" i="1" a="1"/>
  <c r="AR37" i="1" a="1"/>
  <c r="AH36" i="1" a="1"/>
  <c r="H36" i="1" a="1"/>
  <c r="AW37" i="1" a="1"/>
  <c r="R35" i="4"/>
  <c r="S35" i="4" s="1"/>
  <c r="T35" i="4" s="1" a="1"/>
  <c r="U34" i="4" a="1"/>
  <c r="T36" i="1" s="1" a="1"/>
  <c r="W34" i="4"/>
  <c r="X34" i="4" s="1"/>
  <c r="Y34" i="4" s="1" a="1"/>
  <c r="Z33" i="4" a="1"/>
  <c r="Y35" i="1" s="1" a="1"/>
  <c r="AM35" i="4"/>
  <c r="AN35" i="4" s="1" a="1"/>
  <c r="AL36" i="4" s="1"/>
  <c r="AM36" i="4" s="1"/>
  <c r="AN36" i="4" s="1" a="1"/>
  <c r="AQ36" i="4"/>
  <c r="AR36" i="4" s="1"/>
  <c r="AS36" i="4" s="1" a="1"/>
  <c r="AT35" i="4" a="1"/>
  <c r="AS37" i="1" s="1" a="1"/>
  <c r="M37" i="4"/>
  <c r="N37" i="4" s="1"/>
  <c r="O37" i="4" s="1" a="1"/>
  <c r="P36" i="4" a="1"/>
  <c r="O38" i="1" s="1" a="1"/>
  <c r="AB36" i="4"/>
  <c r="AC36" i="4" s="1"/>
  <c r="AD36" i="4" s="1" a="1"/>
  <c r="AE35" i="4" a="1"/>
  <c r="AD37" i="1" s="1" a="1"/>
  <c r="C36" i="4"/>
  <c r="F35" i="4" a="1"/>
  <c r="E37" i="1" s="1" a="1"/>
  <c r="H35" i="4"/>
  <c r="I35" i="4" s="1"/>
  <c r="J35" i="4" s="1" a="1"/>
  <c r="K34" i="4" a="1"/>
  <c r="J36" i="1" s="1" a="1"/>
  <c r="AV37" i="1" a="1"/>
  <c r="AL37" i="1" a="1"/>
  <c r="U33" i="4" a="1"/>
  <c r="T35" i="1" s="1" a="1"/>
  <c r="Z32" i="4" a="1"/>
  <c r="Y34" i="1" s="1" a="1"/>
  <c r="AV36" i="4"/>
  <c r="AW36" i="4" s="1"/>
  <c r="AX36" i="4" s="1" a="1"/>
  <c r="AY35" i="4" a="1"/>
  <c r="AX37" i="1" s="1" a="1"/>
  <c r="AM37" i="1" a="1"/>
  <c r="AG35" i="4"/>
  <c r="AH35" i="4" s="1"/>
  <c r="AI35" i="4" s="1" a="1"/>
  <c r="AJ34" i="4" a="1"/>
  <c r="AI36" i="1" s="1" a="1"/>
  <c r="AG37" i="1" l="1" a="1"/>
  <c r="AC38" i="1" a="1"/>
  <c r="D38" i="1" a="1"/>
  <c r="C38" i="1" a="1"/>
  <c r="AB38" i="1" a="1"/>
  <c r="AV38" i="1" a="1"/>
  <c r="AW38" i="1" a="1"/>
  <c r="X36" i="1" a="1"/>
  <c r="W36" i="1" a="1"/>
  <c r="W35" i="1" a="1"/>
  <c r="M39" i="1" a="1"/>
  <c r="X35" i="1" a="1"/>
  <c r="N39" i="1" a="1"/>
  <c r="AG36" i="4"/>
  <c r="AH36" i="4" s="1"/>
  <c r="AI36" i="4" s="1" a="1"/>
  <c r="AJ35" i="4" a="1"/>
  <c r="AI37" i="1" s="1" a="1"/>
  <c r="H36" i="4"/>
  <c r="I36" i="4" s="1"/>
  <c r="J36" i="4" s="1" a="1"/>
  <c r="K35" i="4" a="1"/>
  <c r="J37" i="1" s="1" a="1"/>
  <c r="AL37" i="4"/>
  <c r="AM37" i="4" s="1"/>
  <c r="AN37" i="4" s="1" a="1"/>
  <c r="AO36" i="4" a="1"/>
  <c r="AN38" i="1" s="1" a="1"/>
  <c r="AV37" i="4"/>
  <c r="AW37" i="4" s="1"/>
  <c r="AX37" i="4" s="1" a="1"/>
  <c r="AY36" i="4" a="1"/>
  <c r="AX38" i="1" s="1" a="1"/>
  <c r="D36" i="4"/>
  <c r="E36" i="4" s="1" a="1"/>
  <c r="C37" i="4" s="1"/>
  <c r="D37" i="4" s="1"/>
  <c r="E37" i="4" s="1" a="1"/>
  <c r="AB37" i="4"/>
  <c r="AC37" i="4" s="1"/>
  <c r="AD37" i="4" s="1" a="1"/>
  <c r="AE36" i="4" a="1"/>
  <c r="AD38" i="1" s="1" a="1"/>
  <c r="M38" i="4"/>
  <c r="N38" i="4" s="1"/>
  <c r="O38" i="4" s="1" a="1"/>
  <c r="P37" i="4" a="1"/>
  <c r="O39" i="1" s="1" a="1"/>
  <c r="AH37" i="1" a="1"/>
  <c r="I37" i="1" a="1"/>
  <c r="AQ38" i="1" a="1"/>
  <c r="AQ37" i="4"/>
  <c r="AR37" i="4" s="1"/>
  <c r="AS37" i="4" s="1" a="1"/>
  <c r="AT36" i="4" a="1"/>
  <c r="AS38" i="1" s="1" a="1"/>
  <c r="AO35" i="4" a="1"/>
  <c r="AN37" i="1" s="1" a="1"/>
  <c r="W35" i="4"/>
  <c r="X35" i="4" s="1"/>
  <c r="Y35" i="4" s="1" a="1"/>
  <c r="Z34" i="4" a="1"/>
  <c r="Y36" i="1" s="1" a="1"/>
  <c r="S37" i="1" a="1"/>
  <c r="S36" i="1" a="1"/>
  <c r="R37" i="1" a="1"/>
  <c r="R36" i="1" a="1"/>
  <c r="H37" i="1" a="1"/>
  <c r="AR38" i="1" a="1"/>
  <c r="R36" i="4"/>
  <c r="U35" i="4" a="1"/>
  <c r="T37" i="1" s="1" a="1"/>
  <c r="X37" i="1" l="1" a="1"/>
  <c r="AV39" i="1" a="1"/>
  <c r="AW39" i="1" a="1"/>
  <c r="W37" i="1" a="1"/>
  <c r="AM39" i="1" a="1"/>
  <c r="M40" i="1" a="1"/>
  <c r="N40" i="1" a="1"/>
  <c r="I38" i="1" a="1"/>
  <c r="H38" i="1" a="1"/>
  <c r="AR39" i="1" a="1"/>
  <c r="AQ38" i="4"/>
  <c r="AT37" i="4" a="1"/>
  <c r="AS39" i="1" s="1" a="1"/>
  <c r="AV38" i="4"/>
  <c r="AW38" i="4" s="1"/>
  <c r="AX38" i="4" s="1" a="1"/>
  <c r="AY37" i="4" a="1"/>
  <c r="AX39" i="1" s="1" a="1"/>
  <c r="AL39" i="1" a="1"/>
  <c r="AL38" i="4"/>
  <c r="AM38" i="4" s="1"/>
  <c r="AN38" i="4" s="1" a="1"/>
  <c r="AO37" i="4" a="1"/>
  <c r="AN39" i="1" s="1" a="1"/>
  <c r="M39" i="4"/>
  <c r="N39" i="4" s="1"/>
  <c r="O39" i="4" s="1" a="1"/>
  <c r="P38" i="4" a="1"/>
  <c r="O40" i="1" s="1" a="1"/>
  <c r="AC39" i="1" a="1"/>
  <c r="W36" i="4"/>
  <c r="X36" i="4" s="1"/>
  <c r="Y36" i="4" s="1" a="1"/>
  <c r="Z35" i="4" a="1"/>
  <c r="Y37" i="1" s="1" a="1"/>
  <c r="AB39" i="1" a="1"/>
  <c r="H37" i="4"/>
  <c r="I37" i="4" s="1"/>
  <c r="J37" i="4" s="1" a="1"/>
  <c r="K36" i="4" a="1"/>
  <c r="J38" i="1" s="1" a="1"/>
  <c r="AG38" i="1" a="1"/>
  <c r="AM38" i="1" a="1"/>
  <c r="AL38" i="1" a="1"/>
  <c r="AB38" i="4"/>
  <c r="AC38" i="4" s="1"/>
  <c r="AD38" i="4" s="1" a="1"/>
  <c r="AE37" i="4" a="1"/>
  <c r="AD39" i="1" s="1" a="1"/>
  <c r="AH38" i="1" a="1"/>
  <c r="R38" i="1" a="1"/>
  <c r="C38" i="4"/>
  <c r="D38" i="4" s="1"/>
  <c r="E38" i="4" s="1" a="1"/>
  <c r="F37" i="4" a="1"/>
  <c r="E39" i="1" s="1" a="1"/>
  <c r="S36" i="4"/>
  <c r="T36" i="4" s="1" a="1"/>
  <c r="S38" i="1" a="1"/>
  <c r="AQ39" i="1" a="1"/>
  <c r="F36" i="4" a="1"/>
  <c r="E38" i="1" s="1" a="1"/>
  <c r="AG37" i="4"/>
  <c r="AJ36" i="4" a="1"/>
  <c r="AI38" i="1" s="1" a="1"/>
  <c r="AV40" i="1" l="1" a="1"/>
  <c r="H39" i="1" a="1"/>
  <c r="AW40" i="1" a="1"/>
  <c r="D39" i="1" a="1"/>
  <c r="X38" i="1" a="1"/>
  <c r="AQ40" i="1" a="1"/>
  <c r="AR40" i="1" a="1"/>
  <c r="D40" i="1" a="1"/>
  <c r="AG39" i="1" a="1"/>
  <c r="W38" i="1" a="1"/>
  <c r="AL40" i="1" a="1"/>
  <c r="C40" i="1" a="1"/>
  <c r="AH39" i="1" a="1"/>
  <c r="I39" i="1" a="1"/>
  <c r="AB40" i="1" a="1"/>
  <c r="U36" i="4" a="1"/>
  <c r="T38" i="1" s="1" a="1"/>
  <c r="AV39" i="4"/>
  <c r="AW39" i="4" s="1"/>
  <c r="AX39" i="4" s="1" a="1"/>
  <c r="AY38" i="4" a="1"/>
  <c r="AX40" i="1" s="1" a="1"/>
  <c r="W37" i="4"/>
  <c r="X37" i="4" s="1"/>
  <c r="Y37" i="4" s="1" a="1"/>
  <c r="Z36" i="4" a="1"/>
  <c r="Y38" i="1" s="1" a="1"/>
  <c r="AH37" i="4"/>
  <c r="AI37" i="4" s="1" a="1"/>
  <c r="M41" i="1" a="1"/>
  <c r="R37" i="4"/>
  <c r="S37" i="4" s="1"/>
  <c r="T37" i="4" s="1" a="1"/>
  <c r="C39" i="4"/>
  <c r="D39" i="4" s="1"/>
  <c r="E39" i="4" s="1" a="1"/>
  <c r="F38" i="4" a="1"/>
  <c r="E40" i="1" s="1" a="1"/>
  <c r="AB39" i="4"/>
  <c r="AC39" i="4" s="1"/>
  <c r="AD39" i="4" s="1" a="1"/>
  <c r="AE38" i="4" a="1"/>
  <c r="AD40" i="1" s="1" a="1"/>
  <c r="C39" i="1" a="1"/>
  <c r="M40" i="4"/>
  <c r="N40" i="4" s="1"/>
  <c r="O40" i="4" s="1" a="1"/>
  <c r="P39" i="4" a="1"/>
  <c r="O41" i="1" s="1" a="1"/>
  <c r="AL39" i="4"/>
  <c r="AM39" i="4" s="1"/>
  <c r="AN39" i="4" s="1" a="1"/>
  <c r="AO38" i="4" a="1"/>
  <c r="AN40" i="1" s="1" a="1"/>
  <c r="H38" i="4"/>
  <c r="I38" i="4" s="1"/>
  <c r="J38" i="4" s="1" a="1"/>
  <c r="K37" i="4" a="1"/>
  <c r="J39" i="1" s="1" a="1"/>
  <c r="AM40" i="1" a="1"/>
  <c r="AC40" i="1" a="1"/>
  <c r="N41" i="1" a="1"/>
  <c r="AR38" i="4"/>
  <c r="AS38" i="4" s="1" a="1"/>
  <c r="AL41" i="1" l="1" a="1"/>
  <c r="AM41" i="1" a="1"/>
  <c r="S39" i="1" a="1"/>
  <c r="D41" i="1" a="1"/>
  <c r="R39" i="1" a="1"/>
  <c r="C41" i="1" a="1"/>
  <c r="H39" i="4"/>
  <c r="I39" i="4" s="1"/>
  <c r="J39" i="4" s="1" a="1"/>
  <c r="K38" i="4" a="1"/>
  <c r="J40" i="1" s="1" a="1"/>
  <c r="I40" i="1" a="1"/>
  <c r="AJ37" i="4" a="1"/>
  <c r="AI39" i="1" s="1" a="1"/>
  <c r="C40" i="4"/>
  <c r="D40" i="4" s="1"/>
  <c r="E40" i="4" s="1" a="1"/>
  <c r="F39" i="4" a="1"/>
  <c r="E41" i="1" s="1" a="1"/>
  <c r="AG38" i="4"/>
  <c r="AH38" i="4" s="1"/>
  <c r="AI38" i="4" s="1" a="1"/>
  <c r="M42" i="1" a="1"/>
  <c r="N42" i="1" a="1"/>
  <c r="W39" i="1" a="1"/>
  <c r="X39" i="1" a="1"/>
  <c r="R38" i="4"/>
  <c r="S38" i="4" s="1"/>
  <c r="T38" i="4" s="1" a="1"/>
  <c r="U37" i="4" a="1"/>
  <c r="T39" i="1" s="1" a="1"/>
  <c r="AT38" i="4" a="1"/>
  <c r="AS40" i="1" s="1" a="1"/>
  <c r="AB41" i="1" a="1"/>
  <c r="AL40" i="4"/>
  <c r="AM40" i="4" s="1"/>
  <c r="AN40" i="4" s="1" a="1"/>
  <c r="AO39" i="4" a="1"/>
  <c r="AN41" i="1" s="1" a="1"/>
  <c r="AQ39" i="4"/>
  <c r="AR39" i="4" s="1"/>
  <c r="AS39" i="4" s="1" a="1"/>
  <c r="M41" i="4"/>
  <c r="N41" i="4" s="1"/>
  <c r="O41" i="4" s="1" a="1"/>
  <c r="P40" i="4" a="1"/>
  <c r="O42" i="1" s="1" a="1"/>
  <c r="W38" i="4"/>
  <c r="X38" i="4" s="1"/>
  <c r="Y38" i="4" s="1" a="1"/>
  <c r="Z37" i="4" a="1"/>
  <c r="Y39" i="1" s="1" a="1"/>
  <c r="AW41" i="1" a="1"/>
  <c r="AC41" i="1" a="1"/>
  <c r="AV41" i="1" a="1"/>
  <c r="H40" i="1" a="1"/>
  <c r="AB40" i="4"/>
  <c r="AC40" i="4" s="1"/>
  <c r="AD40" i="4" s="1" a="1"/>
  <c r="AE39" i="4" a="1"/>
  <c r="AD41" i="1" s="1" a="1"/>
  <c r="AV40" i="4"/>
  <c r="AW40" i="4" s="1"/>
  <c r="AX40" i="4" s="1" a="1"/>
  <c r="AY39" i="4" a="1"/>
  <c r="AX41" i="1" s="1" a="1"/>
  <c r="I41" i="1" l="1" a="1"/>
  <c r="AQ41" i="1" a="1"/>
  <c r="AG40" i="1" a="1"/>
  <c r="D42" i="1" a="1"/>
  <c r="N43" i="1" a="1"/>
  <c r="M43" i="1" a="1"/>
  <c r="W40" i="1" a="1"/>
  <c r="X40" i="1" a="1"/>
  <c r="AH40" i="1" a="1"/>
  <c r="C42" i="1" a="1"/>
  <c r="H41" i="1" a="1"/>
  <c r="AW42" i="1" a="1"/>
  <c r="AL42" i="1" a="1"/>
  <c r="AR41" i="1" a="1"/>
  <c r="R40" i="1" a="1"/>
  <c r="AV42" i="1" a="1"/>
  <c r="AB41" i="4"/>
  <c r="AC41" i="4" s="1"/>
  <c r="AD41" i="4" s="1" a="1"/>
  <c r="AE40" i="4" a="1"/>
  <c r="AD42" i="1" s="1" a="1"/>
  <c r="S40" i="1" a="1"/>
  <c r="AV41" i="4"/>
  <c r="AW41" i="4" s="1"/>
  <c r="AX41" i="4" s="1" a="1"/>
  <c r="AY40" i="4" a="1"/>
  <c r="AX42" i="1" s="1" a="1"/>
  <c r="M42" i="4"/>
  <c r="N42" i="4" s="1"/>
  <c r="O42" i="4" s="1" a="1"/>
  <c r="P41" i="4" a="1"/>
  <c r="O43" i="1" s="1" a="1"/>
  <c r="AB42" i="1" a="1"/>
  <c r="AQ40" i="4"/>
  <c r="AR40" i="4" s="1"/>
  <c r="AS40" i="4" s="1" a="1"/>
  <c r="AT39" i="4" a="1"/>
  <c r="AS41" i="1" s="1" a="1"/>
  <c r="AL41" i="4"/>
  <c r="AM41" i="4" s="1"/>
  <c r="AN41" i="4" s="1" a="1"/>
  <c r="AO40" i="4" a="1"/>
  <c r="AN42" i="1" s="1" a="1"/>
  <c r="C41" i="4"/>
  <c r="D41" i="4" s="1"/>
  <c r="E41" i="4" s="1" a="1"/>
  <c r="F40" i="4" a="1"/>
  <c r="E42" i="1" s="1" a="1"/>
  <c r="W39" i="4"/>
  <c r="X39" i="4" s="1"/>
  <c r="Y39" i="4" s="1" a="1"/>
  <c r="Z38" i="4" a="1"/>
  <c r="Y40" i="1" s="1" a="1"/>
  <c r="AC42" i="1" a="1"/>
  <c r="AM42" i="1" a="1"/>
  <c r="AG39" i="4"/>
  <c r="AH39" i="4" s="1"/>
  <c r="AI39" i="4" s="1" a="1"/>
  <c r="AJ38" i="4" a="1"/>
  <c r="AI40" i="1" s="1" a="1"/>
  <c r="R39" i="4"/>
  <c r="S39" i="4" s="1"/>
  <c r="T39" i="4" s="1" a="1"/>
  <c r="U38" i="4" a="1"/>
  <c r="T40" i="1" s="1" a="1"/>
  <c r="H40" i="4"/>
  <c r="I40" i="4" s="1"/>
  <c r="J40" i="4" s="1" a="1"/>
  <c r="K39" i="4" a="1"/>
  <c r="J41" i="1" s="1" a="1"/>
  <c r="S41" i="1" l="1" a="1"/>
  <c r="AH41" i="1" a="1"/>
  <c r="N44" i="1" a="1"/>
  <c r="H42" i="1" a="1"/>
  <c r="I42" i="1" a="1"/>
  <c r="R41" i="1" a="1"/>
  <c r="AV43" i="1" a="1"/>
  <c r="AC43" i="1" a="1"/>
  <c r="C43" i="1" a="1"/>
  <c r="AB43" i="1" a="1"/>
  <c r="AL43" i="1" a="1"/>
  <c r="D43" i="1" a="1"/>
  <c r="AM43" i="1" a="1"/>
  <c r="AG41" i="1" a="1"/>
  <c r="AW43" i="1" a="1"/>
  <c r="R40" i="4"/>
  <c r="S40" i="4" s="1"/>
  <c r="T40" i="4" s="1" a="1"/>
  <c r="U39" i="4" a="1"/>
  <c r="T41" i="1" s="1" a="1"/>
  <c r="W40" i="4"/>
  <c r="X40" i="4" s="1"/>
  <c r="Y40" i="4" s="1" a="1"/>
  <c r="Z39" i="4" a="1"/>
  <c r="Y41" i="1" s="1" a="1"/>
  <c r="M43" i="4"/>
  <c r="N43" i="4" s="1"/>
  <c r="O43" i="4" s="1" a="1"/>
  <c r="P42" i="4" a="1"/>
  <c r="O44" i="1" s="1" a="1"/>
  <c r="AV42" i="4"/>
  <c r="AW42" i="4" s="1"/>
  <c r="AX42" i="4" s="1" a="1"/>
  <c r="AY41" i="4" a="1"/>
  <c r="AX43" i="1" s="1" a="1"/>
  <c r="H41" i="4"/>
  <c r="I41" i="4" s="1"/>
  <c r="J41" i="4" s="1" a="1"/>
  <c r="K40" i="4" a="1"/>
  <c r="J42" i="1" s="1" a="1"/>
  <c r="C42" i="4"/>
  <c r="F41" i="4" a="1"/>
  <c r="E43" i="1" s="1" a="1"/>
  <c r="AQ41" i="4"/>
  <c r="AR41" i="4" s="1"/>
  <c r="AS41" i="4" s="1" a="1"/>
  <c r="AT40" i="4" a="1"/>
  <c r="AS42" i="1" s="1" a="1"/>
  <c r="W41" i="1" a="1"/>
  <c r="X41" i="1" a="1"/>
  <c r="M44" i="1" a="1"/>
  <c r="AL42" i="4"/>
  <c r="AM42" i="4" s="1"/>
  <c r="AN42" i="4" s="1" a="1"/>
  <c r="AO41" i="4" a="1"/>
  <c r="AN43" i="1" s="1" a="1"/>
  <c r="AQ42" i="1" a="1"/>
  <c r="AG40" i="4"/>
  <c r="AH40" i="4" s="1"/>
  <c r="AI40" i="4" s="1" a="1"/>
  <c r="AJ39" i="4" a="1"/>
  <c r="AI41" i="1" s="1" a="1"/>
  <c r="AR42" i="1" a="1"/>
  <c r="AB42" i="4"/>
  <c r="AC42" i="4" s="1"/>
  <c r="AD42" i="4" s="1" a="1"/>
  <c r="AE41" i="4" a="1"/>
  <c r="AD43" i="1" s="1" a="1"/>
  <c r="D44" i="1" l="1" a="1"/>
  <c r="AL44" i="1" a="1"/>
  <c r="AM44" i="1" a="1"/>
  <c r="C44" i="1" a="1"/>
  <c r="AH42" i="1" a="1"/>
  <c r="AQ43" i="1" a="1"/>
  <c r="AW44" i="1" a="1"/>
  <c r="H43" i="1" a="1"/>
  <c r="M45" i="1" a="1"/>
  <c r="AR43" i="1" a="1"/>
  <c r="AG42" i="1" a="1"/>
  <c r="I43" i="1" a="1"/>
  <c r="AB44" i="1" a="1"/>
  <c r="S42" i="1" a="1"/>
  <c r="W42" i="1" a="1"/>
  <c r="X42" i="1" a="1"/>
  <c r="R42" i="1" a="1"/>
  <c r="N45" i="1" a="1"/>
  <c r="AQ42" i="4"/>
  <c r="AR42" i="4" s="1"/>
  <c r="AS42" i="4" s="1" a="1"/>
  <c r="AT41" i="4" a="1"/>
  <c r="AS43" i="1" s="1" a="1"/>
  <c r="H42" i="4"/>
  <c r="I42" i="4" s="1"/>
  <c r="J42" i="4" s="1" a="1"/>
  <c r="K41" i="4" a="1"/>
  <c r="J43" i="1" s="1" a="1"/>
  <c r="AL43" i="4"/>
  <c r="AM43" i="4" s="1"/>
  <c r="AN43" i="4" s="1" a="1"/>
  <c r="AO42" i="4" a="1"/>
  <c r="AN44" i="1" s="1" a="1"/>
  <c r="AV44" i="1" a="1"/>
  <c r="M44" i="4"/>
  <c r="N44" i="4" s="1"/>
  <c r="O44" i="4" s="1" a="1"/>
  <c r="P43" i="4" a="1"/>
  <c r="O45" i="1" s="1" a="1"/>
  <c r="AB43" i="4"/>
  <c r="AC43" i="4" s="1"/>
  <c r="AD43" i="4" s="1" a="1"/>
  <c r="AE42" i="4" a="1"/>
  <c r="AD44" i="1" s="1" a="1"/>
  <c r="AG41" i="4"/>
  <c r="AH41" i="4" s="1"/>
  <c r="AI41" i="4" s="1" a="1"/>
  <c r="AJ40" i="4" a="1"/>
  <c r="AI42" i="1" s="1" a="1"/>
  <c r="D42" i="4"/>
  <c r="E42" i="4" s="1" a="1"/>
  <c r="C43" i="4" s="1"/>
  <c r="D43" i="4" s="1"/>
  <c r="E43" i="4" s="1" a="1"/>
  <c r="W41" i="4"/>
  <c r="X41" i="4" s="1"/>
  <c r="Y41" i="4" s="1" a="1"/>
  <c r="Z40" i="4" a="1"/>
  <c r="Y42" i="1" s="1" a="1"/>
  <c r="AC44" i="1" a="1"/>
  <c r="AV43" i="4"/>
  <c r="AW43" i="4" s="1"/>
  <c r="AX43" i="4" s="1" a="1"/>
  <c r="AY42" i="4" a="1"/>
  <c r="AX44" i="1" s="1" a="1"/>
  <c r="R41" i="4"/>
  <c r="S41" i="4" s="1"/>
  <c r="T41" i="4" s="1" a="1"/>
  <c r="U40" i="4" a="1"/>
  <c r="T42" i="1" s="1" a="1"/>
  <c r="I44" i="1" l="1" a="1"/>
  <c r="C44" i="4"/>
  <c r="D44" i="4" s="1"/>
  <c r="E44" i="4" s="1" a="1"/>
  <c r="F43" i="4" a="1"/>
  <c r="E45" i="1" s="1" a="1"/>
  <c r="AB44" i="4"/>
  <c r="AE43" i="4" a="1"/>
  <c r="AD45" i="1" s="1" a="1"/>
  <c r="N46" i="1" a="1"/>
  <c r="X43" i="1" a="1"/>
  <c r="M45" i="4"/>
  <c r="N45" i="4" s="1"/>
  <c r="O45" i="4" s="1" a="1"/>
  <c r="P44" i="4" a="1"/>
  <c r="O46" i="1" s="1" a="1"/>
  <c r="W42" i="4"/>
  <c r="X42" i="4" s="1"/>
  <c r="Y42" i="4" s="1" a="1"/>
  <c r="Z41" i="4" a="1"/>
  <c r="Y43" i="1" s="1" a="1"/>
  <c r="AM45" i="1" a="1"/>
  <c r="AL45" i="1" a="1"/>
  <c r="AH43" i="1" a="1"/>
  <c r="AW45" i="1" a="1"/>
  <c r="W43" i="1" a="1"/>
  <c r="F42" i="4" a="1"/>
  <c r="E44" i="1" s="1" a="1"/>
  <c r="AL44" i="4"/>
  <c r="AM44" i="4" s="1"/>
  <c r="AN44" i="4" s="1" a="1"/>
  <c r="AO43" i="4" a="1"/>
  <c r="AN45" i="1" s="1" a="1"/>
  <c r="S43" i="1" a="1"/>
  <c r="AG43" i="1" a="1"/>
  <c r="H44" i="1" a="1"/>
  <c r="AG42" i="4"/>
  <c r="AH42" i="4" s="1"/>
  <c r="AI42" i="4" s="1" a="1"/>
  <c r="AJ41" i="4" a="1"/>
  <c r="AI43" i="1" s="1" a="1"/>
  <c r="R42" i="4"/>
  <c r="S42" i="4" s="1"/>
  <c r="T42" i="4" s="1" a="1"/>
  <c r="U41" i="4" a="1"/>
  <c r="T43" i="1" s="1" a="1"/>
  <c r="AB45" i="1" a="1"/>
  <c r="H43" i="4"/>
  <c r="I43" i="4" s="1"/>
  <c r="J43" i="4" s="1" a="1"/>
  <c r="K42" i="4" a="1"/>
  <c r="J44" i="1" s="1" a="1"/>
  <c r="AV45" i="1" a="1"/>
  <c r="AC45" i="1" a="1"/>
  <c r="AQ44" i="1" a="1"/>
  <c r="AR44" i="1" a="1"/>
  <c r="R43" i="1" a="1"/>
  <c r="AV44" i="4"/>
  <c r="AW44" i="4" s="1"/>
  <c r="AX44" i="4" s="1" a="1"/>
  <c r="AY43" i="4" a="1"/>
  <c r="AX45" i="1" s="1" a="1"/>
  <c r="M46" i="1" a="1"/>
  <c r="AQ43" i="4"/>
  <c r="AR43" i="4" s="1"/>
  <c r="AS43" i="4" s="1" a="1"/>
  <c r="AT42" i="4" a="1"/>
  <c r="AS44" i="1" s="1" a="1"/>
  <c r="AW46" i="1" l="1" a="1"/>
  <c r="AV46" i="1" a="1"/>
  <c r="AL46" i="1" a="1"/>
  <c r="M47" i="1" a="1"/>
  <c r="X44" i="1" a="1"/>
  <c r="AH44" i="1" a="1"/>
  <c r="C45" i="1" a="1"/>
  <c r="I45" i="1" a="1"/>
  <c r="D45" i="1" a="1"/>
  <c r="AB46" i="1" a="1"/>
  <c r="W44" i="1" a="1"/>
  <c r="AG43" i="4"/>
  <c r="AH43" i="4" s="1"/>
  <c r="AI43" i="4" s="1" a="1"/>
  <c r="AJ42" i="4" a="1"/>
  <c r="AI44" i="1" s="1" a="1"/>
  <c r="W43" i="4"/>
  <c r="X43" i="4" s="1"/>
  <c r="Y43" i="4" s="1" a="1"/>
  <c r="Z42" i="4" a="1"/>
  <c r="Y44" i="1" s="1" a="1"/>
  <c r="H45" i="1" a="1"/>
  <c r="AM46" i="1" a="1"/>
  <c r="N47" i="1" a="1"/>
  <c r="AQ45" i="1" a="1"/>
  <c r="AR45" i="1" a="1"/>
  <c r="H44" i="4"/>
  <c r="I44" i="4" s="1"/>
  <c r="J44" i="4" s="1" a="1"/>
  <c r="K43" i="4" a="1"/>
  <c r="J45" i="1" s="1" a="1"/>
  <c r="AL45" i="4"/>
  <c r="AM45" i="4" s="1"/>
  <c r="AN45" i="4" s="1" a="1"/>
  <c r="AO44" i="4" a="1"/>
  <c r="AN46" i="1" s="1" a="1"/>
  <c r="M46" i="4"/>
  <c r="N46" i="4" s="1"/>
  <c r="O46" i="4" s="1" a="1"/>
  <c r="P45" i="4" a="1"/>
  <c r="O47" i="1" s="1" a="1"/>
  <c r="AQ44" i="4"/>
  <c r="AR44" i="4" s="1"/>
  <c r="AS44" i="4" s="1" a="1"/>
  <c r="AT43" i="4" a="1"/>
  <c r="AS45" i="1" s="1" a="1"/>
  <c r="S44" i="1" a="1"/>
  <c r="R44" i="1" a="1"/>
  <c r="AC46" i="1" a="1"/>
  <c r="R43" i="4"/>
  <c r="S43" i="4" s="1"/>
  <c r="T43" i="4" s="1" a="1"/>
  <c r="U42" i="4" a="1"/>
  <c r="T44" i="1" s="1" a="1"/>
  <c r="AC44" i="4"/>
  <c r="AD44" i="4" s="1" a="1"/>
  <c r="AB45" i="4" s="1"/>
  <c r="AC45" i="4" s="1"/>
  <c r="AD45" i="4" s="1" a="1"/>
  <c r="AV45" i="4"/>
  <c r="AW45" i="4" s="1"/>
  <c r="AX45" i="4" s="1" a="1"/>
  <c r="AY44" i="4" a="1"/>
  <c r="AX46" i="1" s="1" a="1"/>
  <c r="AG44" i="1" a="1"/>
  <c r="D46" i="1" a="1"/>
  <c r="C46" i="1" a="1"/>
  <c r="C45" i="4"/>
  <c r="D45" i="4" s="1"/>
  <c r="E45" i="4" s="1" a="1"/>
  <c r="F44" i="4" a="1"/>
  <c r="E46" i="1" s="1" a="1"/>
  <c r="M48" i="1" l="1" a="1"/>
  <c r="AV47" i="1" a="1"/>
  <c r="AW47" i="1" a="1"/>
  <c r="AB46" i="4"/>
  <c r="AC46" i="4" s="1"/>
  <c r="AD46" i="4" s="1" a="1"/>
  <c r="AE45" i="4" a="1"/>
  <c r="AD47" i="1" s="1" a="1"/>
  <c r="AL46" i="4"/>
  <c r="AM46" i="4" s="1"/>
  <c r="AN46" i="4" s="1" a="1"/>
  <c r="AO45" i="4" a="1"/>
  <c r="AN47" i="1" s="1" a="1"/>
  <c r="C47" i="1" a="1"/>
  <c r="D47" i="1" a="1"/>
  <c r="I46" i="1" a="1"/>
  <c r="H45" i="4"/>
  <c r="I45" i="4" s="1"/>
  <c r="J45" i="4" s="1" a="1"/>
  <c r="K44" i="4" a="1"/>
  <c r="J46" i="1" s="1" a="1"/>
  <c r="AQ46" i="1" a="1"/>
  <c r="AR46" i="1" a="1"/>
  <c r="AQ45" i="4"/>
  <c r="AR45" i="4" s="1"/>
  <c r="AS45" i="4" s="1" a="1"/>
  <c r="AT44" i="4" a="1"/>
  <c r="AS46" i="1" s="1" a="1"/>
  <c r="N48" i="1" a="1"/>
  <c r="W45" i="1" a="1"/>
  <c r="X45" i="1" a="1"/>
  <c r="C46" i="4"/>
  <c r="D46" i="4" s="1"/>
  <c r="E46" i="4" s="1" a="1"/>
  <c r="F45" i="4" a="1"/>
  <c r="E47" i="1" s="1" a="1"/>
  <c r="M47" i="4"/>
  <c r="N47" i="4" s="1"/>
  <c r="O47" i="4" s="1" a="1"/>
  <c r="P46" i="4" a="1"/>
  <c r="O48" i="1" s="1" a="1"/>
  <c r="W44" i="4"/>
  <c r="X44" i="4" s="1"/>
  <c r="Y44" i="4" s="1" a="1"/>
  <c r="Z43" i="4" a="1"/>
  <c r="Y45" i="1" s="1" a="1"/>
  <c r="AE44" i="4" a="1"/>
  <c r="AD46" i="1" s="1" a="1"/>
  <c r="AM47" i="1" a="1"/>
  <c r="R45" i="1" a="1"/>
  <c r="AL47" i="1" a="1"/>
  <c r="AG45" i="1" a="1"/>
  <c r="AH45" i="1" a="1"/>
  <c r="AV46" i="4"/>
  <c r="AW46" i="4" s="1"/>
  <c r="AX46" i="4" s="1" a="1"/>
  <c r="AY45" i="4" a="1"/>
  <c r="AX47" i="1" s="1" a="1"/>
  <c r="S45" i="1" a="1"/>
  <c r="R44" i="4"/>
  <c r="S44" i="4" s="1"/>
  <c r="T44" i="4" s="1" a="1"/>
  <c r="U43" i="4" a="1"/>
  <c r="T45" i="1" s="1" a="1"/>
  <c r="H46" i="1" a="1"/>
  <c r="AG44" i="4"/>
  <c r="AH44" i="4" s="1"/>
  <c r="AI44" i="4" s="1" a="1"/>
  <c r="AJ43" i="4" a="1"/>
  <c r="AI45" i="1" s="1" a="1"/>
  <c r="C48" i="1" l="1" a="1"/>
  <c r="AB48" i="1" a="1"/>
  <c r="AQ47" i="1" a="1"/>
  <c r="AR47" i="1" a="1"/>
  <c r="D48" i="1" a="1"/>
  <c r="AW48" i="1" a="1"/>
  <c r="AC48" i="1" a="1"/>
  <c r="N49" i="1" a="1"/>
  <c r="I47" i="1" a="1"/>
  <c r="AH46" i="1" a="1"/>
  <c r="W46" i="1" a="1"/>
  <c r="X46" i="1" a="1"/>
  <c r="R45" i="4"/>
  <c r="S45" i="4" s="1"/>
  <c r="T45" i="4" s="1" a="1"/>
  <c r="U44" i="4" a="1"/>
  <c r="T46" i="1" s="1" a="1"/>
  <c r="AV48" i="1" a="1"/>
  <c r="M49" i="1" a="1"/>
  <c r="H47" i="1" a="1"/>
  <c r="AV47" i="4"/>
  <c r="AW47" i="4" s="1"/>
  <c r="AX47" i="4" s="1" a="1"/>
  <c r="AY46" i="4" a="1"/>
  <c r="AX48" i="1" s="1" a="1"/>
  <c r="M48" i="4"/>
  <c r="N48" i="4" s="1"/>
  <c r="O48" i="4" s="1" a="1"/>
  <c r="P47" i="4" a="1"/>
  <c r="O49" i="1" s="1" a="1"/>
  <c r="AB47" i="1" a="1"/>
  <c r="H46" i="4"/>
  <c r="I46" i="4" s="1"/>
  <c r="J46" i="4" s="1" a="1"/>
  <c r="K45" i="4" a="1"/>
  <c r="J47" i="1" s="1" a="1"/>
  <c r="S46" i="1" a="1"/>
  <c r="AG46" i="1" a="1"/>
  <c r="C47" i="4"/>
  <c r="D47" i="4" s="1"/>
  <c r="E47" i="4" s="1" a="1"/>
  <c r="F46" i="4" a="1"/>
  <c r="E48" i="1" s="1" a="1"/>
  <c r="AL48" i="1" a="1"/>
  <c r="R46" i="1" a="1"/>
  <c r="AG45" i="4"/>
  <c r="AH45" i="4" s="1"/>
  <c r="AI45" i="4" s="1" a="1"/>
  <c r="AJ44" i="4" a="1"/>
  <c r="AI46" i="1" s="1" a="1"/>
  <c r="AC47" i="1" a="1"/>
  <c r="AM48" i="1" a="1"/>
  <c r="AL47" i="4"/>
  <c r="AM47" i="4" s="1"/>
  <c r="AN47" i="4" s="1" a="1"/>
  <c r="AO46" i="4" a="1"/>
  <c r="AN48" i="1" s="1" a="1"/>
  <c r="AQ46" i="4"/>
  <c r="AR46" i="4" s="1"/>
  <c r="AS46" i="4" s="1" a="1"/>
  <c r="AT45" i="4" a="1"/>
  <c r="AS47" i="1" s="1" a="1"/>
  <c r="W45" i="4"/>
  <c r="X45" i="4" s="1"/>
  <c r="Y45" i="4" s="1" a="1"/>
  <c r="Z44" i="4" a="1"/>
  <c r="Y46" i="1" s="1" a="1"/>
  <c r="AB47" i="4"/>
  <c r="AC47" i="4" s="1"/>
  <c r="AD47" i="4" s="1" a="1"/>
  <c r="AE46" i="4" a="1"/>
  <c r="AD48" i="1" s="1" a="1"/>
  <c r="AQ48" i="1" l="1" a="1"/>
  <c r="AM49" i="1" a="1"/>
  <c r="AV49" i="1" a="1"/>
  <c r="AW49" i="1" a="1"/>
  <c r="I48" i="1" a="1"/>
  <c r="AL49" i="1" a="1"/>
  <c r="M50" i="1" a="1"/>
  <c r="D49" i="1" a="1"/>
  <c r="C49" i="1" a="1"/>
  <c r="AR48" i="1" a="1"/>
  <c r="H48" i="1" a="1"/>
  <c r="AB49" i="1" a="1"/>
  <c r="AH47" i="1" a="1"/>
  <c r="S47" i="1" a="1"/>
  <c r="AC49" i="1" a="1"/>
  <c r="W46" i="4"/>
  <c r="X46" i="4" s="1"/>
  <c r="Y46" i="4" s="1" a="1"/>
  <c r="Z45" i="4" a="1"/>
  <c r="Y47" i="1" s="1" a="1"/>
  <c r="H47" i="4"/>
  <c r="I47" i="4" s="1"/>
  <c r="J47" i="4" s="1" a="1"/>
  <c r="K46" i="4" a="1"/>
  <c r="J48" i="1" s="1" a="1"/>
  <c r="AG47" i="1" a="1"/>
  <c r="M49" i="4"/>
  <c r="N49" i="4" s="1"/>
  <c r="O49" i="4" s="1" a="1"/>
  <c r="P48" i="4" a="1"/>
  <c r="O50" i="1" s="1" a="1"/>
  <c r="R47" i="1" a="1"/>
  <c r="AB48" i="4"/>
  <c r="AC48" i="4" s="1"/>
  <c r="AD48" i="4" s="1" a="1"/>
  <c r="AE47" i="4" a="1"/>
  <c r="AD49" i="1" s="1" a="1"/>
  <c r="X47" i="1" a="1"/>
  <c r="N50" i="1" a="1"/>
  <c r="W47" i="1" a="1"/>
  <c r="AG46" i="4"/>
  <c r="AH46" i="4" s="1"/>
  <c r="AI46" i="4" s="1" a="1"/>
  <c r="AJ45" i="4" a="1"/>
  <c r="AI47" i="1" s="1" a="1"/>
  <c r="AV48" i="4"/>
  <c r="AW48" i="4" s="1"/>
  <c r="AX48" i="4" s="1" a="1"/>
  <c r="AY47" i="4" a="1"/>
  <c r="AX49" i="1" s="1" a="1"/>
  <c r="AQ47" i="4"/>
  <c r="AR47" i="4" s="1"/>
  <c r="AS47" i="4" s="1" a="1"/>
  <c r="AT46" i="4" a="1"/>
  <c r="AS48" i="1" s="1" a="1"/>
  <c r="C48" i="4"/>
  <c r="D48" i="4" s="1"/>
  <c r="E48" i="4" s="1" a="1"/>
  <c r="F47" i="4" a="1"/>
  <c r="E49" i="1" s="1" a="1"/>
  <c r="AL48" i="4"/>
  <c r="AM48" i="4" s="1"/>
  <c r="AN48" i="4" s="1" a="1"/>
  <c r="AO47" i="4" a="1"/>
  <c r="AN49" i="1" s="1" a="1"/>
  <c r="R46" i="4"/>
  <c r="S46" i="4" s="1"/>
  <c r="T46" i="4" s="1" a="1"/>
  <c r="U45" i="4" a="1"/>
  <c r="T47" i="1" s="1" a="1"/>
  <c r="AL50" i="1" l="1" a="1"/>
  <c r="I49" i="1" a="1"/>
  <c r="AV50" i="1" a="1"/>
  <c r="N51" i="1" a="1"/>
  <c r="AQ48" i="4"/>
  <c r="AR48" i="4" s="1"/>
  <c r="AS48" i="4" s="1" a="1"/>
  <c r="AT47" i="4" a="1"/>
  <c r="AS49" i="1" s="1" a="1"/>
  <c r="R48" i="1" a="1"/>
  <c r="S48" i="1" a="1"/>
  <c r="AW50" i="1" a="1"/>
  <c r="M51" i="1" a="1"/>
  <c r="AV49" i="4"/>
  <c r="AY48" i="4" a="1"/>
  <c r="AX50" i="1" s="1" a="1"/>
  <c r="AR49" i="1" a="1"/>
  <c r="M50" i="4"/>
  <c r="N50" i="4" s="1"/>
  <c r="O50" i="4" s="1" a="1"/>
  <c r="P49" i="4" a="1"/>
  <c r="O51" i="1" s="1" a="1"/>
  <c r="AH48" i="1" a="1"/>
  <c r="AM50" i="1" a="1"/>
  <c r="AG48" i="1" a="1"/>
  <c r="H49" i="1" a="1"/>
  <c r="AL49" i="4"/>
  <c r="AO48" i="4" a="1"/>
  <c r="AN50" i="1" s="1" a="1"/>
  <c r="AG47" i="4"/>
  <c r="AH47" i="4" s="1"/>
  <c r="AI47" i="4" s="1" a="1"/>
  <c r="AJ46" i="4" a="1"/>
  <c r="AI48" i="1" s="1" a="1"/>
  <c r="D50" i="1" a="1"/>
  <c r="H48" i="4"/>
  <c r="I48" i="4" s="1"/>
  <c r="J48" i="4" s="1" a="1"/>
  <c r="K47" i="4" a="1"/>
  <c r="J49" i="1" s="1" a="1"/>
  <c r="R47" i="4"/>
  <c r="S47" i="4" s="1"/>
  <c r="T47" i="4" s="1" a="1"/>
  <c r="U46" i="4" a="1"/>
  <c r="T48" i="1" s="1" a="1"/>
  <c r="C50" i="1" a="1"/>
  <c r="X48" i="1" a="1"/>
  <c r="W48" i="1" a="1"/>
  <c r="C49" i="4"/>
  <c r="D49" i="4" s="1"/>
  <c r="E49" i="4" s="1" a="1"/>
  <c r="F48" i="4" a="1"/>
  <c r="E50" i="1" s="1" a="1"/>
  <c r="AB50" i="1" a="1"/>
  <c r="AB49" i="4"/>
  <c r="AC49" i="4" s="1"/>
  <c r="AD49" i="4" s="1" a="1"/>
  <c r="AE48" i="4" a="1"/>
  <c r="AD50" i="1" s="1" a="1"/>
  <c r="AQ49" i="1" a="1"/>
  <c r="AC50" i="1" a="1"/>
  <c r="W47" i="4"/>
  <c r="X47" i="4" s="1"/>
  <c r="Y47" i="4" s="1" a="1"/>
  <c r="Z46" i="4" a="1"/>
  <c r="Y48" i="1" s="1" a="1"/>
  <c r="AB51" i="1" l="1" a="1"/>
  <c r="AQ50" i="1" a="1"/>
  <c r="AR50" i="1" a="1"/>
  <c r="AH49" i="1" a="1"/>
  <c r="AW51" i="1" a="1"/>
  <c r="N52" i="1" a="1"/>
  <c r="M52" i="1" a="1"/>
  <c r="C51" i="1" a="1"/>
  <c r="AV51" i="1" a="1"/>
  <c r="H50" i="1" a="1"/>
  <c r="AB50" i="4"/>
  <c r="AC50" i="4" s="1"/>
  <c r="AD50" i="4" s="1" a="1"/>
  <c r="AE49" i="4" a="1"/>
  <c r="AD51" i="1" s="1" a="1"/>
  <c r="H49" i="4"/>
  <c r="I49" i="4" s="1"/>
  <c r="J49" i="4" s="1" a="1"/>
  <c r="K48" i="4" a="1"/>
  <c r="J50" i="1" s="1" a="1"/>
  <c r="M51" i="4"/>
  <c r="N51" i="4" s="1"/>
  <c r="O51" i="4" s="1" a="1"/>
  <c r="P50" i="4" a="1"/>
  <c r="O52" i="1" s="1" a="1"/>
  <c r="D51" i="1" a="1"/>
  <c r="AG49" i="1" a="1"/>
  <c r="X49" i="1" a="1"/>
  <c r="AG48" i="4"/>
  <c r="AH48" i="4" s="1"/>
  <c r="AI48" i="4" s="1" a="1"/>
  <c r="AJ47" i="4" a="1"/>
  <c r="AI49" i="1" s="1" a="1"/>
  <c r="W48" i="4"/>
  <c r="X48" i="4" s="1"/>
  <c r="Y48" i="4" s="1" a="1"/>
  <c r="Z47" i="4" a="1"/>
  <c r="Y49" i="1" s="1" a="1"/>
  <c r="AL51" i="1" a="1"/>
  <c r="AW49" i="4"/>
  <c r="AX49" i="4" s="1" a="1"/>
  <c r="AV50" i="4" s="1"/>
  <c r="AW50" i="4" s="1"/>
  <c r="AX50" i="4" s="1" a="1"/>
  <c r="C50" i="4"/>
  <c r="D50" i="4" s="1"/>
  <c r="E50" i="4" s="1" a="1"/>
  <c r="F49" i="4" a="1"/>
  <c r="E51" i="1" s="1" a="1"/>
  <c r="W49" i="1" a="1"/>
  <c r="AM51" i="1" a="1"/>
  <c r="R49" i="1" a="1"/>
  <c r="AM49" i="4"/>
  <c r="AN49" i="4" s="1" a="1"/>
  <c r="AL50" i="4" s="1"/>
  <c r="R48" i="4"/>
  <c r="S48" i="4" s="1"/>
  <c r="T48" i="4" s="1" a="1"/>
  <c r="U47" i="4" a="1"/>
  <c r="T49" i="1" s="1" a="1"/>
  <c r="AC51" i="1" a="1"/>
  <c r="I50" i="1" a="1"/>
  <c r="S49" i="1" a="1"/>
  <c r="AQ49" i="4"/>
  <c r="AR49" i="4" s="1"/>
  <c r="AS49" i="4" s="1" a="1"/>
  <c r="AT48" i="4" a="1"/>
  <c r="AS50" i="1" s="1" a="1"/>
  <c r="AG50" i="1" l="1" a="1"/>
  <c r="R50" i="1" a="1"/>
  <c r="N53" i="1" a="1"/>
  <c r="S50" i="1" a="1"/>
  <c r="M53" i="1" a="1"/>
  <c r="I51" i="1" a="1"/>
  <c r="AC52" i="1" a="1"/>
  <c r="AH50" i="1" a="1"/>
  <c r="AB52" i="1" a="1"/>
  <c r="H51" i="1" a="1"/>
  <c r="X50" i="1" a="1"/>
  <c r="W50" i="1" a="1"/>
  <c r="AV51" i="4"/>
  <c r="AW51" i="4" s="1"/>
  <c r="AX51" i="4" s="1" a="1"/>
  <c r="AY50" i="4" a="1"/>
  <c r="AX52" i="1" s="1" a="1"/>
  <c r="AY49" i="4" a="1"/>
  <c r="AX51" i="1" s="1" a="1"/>
  <c r="AG49" i="4"/>
  <c r="AH49" i="4" s="1"/>
  <c r="AI49" i="4" s="1" a="1"/>
  <c r="AJ48" i="4" a="1"/>
  <c r="AI50" i="1" s="1" a="1"/>
  <c r="C51" i="4"/>
  <c r="D51" i="4" s="1"/>
  <c r="E51" i="4" s="1" a="1"/>
  <c r="F50" i="4" a="1"/>
  <c r="E52" i="1" s="1" a="1"/>
  <c r="H50" i="4"/>
  <c r="K49" i="4" a="1"/>
  <c r="J51" i="1" s="1" a="1"/>
  <c r="AO49" i="4" a="1"/>
  <c r="AN51" i="1" s="1" a="1"/>
  <c r="AQ51" i="1" a="1"/>
  <c r="D52" i="1" a="1"/>
  <c r="AQ50" i="4"/>
  <c r="AR50" i="4" s="1"/>
  <c r="AS50" i="4" s="1" a="1"/>
  <c r="AT49" i="4" a="1"/>
  <c r="AS51" i="1" s="1" a="1"/>
  <c r="R49" i="4"/>
  <c r="S49" i="4" s="1"/>
  <c r="T49" i="4" s="1" a="1"/>
  <c r="U48" i="4" a="1"/>
  <c r="T50" i="1" s="1" a="1"/>
  <c r="AM50" i="4"/>
  <c r="AN50" i="4" s="1" a="1"/>
  <c r="AL51" i="4" s="1"/>
  <c r="AM51" i="4" s="1"/>
  <c r="AN51" i="4" s="1" a="1"/>
  <c r="AR51" i="1" a="1"/>
  <c r="C52" i="1" a="1"/>
  <c r="M52" i="4"/>
  <c r="N52" i="4" s="1"/>
  <c r="O52" i="4" s="1" a="1"/>
  <c r="P51" i="4" a="1"/>
  <c r="O53" i="1" s="1" a="1"/>
  <c r="W49" i="4"/>
  <c r="X49" i="4" s="1"/>
  <c r="Y49" i="4" s="1" a="1"/>
  <c r="Z48" i="4" a="1"/>
  <c r="Y50" i="1" s="1" a="1"/>
  <c r="AB51" i="4"/>
  <c r="AC51" i="4" s="1"/>
  <c r="AD51" i="4" s="1" a="1"/>
  <c r="AE50" i="4" a="1"/>
  <c r="AD52" i="1" s="1" a="1"/>
  <c r="I52" i="1" l="1" a="1"/>
  <c r="N54" i="1" a="1"/>
  <c r="H52" i="1" a="1"/>
  <c r="M54" i="1" a="1"/>
  <c r="AQ52" i="1" a="1"/>
  <c r="AL52" i="1" a="1"/>
  <c r="AW53" i="1" a="1"/>
  <c r="W51" i="1" a="1"/>
  <c r="AW52" i="1" a="1"/>
  <c r="AV53" i="1" a="1"/>
  <c r="AM52" i="1" a="1"/>
  <c r="AV52" i="1" a="1"/>
  <c r="AG51" i="1" a="1"/>
  <c r="AR52" i="1" a="1"/>
  <c r="AH51" i="1" a="1"/>
  <c r="AC53" i="1" a="1"/>
  <c r="X51" i="1" a="1"/>
  <c r="S51" i="1" a="1"/>
  <c r="D53" i="1" a="1"/>
  <c r="W50" i="4"/>
  <c r="X50" i="4" s="1"/>
  <c r="Y50" i="4" s="1" a="1"/>
  <c r="Z49" i="4" a="1"/>
  <c r="Y51" i="1" s="1" a="1"/>
  <c r="AG50" i="4"/>
  <c r="AH50" i="4" s="1"/>
  <c r="AI50" i="4" s="1" a="1"/>
  <c r="AJ49" i="4" a="1"/>
  <c r="AI51" i="1" s="1" a="1"/>
  <c r="M53" i="4"/>
  <c r="N53" i="4" s="1"/>
  <c r="O53" i="4" s="1" a="1"/>
  <c r="P52" i="4" a="1"/>
  <c r="O54" i="1" s="1" a="1"/>
  <c r="AL52" i="4"/>
  <c r="AM52" i="4" s="1"/>
  <c r="AN52" i="4" s="1" a="1"/>
  <c r="AO51" i="4" a="1"/>
  <c r="AN53" i="1" s="1" a="1"/>
  <c r="AB53" i="1" a="1"/>
  <c r="R51" i="1" a="1"/>
  <c r="I50" i="4"/>
  <c r="J50" i="4" s="1" a="1"/>
  <c r="H51" i="4" s="1"/>
  <c r="C53" i="1" a="1"/>
  <c r="AB52" i="4"/>
  <c r="AC52" i="4" s="1"/>
  <c r="AD52" i="4" s="1" a="1"/>
  <c r="AE51" i="4" a="1"/>
  <c r="AD53" i="1" s="1" a="1"/>
  <c r="R50" i="4"/>
  <c r="S50" i="4" s="1"/>
  <c r="T50" i="4" s="1" a="1"/>
  <c r="U49" i="4" a="1"/>
  <c r="T51" i="1" s="1" a="1"/>
  <c r="C52" i="4"/>
  <c r="D52" i="4" s="1"/>
  <c r="E52" i="4" s="1" a="1"/>
  <c r="F51" i="4" a="1"/>
  <c r="E53" i="1" s="1" a="1"/>
  <c r="AQ51" i="4"/>
  <c r="AR51" i="4" s="1"/>
  <c r="AS51" i="4" s="1" a="1"/>
  <c r="AT50" i="4" a="1"/>
  <c r="AS52" i="1" s="1" a="1"/>
  <c r="AO50" i="4" a="1"/>
  <c r="AN52" i="1" s="1" a="1"/>
  <c r="AV52" i="4"/>
  <c r="AW52" i="4" s="1"/>
  <c r="AX52" i="4" s="1" a="1"/>
  <c r="AY51" i="4" a="1"/>
  <c r="AX53" i="1" s="1" a="1"/>
  <c r="AL53" i="1" l="1" a="1"/>
  <c r="I51" i="4"/>
  <c r="J51" i="4" s="1" a="1"/>
  <c r="H52" i="4" s="1"/>
  <c r="I52" i="4" s="1"/>
  <c r="J52" i="4" s="1" a="1"/>
  <c r="AQ52" i="4"/>
  <c r="AR52" i="4" s="1"/>
  <c r="AS52" i="4" s="1" a="1"/>
  <c r="AT51" i="4" a="1"/>
  <c r="AS53" i="1" s="1" a="1"/>
  <c r="D54" i="1" a="1"/>
  <c r="AM54" i="1" a="1"/>
  <c r="AL54" i="1" a="1"/>
  <c r="AW54" i="1" a="1"/>
  <c r="C53" i="4"/>
  <c r="D53" i="4" s="1"/>
  <c r="E53" i="4" s="1" a="1"/>
  <c r="F52" i="4" a="1"/>
  <c r="E54" i="1" s="1" a="1"/>
  <c r="S52" i="1" a="1"/>
  <c r="AL53" i="4"/>
  <c r="AM53" i="4" s="1"/>
  <c r="AN53" i="4" s="1" a="1"/>
  <c r="AO52" i="4" a="1"/>
  <c r="AN54" i="1" s="1" a="1"/>
  <c r="R51" i="4"/>
  <c r="S51" i="4" s="1"/>
  <c r="T51" i="4" s="1" a="1"/>
  <c r="U50" i="4" a="1"/>
  <c r="T52" i="1" s="1" a="1"/>
  <c r="AV54" i="1" a="1"/>
  <c r="R52" i="1" a="1"/>
  <c r="N55" i="1" a="1"/>
  <c r="M55" i="1" a="1"/>
  <c r="M54" i="4"/>
  <c r="N54" i="4" s="1"/>
  <c r="O54" i="4" s="1" a="1"/>
  <c r="P53" i="4" a="1"/>
  <c r="O55" i="1" s="1" a="1"/>
  <c r="AV53" i="4"/>
  <c r="AW53" i="4" s="1"/>
  <c r="AX53" i="4" s="1" a="1"/>
  <c r="AY52" i="4" a="1"/>
  <c r="AX54" i="1" s="1" a="1"/>
  <c r="AC54" i="1" a="1"/>
  <c r="AM53" i="1" a="1"/>
  <c r="AB54" i="1" a="1"/>
  <c r="AH52" i="1" a="1"/>
  <c r="AG52" i="1" a="1"/>
  <c r="AB53" i="4"/>
  <c r="AC53" i="4" s="1"/>
  <c r="AD53" i="4" s="1" a="1"/>
  <c r="AE52" i="4" a="1"/>
  <c r="AD54" i="1" s="1" a="1"/>
  <c r="AQ53" i="1" a="1"/>
  <c r="AG51" i="4"/>
  <c r="AH51" i="4" s="1"/>
  <c r="AI51" i="4" s="1" a="1"/>
  <c r="AJ50" i="4" a="1"/>
  <c r="AI52" i="1" s="1" a="1"/>
  <c r="AR53" i="1" a="1"/>
  <c r="W52" i="1" a="1"/>
  <c r="K50" i="4" a="1"/>
  <c r="J52" i="1" s="1" a="1"/>
  <c r="X52" i="1" a="1"/>
  <c r="C54" i="1" a="1"/>
  <c r="W51" i="4"/>
  <c r="X51" i="4" s="1"/>
  <c r="Y51" i="4" s="1" a="1"/>
  <c r="Z50" i="4" a="1"/>
  <c r="Y52" i="1" s="1" a="1"/>
  <c r="I53" i="1" l="1" a="1"/>
  <c r="H53" i="1" a="1"/>
  <c r="AV55" i="1" a="1"/>
  <c r="X53" i="1" a="1"/>
  <c r="AC55" i="1" a="1"/>
  <c r="AB55" i="1" a="1"/>
  <c r="W53" i="1" a="1"/>
  <c r="AL55" i="1" a="1"/>
  <c r="H53" i="4"/>
  <c r="I53" i="4" s="1"/>
  <c r="J53" i="4" s="1" a="1"/>
  <c r="K52" i="4" a="1"/>
  <c r="J54" i="1" s="1" a="1"/>
  <c r="AG53" i="1" a="1"/>
  <c r="AV54" i="4"/>
  <c r="AW54" i="4" s="1"/>
  <c r="AX54" i="4" s="1" a="1"/>
  <c r="AY53" i="4" a="1"/>
  <c r="AX55" i="1" s="1" a="1"/>
  <c r="AL54" i="4"/>
  <c r="AM54" i="4" s="1"/>
  <c r="AN54" i="4" s="1" a="1"/>
  <c r="AO53" i="4" a="1"/>
  <c r="AN55" i="1" s="1" a="1"/>
  <c r="M56" i="1" a="1"/>
  <c r="AG52" i="4"/>
  <c r="AH52" i="4" s="1"/>
  <c r="AI52" i="4" s="1" a="1"/>
  <c r="AJ51" i="4" a="1"/>
  <c r="AI53" i="1" s="1" a="1"/>
  <c r="N56" i="1" a="1"/>
  <c r="C55" i="1" a="1"/>
  <c r="D55" i="1" a="1"/>
  <c r="M55" i="4"/>
  <c r="N55" i="4" s="1"/>
  <c r="O55" i="4" s="1" a="1"/>
  <c r="P54" i="4" a="1"/>
  <c r="O56" i="1" s="1" a="1"/>
  <c r="C54" i="4"/>
  <c r="F53" i="4" a="1"/>
  <c r="E55" i="1" s="1" a="1"/>
  <c r="S53" i="1" a="1"/>
  <c r="AB54" i="4"/>
  <c r="AC54" i="4" s="1"/>
  <c r="AD54" i="4" s="1" a="1"/>
  <c r="AE53" i="4" a="1"/>
  <c r="AD55" i="1" s="1" a="1"/>
  <c r="R53" i="1" a="1"/>
  <c r="AQ54" i="1" a="1"/>
  <c r="AR54" i="1" a="1"/>
  <c r="R52" i="4"/>
  <c r="S52" i="4" s="1"/>
  <c r="T52" i="4" s="1" a="1"/>
  <c r="U51" i="4" a="1"/>
  <c r="T53" i="1" s="1" a="1"/>
  <c r="AQ53" i="4"/>
  <c r="AR53" i="4" s="1"/>
  <c r="AS53" i="4" s="1" a="1"/>
  <c r="AT52" i="4" a="1"/>
  <c r="AS54" i="1" s="1" a="1"/>
  <c r="W52" i="4"/>
  <c r="X52" i="4" s="1"/>
  <c r="Y52" i="4" s="1" a="1"/>
  <c r="Z51" i="4" a="1"/>
  <c r="Y53" i="1" s="1" a="1"/>
  <c r="AW55" i="1" a="1"/>
  <c r="AM55" i="1" a="1"/>
  <c r="AH53" i="1" a="1"/>
  <c r="K51" i="4" a="1"/>
  <c r="J53" i="1" s="1" a="1"/>
  <c r="H54" i="1" l="1" a="1"/>
  <c r="N57" i="1" a="1"/>
  <c r="H55" i="1" a="1"/>
  <c r="AV56" i="1" a="1"/>
  <c r="I54" i="1" a="1"/>
  <c r="M57" i="1" a="1"/>
  <c r="AL56" i="1" a="1"/>
  <c r="AW56" i="1" a="1"/>
  <c r="D56" i="1" a="1"/>
  <c r="AH54" i="1" a="1"/>
  <c r="R54" i="1" a="1"/>
  <c r="AR55" i="1" a="1"/>
  <c r="I55" i="1" a="1"/>
  <c r="S54" i="1" a="1"/>
  <c r="AC56" i="1" a="1"/>
  <c r="AG54" i="1" a="1"/>
  <c r="AB56" i="1" a="1"/>
  <c r="M56" i="4"/>
  <c r="N56" i="4" s="1"/>
  <c r="O56" i="4" s="1" a="1"/>
  <c r="P55" i="4" a="1"/>
  <c r="O57" i="1" s="1" a="1"/>
  <c r="AV55" i="4"/>
  <c r="AW55" i="4" s="1"/>
  <c r="AX55" i="4" s="1" a="1"/>
  <c r="AY54" i="4" a="1"/>
  <c r="AX56" i="1" s="1" a="1"/>
  <c r="X54" i="1" a="1"/>
  <c r="W54" i="1" a="1"/>
  <c r="D54" i="4"/>
  <c r="E54" i="4" s="1" a="1"/>
  <c r="C55" i="4" s="1"/>
  <c r="D55" i="4" s="1"/>
  <c r="E55" i="4" s="1" a="1"/>
  <c r="R53" i="4"/>
  <c r="U52" i="4" a="1"/>
  <c r="T54" i="1" s="1" a="1"/>
  <c r="AB55" i="4"/>
  <c r="AC55" i="4" s="1"/>
  <c r="AD55" i="4" s="1" a="1"/>
  <c r="AE54" i="4" a="1"/>
  <c r="AD56" i="1" s="1" a="1"/>
  <c r="AG53" i="4"/>
  <c r="AH53" i="4" s="1"/>
  <c r="AI53" i="4" s="1" a="1"/>
  <c r="AJ52" i="4" a="1"/>
  <c r="AI54" i="1" s="1" a="1"/>
  <c r="W53" i="4"/>
  <c r="X53" i="4" s="1"/>
  <c r="Y53" i="4" s="1" a="1"/>
  <c r="Z52" i="4" a="1"/>
  <c r="Y54" i="1" s="1" a="1"/>
  <c r="AQ55" i="1" a="1"/>
  <c r="C56" i="1" a="1"/>
  <c r="AM56" i="1" a="1"/>
  <c r="AQ54" i="4"/>
  <c r="AR54" i="4" s="1"/>
  <c r="AS54" i="4" s="1" a="1"/>
  <c r="AT53" i="4" a="1"/>
  <c r="AS55" i="1" s="1" a="1"/>
  <c r="AL55" i="4"/>
  <c r="AM55" i="4" s="1"/>
  <c r="AN55" i="4" s="1" a="1"/>
  <c r="AO54" i="4" a="1"/>
  <c r="AN56" i="1" s="1" a="1"/>
  <c r="H54" i="4"/>
  <c r="I54" i="4" s="1"/>
  <c r="J54" i="4" s="1" a="1"/>
  <c r="K53" i="4" a="1"/>
  <c r="J55" i="1" s="1" a="1"/>
  <c r="AM57" i="1" l="1" a="1"/>
  <c r="AL57" i="1" a="1"/>
  <c r="AW57" i="1" a="1"/>
  <c r="AV57" i="1" a="1"/>
  <c r="AB57" i="1" a="1"/>
  <c r="AR56" i="1" a="1"/>
  <c r="M58" i="1" a="1"/>
  <c r="AQ56" i="1" a="1"/>
  <c r="AG55" i="1" a="1"/>
  <c r="AC57" i="1" a="1"/>
  <c r="N58" i="1" a="1"/>
  <c r="I56" i="1" a="1"/>
  <c r="H56" i="1" a="1"/>
  <c r="AH55" i="1" a="1"/>
  <c r="S55" i="1" a="1"/>
  <c r="W55" i="1" a="1"/>
  <c r="X55" i="1" a="1"/>
  <c r="F54" i="4" a="1"/>
  <c r="E56" i="1" s="1" a="1"/>
  <c r="AV56" i="4"/>
  <c r="AW56" i="4" s="1"/>
  <c r="AX56" i="4" s="1" a="1"/>
  <c r="AY55" i="4" a="1"/>
  <c r="AX57" i="1" s="1" a="1"/>
  <c r="AQ55" i="4"/>
  <c r="AR55" i="4" s="1"/>
  <c r="AS55" i="4" s="1" a="1"/>
  <c r="AT54" i="4" a="1"/>
  <c r="AS56" i="1" s="1" a="1"/>
  <c r="R55" i="1" a="1"/>
  <c r="S53" i="4"/>
  <c r="T53" i="4" s="1" a="1"/>
  <c r="C56" i="4"/>
  <c r="F55" i="4" a="1"/>
  <c r="E57" i="1" s="1" a="1"/>
  <c r="W54" i="4"/>
  <c r="X54" i="4" s="1"/>
  <c r="Y54" i="4" s="1" a="1"/>
  <c r="Z53" i="4" a="1"/>
  <c r="Y55" i="1" s="1" a="1"/>
  <c r="H55" i="4"/>
  <c r="I55" i="4" s="1"/>
  <c r="J55" i="4" s="1" a="1"/>
  <c r="K54" i="4" a="1"/>
  <c r="J56" i="1" s="1" a="1"/>
  <c r="AG54" i="4"/>
  <c r="AH54" i="4" s="1"/>
  <c r="AI54" i="4" s="1" a="1"/>
  <c r="AJ53" i="4" a="1"/>
  <c r="AI55" i="1" s="1" a="1"/>
  <c r="AL56" i="4"/>
  <c r="AM56" i="4" s="1"/>
  <c r="AN56" i="4" s="1" a="1"/>
  <c r="AO55" i="4" a="1"/>
  <c r="AN57" i="1" s="1" a="1"/>
  <c r="AB56" i="4"/>
  <c r="AC56" i="4" s="1"/>
  <c r="AD56" i="4" s="1" a="1"/>
  <c r="AE55" i="4" a="1"/>
  <c r="AD57" i="1" s="1" a="1"/>
  <c r="M57" i="4"/>
  <c r="N57" i="4" s="1"/>
  <c r="O57" i="4" s="1" a="1"/>
  <c r="P56" i="4" a="1"/>
  <c r="O58" i="1" s="1" a="1"/>
  <c r="I57" i="1" l="1" a="1"/>
  <c r="H57" i="1" a="1"/>
  <c r="M59" i="1" a="1"/>
  <c r="D57" i="1" a="1"/>
  <c r="C57" i="1" a="1"/>
  <c r="N59" i="1" a="1"/>
  <c r="U53" i="4" a="1"/>
  <c r="T55" i="1" s="1" a="1"/>
  <c r="AG55" i="4"/>
  <c r="AH55" i="4" s="1"/>
  <c r="AI55" i="4" s="1" a="1"/>
  <c r="AJ54" i="4" a="1"/>
  <c r="AI56" i="1" s="1" a="1"/>
  <c r="AQ57" i="1" a="1"/>
  <c r="AR57" i="1" a="1"/>
  <c r="AQ56" i="4"/>
  <c r="AR56" i="4" s="1"/>
  <c r="AS56" i="4" s="1" a="1"/>
  <c r="AT55" i="4" a="1"/>
  <c r="AS57" i="1" s="1" a="1"/>
  <c r="H56" i="4"/>
  <c r="I56" i="4" s="1"/>
  <c r="J56" i="4" s="1" a="1"/>
  <c r="K55" i="4" a="1"/>
  <c r="J57" i="1" s="1" a="1"/>
  <c r="D56" i="4"/>
  <c r="E56" i="4" s="1" a="1"/>
  <c r="C57" i="4" s="1"/>
  <c r="AG56" i="1" a="1"/>
  <c r="M58" i="4"/>
  <c r="N58" i="4" s="1"/>
  <c r="O58" i="4" s="1" a="1"/>
  <c r="P57" i="4" a="1"/>
  <c r="O59" i="1" s="1" a="1"/>
  <c r="AV58" i="1" a="1"/>
  <c r="AB58" i="1" a="1"/>
  <c r="X56" i="1" a="1"/>
  <c r="AW58" i="1" a="1"/>
  <c r="AC58" i="1" a="1"/>
  <c r="W56" i="1" a="1"/>
  <c r="AV57" i="4"/>
  <c r="AW57" i="4" s="1"/>
  <c r="AX57" i="4" s="1" a="1"/>
  <c r="AY56" i="4" a="1"/>
  <c r="AX58" i="1" s="1" a="1"/>
  <c r="AH56" i="1" a="1"/>
  <c r="AB57" i="4"/>
  <c r="AC57" i="4" s="1"/>
  <c r="AD57" i="4" s="1" a="1"/>
  <c r="AE56" i="4" a="1"/>
  <c r="AD58" i="1" s="1" a="1"/>
  <c r="D58" i="1" a="1"/>
  <c r="AL57" i="4"/>
  <c r="AM57" i="4" s="1"/>
  <c r="AN57" i="4" s="1" a="1"/>
  <c r="AO56" i="4" a="1"/>
  <c r="AN58" i="1" s="1" a="1"/>
  <c r="R54" i="4"/>
  <c r="S54" i="4" s="1"/>
  <c r="T54" i="4" s="1" a="1"/>
  <c r="W55" i="4"/>
  <c r="X55" i="4" s="1"/>
  <c r="Y55" i="4" s="1" a="1"/>
  <c r="Z54" i="4" a="1"/>
  <c r="Y56" i="1" s="1" a="1"/>
  <c r="AL58" i="1" a="1"/>
  <c r="AM58" i="1" a="1"/>
  <c r="C58" i="1" a="1"/>
  <c r="AW59" i="1" l="1" a="1"/>
  <c r="AV59" i="1" a="1"/>
  <c r="S56" i="1" a="1"/>
  <c r="R56" i="1" a="1"/>
  <c r="D57" i="4"/>
  <c r="E57" i="4" s="1" a="1"/>
  <c r="C58" i="4" s="1"/>
  <c r="D58" i="4" s="1"/>
  <c r="E58" i="4" s="1" a="1"/>
  <c r="F56" i="4" a="1"/>
  <c r="E58" i="1" s="1" a="1"/>
  <c r="X57" i="1" a="1"/>
  <c r="H58" i="1" a="1"/>
  <c r="W57" i="1" a="1"/>
  <c r="I58" i="1" a="1"/>
  <c r="W56" i="4"/>
  <c r="X56" i="4" s="1"/>
  <c r="Y56" i="4" s="1" a="1"/>
  <c r="Z55" i="4" a="1"/>
  <c r="Y57" i="1" s="1" a="1"/>
  <c r="H57" i="4"/>
  <c r="I57" i="4" s="1"/>
  <c r="J57" i="4" s="1" a="1"/>
  <c r="K56" i="4" a="1"/>
  <c r="J58" i="1" s="1" a="1"/>
  <c r="R55" i="4"/>
  <c r="U54" i="4" a="1"/>
  <c r="T56" i="1" s="1" a="1"/>
  <c r="AQ58" i="1" a="1"/>
  <c r="AM59" i="1" a="1"/>
  <c r="AR58" i="1" a="1"/>
  <c r="AQ57" i="4"/>
  <c r="AR57" i="4" s="1"/>
  <c r="AS57" i="4" s="1" a="1"/>
  <c r="AT56" i="4" a="1"/>
  <c r="AS58" i="1" s="1" a="1"/>
  <c r="AL59" i="1" a="1"/>
  <c r="AL58" i="4"/>
  <c r="AO57" i="4" a="1"/>
  <c r="AN59" i="1" s="1" a="1"/>
  <c r="AV58" i="4"/>
  <c r="AW58" i="4" s="1"/>
  <c r="AX58" i="4" s="1" a="1"/>
  <c r="AY57" i="4" a="1"/>
  <c r="AX59" i="1" s="1" a="1"/>
  <c r="N60" i="1" a="1"/>
  <c r="AB59" i="1" a="1"/>
  <c r="M60" i="1" a="1"/>
  <c r="AH57" i="1" a="1"/>
  <c r="AC59" i="1" a="1"/>
  <c r="AG57" i="1" a="1"/>
  <c r="M59" i="4"/>
  <c r="N59" i="4" s="1"/>
  <c r="O59" i="4" s="1" a="1"/>
  <c r="P58" i="4" a="1"/>
  <c r="O60" i="1" s="1" a="1"/>
  <c r="AB58" i="4"/>
  <c r="AC58" i="4" s="1"/>
  <c r="AD58" i="4" s="1" a="1"/>
  <c r="AE57" i="4" a="1"/>
  <c r="AD59" i="1" s="1" a="1"/>
  <c r="AG56" i="4"/>
  <c r="AH56" i="4" s="1"/>
  <c r="AI56" i="4" s="1" a="1"/>
  <c r="AJ55" i="4" a="1"/>
  <c r="AI57" i="1" s="1" a="1"/>
  <c r="D59" i="1" l="1" a="1"/>
  <c r="AC60" i="1" a="1"/>
  <c r="M61" i="1" a="1"/>
  <c r="AB60" i="1" a="1"/>
  <c r="AV60" i="1" a="1"/>
  <c r="R57" i="1" a="1"/>
  <c r="AB59" i="4"/>
  <c r="AC59" i="4" s="1"/>
  <c r="AD59" i="4" s="1" a="1"/>
  <c r="AE58" i="4" a="1"/>
  <c r="AD60" i="1" s="1" a="1"/>
  <c r="AL60" i="1" a="1"/>
  <c r="H59" i="1" a="1"/>
  <c r="N61" i="1" a="1"/>
  <c r="AM58" i="4"/>
  <c r="AN58" i="4" s="1" a="1"/>
  <c r="AL59" i="4" s="1"/>
  <c r="AM59" i="4" s="1"/>
  <c r="AN59" i="4" s="1" a="1"/>
  <c r="H58" i="4"/>
  <c r="I58" i="4" s="1"/>
  <c r="J58" i="4" s="1" a="1"/>
  <c r="K57" i="4" a="1"/>
  <c r="J59" i="1" s="1" a="1"/>
  <c r="X58" i="1" a="1"/>
  <c r="AG58" i="1" a="1"/>
  <c r="M60" i="4"/>
  <c r="N60" i="4" s="1"/>
  <c r="O60" i="4" s="1" a="1"/>
  <c r="P59" i="4" a="1"/>
  <c r="O61" i="1" s="1" a="1"/>
  <c r="AQ59" i="1" a="1"/>
  <c r="W58" i="1" a="1"/>
  <c r="AR59" i="1" a="1"/>
  <c r="W57" i="4"/>
  <c r="X57" i="4" s="1"/>
  <c r="Y57" i="4" s="1" a="1"/>
  <c r="Z56" i="4" a="1"/>
  <c r="Y58" i="1" s="1" a="1"/>
  <c r="AQ58" i="4"/>
  <c r="AR58" i="4" s="1"/>
  <c r="AS58" i="4" s="1" a="1"/>
  <c r="AT57" i="4" a="1"/>
  <c r="AS59" i="1" s="1" a="1"/>
  <c r="AH58" i="1" a="1"/>
  <c r="AG57" i="4"/>
  <c r="AH57" i="4" s="1"/>
  <c r="AI57" i="4" s="1" a="1"/>
  <c r="AJ56" i="4" a="1"/>
  <c r="AI58" i="1" s="1" a="1"/>
  <c r="AW60" i="1" a="1"/>
  <c r="S57" i="1" a="1"/>
  <c r="C59" i="1" a="1"/>
  <c r="C59" i="4"/>
  <c r="D59" i="4" s="1"/>
  <c r="E59" i="4" s="1" a="1"/>
  <c r="F58" i="4" a="1"/>
  <c r="E60" i="1" s="1" a="1"/>
  <c r="AV59" i="4"/>
  <c r="AW59" i="4" s="1"/>
  <c r="AX59" i="4" s="1" a="1"/>
  <c r="AY58" i="4" a="1"/>
  <c r="AX60" i="1" s="1" a="1"/>
  <c r="S55" i="4"/>
  <c r="T55" i="4" s="1" a="1"/>
  <c r="AM60" i="1" a="1"/>
  <c r="I59" i="1" a="1"/>
  <c r="F57" i="4" a="1"/>
  <c r="E59" i="1" s="1" a="1"/>
  <c r="M62" i="1" l="1" a="1"/>
  <c r="N62" i="1" a="1"/>
  <c r="C61" i="1" a="1"/>
  <c r="AB61" i="1" a="1"/>
  <c r="X59" i="1" a="1"/>
  <c r="D60" i="1" a="1"/>
  <c r="AC61" i="1" a="1"/>
  <c r="W59" i="1" a="1"/>
  <c r="AH59" i="1" a="1"/>
  <c r="D61" i="1" a="1"/>
  <c r="C60" i="1" a="1"/>
  <c r="AG59" i="1" a="1"/>
  <c r="AV60" i="4"/>
  <c r="AW60" i="4" s="1"/>
  <c r="AX60" i="4" s="1" a="1"/>
  <c r="AY59" i="4" a="1"/>
  <c r="AX61" i="1" s="1" a="1"/>
  <c r="AO58" i="4" a="1"/>
  <c r="AN60" i="1" s="1" a="1"/>
  <c r="W58" i="4"/>
  <c r="X58" i="4" s="1"/>
  <c r="Y58" i="4" s="1" a="1"/>
  <c r="Z57" i="4" a="1"/>
  <c r="Y59" i="1" s="1" a="1"/>
  <c r="U55" i="4" a="1"/>
  <c r="T57" i="1" s="1" a="1"/>
  <c r="AB60" i="4"/>
  <c r="AC60" i="4" s="1"/>
  <c r="AD60" i="4" s="1" a="1"/>
  <c r="AE59" i="4" a="1"/>
  <c r="AD61" i="1" s="1" a="1"/>
  <c r="R56" i="4"/>
  <c r="S56" i="4" s="1"/>
  <c r="T56" i="4" s="1" a="1"/>
  <c r="AG58" i="4"/>
  <c r="AJ57" i="4" a="1"/>
  <c r="AI59" i="1" s="1" a="1"/>
  <c r="M61" i="4"/>
  <c r="N61" i="4" s="1"/>
  <c r="O61" i="4" s="1" a="1"/>
  <c r="P60" i="4" a="1"/>
  <c r="O62" i="1" s="1" a="1"/>
  <c r="AW61" i="1" a="1"/>
  <c r="AQ60" i="1" a="1"/>
  <c r="AV61" i="1" a="1"/>
  <c r="AR60" i="1" a="1"/>
  <c r="I60" i="1" a="1"/>
  <c r="AQ59" i="4"/>
  <c r="AR59" i="4" s="1"/>
  <c r="AS59" i="4" s="1" a="1"/>
  <c r="AT58" i="4" a="1"/>
  <c r="AS60" i="1" s="1" a="1"/>
  <c r="H59" i="4"/>
  <c r="I59" i="4" s="1"/>
  <c r="J59" i="4" s="1" a="1"/>
  <c r="K58" i="4" a="1"/>
  <c r="J60" i="1" s="1" a="1"/>
  <c r="AL60" i="4"/>
  <c r="AM60" i="4" s="1"/>
  <c r="AN60" i="4" s="1" a="1"/>
  <c r="AO59" i="4" a="1"/>
  <c r="AN61" i="1" s="1" a="1"/>
  <c r="C60" i="4"/>
  <c r="F59" i="4" a="1"/>
  <c r="E61" i="1" s="1" a="1"/>
  <c r="H60" i="1" a="1"/>
  <c r="AH60" i="1" l="1" a="1"/>
  <c r="AG60" i="1" a="1"/>
  <c r="I61" i="1" a="1"/>
  <c r="H61" i="1" a="1"/>
  <c r="W60" i="1" a="1"/>
  <c r="AM61" i="1" a="1"/>
  <c r="M63" i="1" a="1"/>
  <c r="AL61" i="1" a="1"/>
  <c r="AL62" i="1" a="1"/>
  <c r="AR61" i="1" a="1"/>
  <c r="AQ61" i="1" a="1"/>
  <c r="AB62" i="1" a="1"/>
  <c r="N63" i="1" a="1"/>
  <c r="C62" i="1" a="1"/>
  <c r="X60" i="1" a="1"/>
  <c r="AV62" i="1" a="1"/>
  <c r="AM62" i="1" a="1"/>
  <c r="AW62" i="1" a="1"/>
  <c r="AL61" i="4"/>
  <c r="AM61" i="4" s="1"/>
  <c r="AN61" i="4" s="1" a="1"/>
  <c r="AO60" i="4" a="1"/>
  <c r="AN62" i="1" s="1" a="1"/>
  <c r="M62" i="4"/>
  <c r="N62" i="4" s="1"/>
  <c r="O62" i="4" s="1" a="1"/>
  <c r="P61" i="4" a="1"/>
  <c r="O63" i="1" s="1" a="1"/>
  <c r="D62" i="1" a="1"/>
  <c r="H60" i="4"/>
  <c r="I60" i="4" s="1"/>
  <c r="J60" i="4" s="1" a="1"/>
  <c r="K59" i="4" a="1"/>
  <c r="J61" i="1" s="1" a="1"/>
  <c r="R58" i="1" a="1"/>
  <c r="W59" i="4"/>
  <c r="X59" i="4" s="1"/>
  <c r="Y59" i="4" s="1" a="1"/>
  <c r="Z58" i="4" a="1"/>
  <c r="Y60" i="1" s="1" a="1"/>
  <c r="AH58" i="4"/>
  <c r="AI58" i="4" s="1" a="1"/>
  <c r="AG59" i="4" s="1"/>
  <c r="AB61" i="4"/>
  <c r="AC61" i="4" s="1"/>
  <c r="AD61" i="4" s="1" a="1"/>
  <c r="AE60" i="4" a="1"/>
  <c r="AD62" i="1" s="1" a="1"/>
  <c r="D60" i="4"/>
  <c r="E60" i="4" s="1" a="1"/>
  <c r="C61" i="4" s="1"/>
  <c r="S58" i="1" a="1"/>
  <c r="R57" i="4"/>
  <c r="S57" i="4" s="1"/>
  <c r="T57" i="4" s="1" a="1"/>
  <c r="U56" i="4" a="1"/>
  <c r="T58" i="1" s="1" a="1"/>
  <c r="AQ60" i="4"/>
  <c r="AR60" i="4" s="1"/>
  <c r="AS60" i="4" s="1" a="1"/>
  <c r="AT59" i="4" a="1"/>
  <c r="AS61" i="1" s="1" a="1"/>
  <c r="AC62" i="1" a="1"/>
  <c r="AV61" i="4"/>
  <c r="AW61" i="4" s="1"/>
  <c r="AX61" i="4" s="1" a="1"/>
  <c r="AY60" i="4" a="1"/>
  <c r="AX62" i="1" s="1" a="1"/>
  <c r="R59" i="1" l="1" a="1"/>
  <c r="X61" i="1" a="1"/>
  <c r="W61" i="1" a="1"/>
  <c r="AL63" i="1" a="1"/>
  <c r="D61" i="4"/>
  <c r="E61" i="4" s="1" a="1"/>
  <c r="C62" i="4" s="1"/>
  <c r="AH59" i="4"/>
  <c r="AI59" i="4" s="1" a="1"/>
  <c r="AG60" i="4" s="1"/>
  <c r="AH60" i="4" s="1"/>
  <c r="AI60" i="4" s="1" a="1"/>
  <c r="AR62" i="1" a="1"/>
  <c r="AQ61" i="4"/>
  <c r="AR61" i="4" s="1"/>
  <c r="AS61" i="4" s="1" a="1"/>
  <c r="AT60" i="4" a="1"/>
  <c r="AS62" i="1" s="1" a="1"/>
  <c r="W60" i="4"/>
  <c r="X60" i="4" s="1"/>
  <c r="Y60" i="4" s="1" a="1"/>
  <c r="Z59" i="4" a="1"/>
  <c r="Y61" i="1" s="1" a="1"/>
  <c r="S59" i="1" a="1"/>
  <c r="H62" i="1" a="1"/>
  <c r="I62" i="1" a="1"/>
  <c r="H61" i="4"/>
  <c r="I61" i="4" s="1"/>
  <c r="J61" i="4" s="1" a="1"/>
  <c r="K60" i="4" a="1"/>
  <c r="J62" i="1" s="1" a="1"/>
  <c r="R58" i="4"/>
  <c r="S58" i="4" s="1"/>
  <c r="T58" i="4" s="1" a="1"/>
  <c r="U57" i="4" a="1"/>
  <c r="T59" i="1" s="1" a="1"/>
  <c r="M64" i="1" a="1"/>
  <c r="AV62" i="4"/>
  <c r="AW62" i="4" s="1"/>
  <c r="AX62" i="4" s="1" a="1"/>
  <c r="AY61" i="4" a="1"/>
  <c r="AX63" i="1" s="1" a="1"/>
  <c r="F60" i="4" a="1"/>
  <c r="E62" i="1" s="1" a="1"/>
  <c r="AW63" i="1" a="1"/>
  <c r="AC63" i="1" a="1"/>
  <c r="AV63" i="1" a="1"/>
  <c r="AB63" i="1" a="1"/>
  <c r="N64" i="1" a="1"/>
  <c r="M63" i="4"/>
  <c r="N63" i="4" s="1"/>
  <c r="O63" i="4" s="1" a="1"/>
  <c r="P62" i="4" a="1"/>
  <c r="O64" i="1" s="1" a="1"/>
  <c r="AJ58" i="4" a="1"/>
  <c r="AI60" i="1" s="1" a="1"/>
  <c r="AM63" i="1" a="1"/>
  <c r="AB62" i="4"/>
  <c r="AC62" i="4" s="1"/>
  <c r="AD62" i="4" s="1" a="1"/>
  <c r="AE61" i="4" a="1"/>
  <c r="AD63" i="1" s="1" a="1"/>
  <c r="AQ62" i="1" a="1"/>
  <c r="AL62" i="4"/>
  <c r="AM62" i="4" s="1"/>
  <c r="AN62" i="4" s="1" a="1"/>
  <c r="AO61" i="4" a="1"/>
  <c r="AN63" i="1" s="1" a="1"/>
  <c r="AV64" i="1" l="1" a="1"/>
  <c r="W62" i="1" a="1"/>
  <c r="X62" i="1" a="1"/>
  <c r="I63" i="1" a="1"/>
  <c r="AR63" i="1" a="1"/>
  <c r="AW64" i="1" a="1"/>
  <c r="N65" i="1" a="1"/>
  <c r="D63" i="1" a="1"/>
  <c r="AC64" i="1" a="1"/>
  <c r="AH61" i="1" a="1"/>
  <c r="H63" i="1" a="1"/>
  <c r="AG61" i="1" a="1"/>
  <c r="S60" i="1" a="1"/>
  <c r="AM64" i="1" a="1"/>
  <c r="AL64" i="1" a="1"/>
  <c r="R60" i="1" a="1"/>
  <c r="M64" i="4"/>
  <c r="N64" i="4" s="1"/>
  <c r="O64" i="4" s="1" a="1"/>
  <c r="P63" i="4" a="1"/>
  <c r="O65" i="1" s="1" a="1"/>
  <c r="AQ62" i="4"/>
  <c r="AR62" i="4" s="1"/>
  <c r="AS62" i="4" s="1" a="1"/>
  <c r="AT61" i="4" a="1"/>
  <c r="AS63" i="1" s="1" a="1"/>
  <c r="AG61" i="4"/>
  <c r="AH61" i="4" s="1"/>
  <c r="AI61" i="4" s="1" a="1"/>
  <c r="AJ60" i="4" a="1"/>
  <c r="AI62" i="1" s="1" a="1"/>
  <c r="D62" i="4"/>
  <c r="E62" i="4" s="1" a="1"/>
  <c r="C63" i="4" s="1"/>
  <c r="H62" i="4"/>
  <c r="I62" i="4" s="1"/>
  <c r="J62" i="4" s="1" a="1"/>
  <c r="K61" i="4" a="1"/>
  <c r="J63" i="1" s="1" a="1"/>
  <c r="F61" i="4" a="1"/>
  <c r="E63" i="1" s="1" a="1"/>
  <c r="AB64" i="1" a="1"/>
  <c r="C63" i="1" a="1"/>
  <c r="R59" i="4"/>
  <c r="U58" i="4" a="1"/>
  <c r="T60" i="1" s="1" a="1"/>
  <c r="AL63" i="4"/>
  <c r="AM63" i="4" s="1"/>
  <c r="AN63" i="4" s="1" a="1"/>
  <c r="AO62" i="4" a="1"/>
  <c r="AN64" i="1" s="1" a="1"/>
  <c r="AJ59" i="4" a="1"/>
  <c r="AI61" i="1" s="1" a="1"/>
  <c r="AB63" i="4"/>
  <c r="AC63" i="4" s="1"/>
  <c r="AD63" i="4" s="1" a="1"/>
  <c r="AE62" i="4" a="1"/>
  <c r="AD64" i="1" s="1" a="1"/>
  <c r="AV63" i="4"/>
  <c r="AW63" i="4" s="1"/>
  <c r="AX63" i="4" s="1" a="1"/>
  <c r="AY62" i="4" a="1"/>
  <c r="AX64" i="1" s="1" a="1"/>
  <c r="W61" i="4"/>
  <c r="X61" i="4" s="1"/>
  <c r="Y61" i="4" s="1" a="1"/>
  <c r="Z60" i="4" a="1"/>
  <c r="Y62" i="1" s="1" a="1"/>
  <c r="M65" i="1" a="1"/>
  <c r="AQ63" i="1" a="1"/>
  <c r="AW65" i="1" l="1" a="1"/>
  <c r="W63" i="1" a="1"/>
  <c r="D64" i="1" a="1"/>
  <c r="AB65" i="1" a="1"/>
  <c r="AC65" i="1" a="1"/>
  <c r="AH63" i="1" a="1"/>
  <c r="AM65" i="1" a="1"/>
  <c r="AV65" i="1" a="1"/>
  <c r="D63" i="4"/>
  <c r="E63" i="4" s="1" a="1"/>
  <c r="C64" i="4" s="1"/>
  <c r="D64" i="4" s="1"/>
  <c r="E64" i="4" s="1" a="1"/>
  <c r="H63" i="4"/>
  <c r="I63" i="4" s="1"/>
  <c r="J63" i="4" s="1" a="1"/>
  <c r="K62" i="4" a="1"/>
  <c r="J64" i="1" s="1" a="1"/>
  <c r="X63" i="1" a="1"/>
  <c r="AL65" i="1" a="1"/>
  <c r="F62" i="4" a="1"/>
  <c r="E64" i="1" s="1" a="1"/>
  <c r="AL64" i="4"/>
  <c r="AM64" i="4" s="1"/>
  <c r="AN64" i="4" s="1" a="1"/>
  <c r="AO63" i="4" a="1"/>
  <c r="AN65" i="1" s="1" a="1"/>
  <c r="AG63" i="1" a="1"/>
  <c r="S61" i="1" a="1"/>
  <c r="AG62" i="4"/>
  <c r="AH62" i="4" s="1"/>
  <c r="AI62" i="4" s="1" a="1"/>
  <c r="AJ61" i="4" a="1"/>
  <c r="AI63" i="1" s="1" a="1"/>
  <c r="W62" i="4"/>
  <c r="X62" i="4" s="1"/>
  <c r="Y62" i="4" s="1" a="1"/>
  <c r="Z61" i="4" a="1"/>
  <c r="Y63" i="1" s="1" a="1"/>
  <c r="R61" i="1" a="1"/>
  <c r="S59" i="4"/>
  <c r="T59" i="4" s="1" a="1"/>
  <c r="R60" i="4" s="1"/>
  <c r="S60" i="4" s="1"/>
  <c r="T60" i="4" s="1" a="1"/>
  <c r="AQ64" i="1" a="1"/>
  <c r="AV64" i="4"/>
  <c r="AW64" i="4" s="1"/>
  <c r="AX64" i="4" s="1" a="1"/>
  <c r="AY63" i="4" a="1"/>
  <c r="AX65" i="1" s="1" a="1"/>
  <c r="AR64" i="1" a="1"/>
  <c r="AQ63" i="4"/>
  <c r="AR63" i="4" s="1"/>
  <c r="AS63" i="4" s="1" a="1"/>
  <c r="AT62" i="4" a="1"/>
  <c r="AS64" i="1" s="1" a="1"/>
  <c r="C64" i="1" a="1"/>
  <c r="N66" i="1" a="1"/>
  <c r="AB64" i="4"/>
  <c r="AC64" i="4" s="1"/>
  <c r="AD64" i="4" s="1" a="1"/>
  <c r="AE63" i="4" a="1"/>
  <c r="AD65" i="1" s="1" a="1"/>
  <c r="M66" i="1" a="1"/>
  <c r="AH62" i="1" a="1"/>
  <c r="H64" i="1" a="1"/>
  <c r="AG62" i="1" a="1"/>
  <c r="I64" i="1" a="1"/>
  <c r="M65" i="4"/>
  <c r="N65" i="4" s="1"/>
  <c r="O65" i="4" s="1" a="1"/>
  <c r="P64" i="4" a="1"/>
  <c r="O66" i="1" s="1" a="1"/>
  <c r="N67" i="1" l="1" a="1"/>
  <c r="M67" i="1" a="1"/>
  <c r="AG64" i="1" a="1"/>
  <c r="AM66" i="1" a="1"/>
  <c r="AQ65" i="1" a="1"/>
  <c r="AH64" i="1" a="1"/>
  <c r="AR65" i="1" a="1"/>
  <c r="AC66" i="1" a="1"/>
  <c r="H65" i="1" a="1"/>
  <c r="X64" i="1" a="1"/>
  <c r="C65" i="1" a="1"/>
  <c r="D65" i="1" a="1"/>
  <c r="W64" i="1" a="1"/>
  <c r="AB66" i="1" a="1"/>
  <c r="I65" i="1" a="1"/>
  <c r="R61" i="4"/>
  <c r="S61" i="4" s="1"/>
  <c r="T61" i="4" s="1" a="1"/>
  <c r="U60" i="4" a="1"/>
  <c r="T62" i="1" s="1" a="1"/>
  <c r="AQ64" i="4"/>
  <c r="AR64" i="4" s="1"/>
  <c r="AS64" i="4" s="1" a="1"/>
  <c r="AT63" i="4" a="1"/>
  <c r="AS65" i="1" s="1" a="1"/>
  <c r="M66" i="4"/>
  <c r="N66" i="4" s="1"/>
  <c r="O66" i="4" s="1" a="1"/>
  <c r="P65" i="4" a="1"/>
  <c r="O67" i="1" s="1" a="1"/>
  <c r="AG63" i="4"/>
  <c r="AH63" i="4" s="1"/>
  <c r="AI63" i="4" s="1" a="1"/>
  <c r="AJ62" i="4" a="1"/>
  <c r="AI64" i="1" s="1" a="1"/>
  <c r="C65" i="4"/>
  <c r="D65" i="4" s="1"/>
  <c r="E65" i="4" s="1" a="1"/>
  <c r="F64" i="4" a="1"/>
  <c r="E66" i="1" s="1" a="1"/>
  <c r="AW66" i="1" a="1"/>
  <c r="AV66" i="1" a="1"/>
  <c r="AB65" i="4"/>
  <c r="AC65" i="4" s="1"/>
  <c r="AD65" i="4" s="1" a="1"/>
  <c r="AE64" i="4" a="1"/>
  <c r="AD66" i="1" s="1" a="1"/>
  <c r="AV65" i="4"/>
  <c r="AW65" i="4" s="1"/>
  <c r="AX65" i="4" s="1" a="1"/>
  <c r="AY64" i="4" a="1"/>
  <c r="AX66" i="1" s="1" a="1"/>
  <c r="AL66" i="1" a="1"/>
  <c r="U59" i="4" a="1"/>
  <c r="T61" i="1" s="1" a="1"/>
  <c r="W63" i="4"/>
  <c r="X63" i="4" s="1"/>
  <c r="Y63" i="4" s="1" a="1"/>
  <c r="Z62" i="4" a="1"/>
  <c r="Y64" i="1" s="1" a="1"/>
  <c r="H64" i="4"/>
  <c r="I64" i="4" s="1"/>
  <c r="J64" i="4" s="1" a="1"/>
  <c r="K63" i="4" a="1"/>
  <c r="J65" i="1" s="1" a="1"/>
  <c r="AL65" i="4"/>
  <c r="AO64" i="4" a="1"/>
  <c r="AN66" i="1" s="1" a="1"/>
  <c r="F63" i="4" a="1"/>
  <c r="E65" i="1" s="1" a="1"/>
  <c r="D66" i="1" l="1" a="1"/>
  <c r="C66" i="1" a="1"/>
  <c r="M68" i="1" a="1"/>
  <c r="AG65" i="1" a="1"/>
  <c r="R62" i="1" a="1"/>
  <c r="AH65" i="1" a="1"/>
  <c r="AL67" i="1" a="1"/>
  <c r="AV67" i="1" a="1"/>
  <c r="X65" i="1" a="1"/>
  <c r="AM67" i="1" a="1"/>
  <c r="AW67" i="1" a="1"/>
  <c r="AG64" i="4"/>
  <c r="AH64" i="4" s="1"/>
  <c r="AI64" i="4" s="1" a="1"/>
  <c r="AJ63" i="4" a="1"/>
  <c r="AI65" i="1" s="1" a="1"/>
  <c r="AV66" i="4"/>
  <c r="AW66" i="4" s="1"/>
  <c r="AX66" i="4" s="1" a="1"/>
  <c r="AY65" i="4" a="1"/>
  <c r="AX67" i="1" s="1" a="1"/>
  <c r="N68" i="1" a="1"/>
  <c r="AM65" i="4"/>
  <c r="AN65" i="4" s="1" a="1"/>
  <c r="I66" i="1" a="1"/>
  <c r="AB67" i="1" a="1"/>
  <c r="H66" i="1" a="1"/>
  <c r="AC67" i="1" a="1"/>
  <c r="M67" i="4"/>
  <c r="N67" i="4" s="1"/>
  <c r="O67" i="4" s="1" a="1"/>
  <c r="P66" i="4" a="1"/>
  <c r="O68" i="1" s="1" a="1"/>
  <c r="AQ66" i="1" a="1"/>
  <c r="AB66" i="4"/>
  <c r="AC66" i="4" s="1"/>
  <c r="AD66" i="4" s="1" a="1"/>
  <c r="AE65" i="4" a="1"/>
  <c r="AD67" i="1" s="1" a="1"/>
  <c r="AR66" i="1" a="1"/>
  <c r="H65" i="4"/>
  <c r="I65" i="4" s="1"/>
  <c r="J65" i="4" s="1" a="1"/>
  <c r="K64" i="4" a="1"/>
  <c r="J66" i="1" s="1" a="1"/>
  <c r="W65" i="1" a="1"/>
  <c r="AQ65" i="4"/>
  <c r="AR65" i="4" s="1"/>
  <c r="AS65" i="4" s="1" a="1"/>
  <c r="AT64" i="4" a="1"/>
  <c r="AS66" i="1" s="1" a="1"/>
  <c r="C67" i="1" a="1"/>
  <c r="R63" i="1" a="1"/>
  <c r="W64" i="4"/>
  <c r="X64" i="4" s="1"/>
  <c r="Y64" i="4" s="1" a="1"/>
  <c r="Z63" i="4" a="1"/>
  <c r="Y65" i="1" s="1" a="1"/>
  <c r="D67" i="1" a="1"/>
  <c r="S63" i="1" a="1"/>
  <c r="S62" i="1" a="1"/>
  <c r="C66" i="4"/>
  <c r="D66" i="4" s="1"/>
  <c r="E66" i="4" s="1" a="1"/>
  <c r="F65" i="4" a="1"/>
  <c r="E67" i="1" s="1" a="1"/>
  <c r="R62" i="4"/>
  <c r="S62" i="4" s="1"/>
  <c r="T62" i="4" s="1" a="1"/>
  <c r="U61" i="4" a="1"/>
  <c r="T63" i="1" s="1" a="1"/>
  <c r="AV68" i="1" l="1" a="1"/>
  <c r="W66" i="1" a="1"/>
  <c r="AR67" i="1" a="1"/>
  <c r="X66" i="1" a="1"/>
  <c r="AQ67" i="1" a="1"/>
  <c r="AB68" i="1" a="1"/>
  <c r="AC68" i="1" a="1"/>
  <c r="H67" i="1" a="1"/>
  <c r="AW68" i="1" a="1"/>
  <c r="AG66" i="1" a="1"/>
  <c r="N69" i="1" a="1"/>
  <c r="C68" i="1" a="1"/>
  <c r="I67" i="1" a="1"/>
  <c r="AO65" i="4" a="1"/>
  <c r="AN67" i="1" s="1" a="1"/>
  <c r="AB67" i="4"/>
  <c r="AC67" i="4" s="1"/>
  <c r="AD67" i="4" s="1" a="1"/>
  <c r="AE66" i="4" a="1"/>
  <c r="AD68" i="1" s="1" a="1"/>
  <c r="AV67" i="4"/>
  <c r="AW67" i="4" s="1"/>
  <c r="AX67" i="4" s="1" a="1"/>
  <c r="AY66" i="4" a="1"/>
  <c r="AX68" i="1" s="1" a="1"/>
  <c r="AH66" i="1" a="1"/>
  <c r="H66" i="4"/>
  <c r="I66" i="4" s="1"/>
  <c r="J66" i="4" s="1" a="1"/>
  <c r="K65" i="4" a="1"/>
  <c r="J67" i="1" s="1" a="1"/>
  <c r="S64" i="1" a="1"/>
  <c r="M69" i="1" a="1"/>
  <c r="AG65" i="4"/>
  <c r="AH65" i="4" s="1"/>
  <c r="AI65" i="4" s="1" a="1"/>
  <c r="AJ64" i="4" a="1"/>
  <c r="AI66" i="1" s="1" a="1"/>
  <c r="W65" i="4"/>
  <c r="X65" i="4" s="1"/>
  <c r="Y65" i="4" s="1" a="1"/>
  <c r="Z64" i="4" a="1"/>
  <c r="Y66" i="1" s="1" a="1"/>
  <c r="R64" i="1" a="1"/>
  <c r="M68" i="4"/>
  <c r="N68" i="4" s="1"/>
  <c r="O68" i="4" s="1" a="1"/>
  <c r="P67" i="4" a="1"/>
  <c r="O69" i="1" s="1" a="1"/>
  <c r="D68" i="1" a="1"/>
  <c r="AQ66" i="4"/>
  <c r="AR66" i="4" s="1"/>
  <c r="AS66" i="4" s="1" a="1"/>
  <c r="AT65" i="4" a="1"/>
  <c r="AS67" i="1" s="1" a="1"/>
  <c r="R63" i="4"/>
  <c r="S63" i="4" s="1"/>
  <c r="T63" i="4" s="1" a="1"/>
  <c r="U62" i="4" a="1"/>
  <c r="T64" i="1" s="1" a="1"/>
  <c r="C67" i="4"/>
  <c r="D67" i="4" s="1"/>
  <c r="E67" i="4" s="1" a="1"/>
  <c r="F66" i="4" a="1"/>
  <c r="E68" i="1" s="1" a="1"/>
  <c r="AL66" i="4"/>
  <c r="AM66" i="4" s="1"/>
  <c r="AN66" i="4" s="1" a="1"/>
  <c r="AL68" i="1" l="1" a="1"/>
  <c r="AM68" i="1" a="1"/>
  <c r="X67" i="1" a="1"/>
  <c r="D69" i="1" a="1"/>
  <c r="AR68" i="1" a="1"/>
  <c r="M70" i="1" a="1"/>
  <c r="AC69" i="1" a="1"/>
  <c r="H68" i="1" a="1"/>
  <c r="C69" i="1" a="1"/>
  <c r="AB69" i="1" a="1"/>
  <c r="W67" i="1" a="1"/>
  <c r="AQ67" i="4"/>
  <c r="AR67" i="4" s="1"/>
  <c r="AS67" i="4" s="1" a="1"/>
  <c r="AT66" i="4" a="1"/>
  <c r="AS68" i="1" s="1" a="1"/>
  <c r="I68" i="1" a="1"/>
  <c r="H67" i="4"/>
  <c r="K66" i="4" a="1"/>
  <c r="J68" i="1" s="1" a="1"/>
  <c r="AV69" i="1" a="1"/>
  <c r="AL67" i="4"/>
  <c r="AM67" i="4" s="1"/>
  <c r="AN67" i="4" s="1" a="1"/>
  <c r="AO66" i="4" a="1"/>
  <c r="AN68" i="1" s="1" a="1"/>
  <c r="AW69" i="1" a="1"/>
  <c r="N70" i="1" a="1"/>
  <c r="M69" i="4"/>
  <c r="N69" i="4" s="1"/>
  <c r="O69" i="4" s="1" a="1"/>
  <c r="P68" i="4" a="1"/>
  <c r="O70" i="1" s="1" a="1"/>
  <c r="C68" i="4"/>
  <c r="D68" i="4" s="1"/>
  <c r="E68" i="4" s="1" a="1"/>
  <c r="F67" i="4" a="1"/>
  <c r="E69" i="1" s="1" a="1"/>
  <c r="S65" i="1" a="1"/>
  <c r="AV68" i="4"/>
  <c r="AW68" i="4" s="1"/>
  <c r="AX68" i="4" s="1" a="1"/>
  <c r="AY67" i="4" a="1"/>
  <c r="AX69" i="1" s="1" a="1"/>
  <c r="R65" i="1" a="1"/>
  <c r="W66" i="4"/>
  <c r="X66" i="4" s="1"/>
  <c r="Y66" i="4" s="1" a="1"/>
  <c r="Z65" i="4" a="1"/>
  <c r="Y67" i="1" s="1" a="1"/>
  <c r="AH67" i="1" a="1"/>
  <c r="R64" i="4"/>
  <c r="U63" i="4" a="1"/>
  <c r="T65" i="1" s="1" a="1"/>
  <c r="AG67" i="1" a="1"/>
  <c r="AQ68" i="1" a="1"/>
  <c r="AB68" i="4"/>
  <c r="AC68" i="4" s="1"/>
  <c r="AD68" i="4" s="1" a="1"/>
  <c r="AE67" i="4" a="1"/>
  <c r="AD69" i="1" s="1" a="1"/>
  <c r="AG66" i="4"/>
  <c r="AH66" i="4" s="1"/>
  <c r="AI66" i="4" s="1" a="1"/>
  <c r="AJ65" i="4" a="1"/>
  <c r="AI67" i="1" s="1" a="1"/>
  <c r="W68" i="1" l="1" a="1"/>
  <c r="AV70" i="1" a="1"/>
  <c r="D70" i="1" a="1"/>
  <c r="AC70" i="1" a="1"/>
  <c r="R66" i="1" a="1"/>
  <c r="AG68" i="1" a="1"/>
  <c r="AM69" i="1" a="1"/>
  <c r="AG67" i="4"/>
  <c r="AH67" i="4" s="1"/>
  <c r="AI67" i="4" s="1" a="1"/>
  <c r="AJ66" i="4" a="1"/>
  <c r="AI68" i="1" s="1" a="1"/>
  <c r="AB70" i="1" a="1"/>
  <c r="AW70" i="1" a="1"/>
  <c r="AL69" i="1" a="1"/>
  <c r="AL68" i="4"/>
  <c r="AM68" i="4" s="1"/>
  <c r="AN68" i="4" s="1" a="1"/>
  <c r="AO67" i="4" a="1"/>
  <c r="AN69" i="1" s="1" a="1"/>
  <c r="AV69" i="4"/>
  <c r="AW69" i="4" s="1"/>
  <c r="AX69" i="4" s="1" a="1"/>
  <c r="AY68" i="4" a="1"/>
  <c r="AX70" i="1" s="1" a="1"/>
  <c r="H69" i="1" a="1"/>
  <c r="C70" i="1" a="1"/>
  <c r="I69" i="1" a="1"/>
  <c r="AB69" i="4"/>
  <c r="AC69" i="4" s="1"/>
  <c r="AD69" i="4" s="1" a="1"/>
  <c r="AE68" i="4" a="1"/>
  <c r="AD70" i="1" s="1" a="1"/>
  <c r="I67" i="4"/>
  <c r="J67" i="4" s="1" a="1"/>
  <c r="H68" i="4" s="1"/>
  <c r="I68" i="4" s="1"/>
  <c r="J68" i="4" s="1" a="1"/>
  <c r="C69" i="4"/>
  <c r="D69" i="4" s="1"/>
  <c r="E69" i="4" s="1" a="1"/>
  <c r="F68" i="4" a="1"/>
  <c r="E70" i="1" s="1" a="1"/>
  <c r="S64" i="4"/>
  <c r="T64" i="4" s="1" a="1"/>
  <c r="M71" i="1" a="1"/>
  <c r="AQ69" i="1" a="1"/>
  <c r="W67" i="4"/>
  <c r="X67" i="4" s="1"/>
  <c r="Y67" i="4" s="1" a="1"/>
  <c r="Z66" i="4" a="1"/>
  <c r="Y68" i="1" s="1" a="1"/>
  <c r="S66" i="1" a="1"/>
  <c r="N71" i="1" a="1"/>
  <c r="AR69" i="1" a="1"/>
  <c r="AH68" i="1" a="1"/>
  <c r="X68" i="1" a="1"/>
  <c r="M70" i="4"/>
  <c r="N70" i="4" s="1"/>
  <c r="O70" i="4" s="1" a="1"/>
  <c r="P69" i="4" a="1"/>
  <c r="O71" i="1" s="1" a="1"/>
  <c r="AQ68" i="4"/>
  <c r="AR68" i="4" s="1"/>
  <c r="AS68" i="4" s="1" a="1"/>
  <c r="AT67" i="4" a="1"/>
  <c r="AS69" i="1" s="1" a="1"/>
  <c r="C71" i="1" l="1" a="1"/>
  <c r="AW71" i="1" a="1"/>
  <c r="X69" i="1" a="1"/>
  <c r="W69" i="1" a="1"/>
  <c r="AV71" i="1" a="1"/>
  <c r="H69" i="4"/>
  <c r="I69" i="4" s="1"/>
  <c r="J69" i="4" s="1" a="1"/>
  <c r="K68" i="4" a="1"/>
  <c r="J70" i="1" s="1" a="1"/>
  <c r="U64" i="4" a="1"/>
  <c r="T66" i="1" s="1" a="1"/>
  <c r="M72" i="1" a="1"/>
  <c r="D71" i="1" a="1"/>
  <c r="AV70" i="4"/>
  <c r="AW70" i="4" s="1"/>
  <c r="AX70" i="4" s="1" a="1"/>
  <c r="AY69" i="4" a="1"/>
  <c r="AX71" i="1" s="1" a="1"/>
  <c r="AM70" i="1" a="1"/>
  <c r="AQ69" i="4"/>
  <c r="AR69" i="4" s="1"/>
  <c r="AS69" i="4" s="1" a="1"/>
  <c r="AT68" i="4" a="1"/>
  <c r="AS70" i="1" s="1" a="1"/>
  <c r="R65" i="4"/>
  <c r="M71" i="4"/>
  <c r="N71" i="4" s="1"/>
  <c r="O71" i="4" s="1" a="1"/>
  <c r="P70" i="4" a="1"/>
  <c r="O72" i="1" s="1" a="1"/>
  <c r="AL70" i="1" a="1"/>
  <c r="AL69" i="4"/>
  <c r="AM69" i="4" s="1"/>
  <c r="AN69" i="4" s="1" a="1"/>
  <c r="AO68" i="4" a="1"/>
  <c r="AN70" i="1" s="1" a="1"/>
  <c r="K67" i="4" a="1"/>
  <c r="J69" i="1" s="1" a="1"/>
  <c r="C70" i="4"/>
  <c r="D70" i="4" s="1"/>
  <c r="E70" i="4" s="1" a="1"/>
  <c r="F69" i="4" a="1"/>
  <c r="E71" i="1" s="1" a="1"/>
  <c r="AB71" i="1" a="1"/>
  <c r="AC71" i="1" a="1"/>
  <c r="AG69" i="1" a="1"/>
  <c r="AB70" i="4"/>
  <c r="AC70" i="4" s="1"/>
  <c r="AD70" i="4" s="1" a="1"/>
  <c r="AE69" i="4" a="1"/>
  <c r="AD71" i="1" s="1" a="1"/>
  <c r="AH69" i="1" a="1"/>
  <c r="AQ70" i="1" a="1"/>
  <c r="W68" i="4"/>
  <c r="X68" i="4" s="1"/>
  <c r="Y68" i="4" s="1" a="1"/>
  <c r="Z67" i="4" a="1"/>
  <c r="Y69" i="1" s="1" a="1"/>
  <c r="AG68" i="4"/>
  <c r="AH68" i="4" s="1"/>
  <c r="AI68" i="4" s="1" a="1"/>
  <c r="AJ67" i="4" a="1"/>
  <c r="AI69" i="1" s="1" a="1"/>
  <c r="AR70" i="1" a="1"/>
  <c r="N72" i="1" a="1"/>
  <c r="AL71" i="1" l="1" a="1"/>
  <c r="W70" i="1" a="1"/>
  <c r="D72" i="1" a="1"/>
  <c r="AR71" i="1" a="1"/>
  <c r="AQ71" i="1" a="1"/>
  <c r="X70" i="1" a="1"/>
  <c r="AG69" i="4"/>
  <c r="AH69" i="4" s="1"/>
  <c r="AI69" i="4" s="1" a="1"/>
  <c r="AJ68" i="4" a="1"/>
  <c r="AI70" i="1" s="1" a="1"/>
  <c r="C71" i="4"/>
  <c r="D71" i="4" s="1"/>
  <c r="E71" i="4" s="1" a="1"/>
  <c r="F70" i="4" a="1"/>
  <c r="E72" i="1" s="1" a="1"/>
  <c r="AQ70" i="4"/>
  <c r="AR70" i="4" s="1"/>
  <c r="AS70" i="4" s="1" a="1"/>
  <c r="AT69" i="4" a="1"/>
  <c r="AS71" i="1" s="1" a="1"/>
  <c r="I70" i="1" a="1"/>
  <c r="H70" i="1" a="1"/>
  <c r="AV72" i="1" a="1"/>
  <c r="W69" i="4"/>
  <c r="X69" i="4" s="1"/>
  <c r="Y69" i="4" s="1" a="1"/>
  <c r="Z68" i="4" a="1"/>
  <c r="Y70" i="1" s="1" a="1"/>
  <c r="AM71" i="1" a="1"/>
  <c r="AW72" i="1" a="1"/>
  <c r="AC72" i="1" a="1"/>
  <c r="AV71" i="4"/>
  <c r="AW71" i="4" s="1"/>
  <c r="AX71" i="4" s="1" a="1"/>
  <c r="AY70" i="4" a="1"/>
  <c r="AX72" i="1" s="1" a="1"/>
  <c r="AL70" i="4"/>
  <c r="AM70" i="4" s="1"/>
  <c r="AN70" i="4" s="1" a="1"/>
  <c r="AO69" i="4" a="1"/>
  <c r="AN71" i="1" s="1" a="1"/>
  <c r="AB72" i="1" a="1"/>
  <c r="AB71" i="4"/>
  <c r="AC71" i="4" s="1"/>
  <c r="AD71" i="4" s="1" a="1"/>
  <c r="AE70" i="4" a="1"/>
  <c r="AD72" i="1" s="1" a="1"/>
  <c r="N73" i="1" a="1"/>
  <c r="S67" i="1" a="1"/>
  <c r="M73" i="1" a="1"/>
  <c r="R67" i="1" a="1"/>
  <c r="AH70" i="1" a="1"/>
  <c r="M72" i="4"/>
  <c r="N72" i="4" s="1"/>
  <c r="O72" i="4" s="1" a="1"/>
  <c r="P71" i="4" a="1"/>
  <c r="O73" i="1" s="1" a="1"/>
  <c r="H71" i="1" a="1"/>
  <c r="AG70" i="1" a="1"/>
  <c r="C72" i="1" a="1"/>
  <c r="S65" i="4"/>
  <c r="T65" i="4" s="1" a="1"/>
  <c r="R66" i="4" s="1"/>
  <c r="S66" i="4" s="1"/>
  <c r="T66" i="4" s="1" a="1"/>
  <c r="I71" i="1" a="1"/>
  <c r="H70" i="4"/>
  <c r="I70" i="4" s="1"/>
  <c r="J70" i="4" s="1" a="1"/>
  <c r="K69" i="4" a="1"/>
  <c r="J71" i="1" s="1" a="1"/>
  <c r="I72" i="1" l="1" a="1"/>
  <c r="H72" i="1" a="1"/>
  <c r="X71" i="1" a="1"/>
  <c r="M74" i="1" a="1"/>
  <c r="R67" i="4"/>
  <c r="S67" i="4" s="1"/>
  <c r="T67" i="4" s="1" a="1"/>
  <c r="U66" i="4" a="1"/>
  <c r="T68" i="1" s="1" a="1"/>
  <c r="AB72" i="4"/>
  <c r="AC72" i="4" s="1"/>
  <c r="AD72" i="4" s="1" a="1"/>
  <c r="AE71" i="4" a="1"/>
  <c r="AD73" i="1" s="1" a="1"/>
  <c r="AM72" i="1" a="1"/>
  <c r="AB73" i="1" a="1"/>
  <c r="W70" i="4"/>
  <c r="X70" i="4" s="1"/>
  <c r="Y70" i="4" s="1" a="1"/>
  <c r="Z69" i="4" a="1"/>
  <c r="Y71" i="1" s="1" a="1"/>
  <c r="AL72" i="1" a="1"/>
  <c r="AR72" i="1" a="1"/>
  <c r="N74" i="1" a="1"/>
  <c r="AL71" i="4"/>
  <c r="AM71" i="4" s="1"/>
  <c r="AN71" i="4" s="1" a="1"/>
  <c r="AO70" i="4" a="1"/>
  <c r="AN72" i="1" s="1" a="1"/>
  <c r="AQ72" i="1" a="1"/>
  <c r="U65" i="4" a="1"/>
  <c r="T67" i="1" s="1" a="1"/>
  <c r="AW73" i="1" a="1"/>
  <c r="M73" i="4"/>
  <c r="N73" i="4" s="1"/>
  <c r="O73" i="4" s="1" a="1"/>
  <c r="P72" i="4" a="1"/>
  <c r="O74" i="1" s="1" a="1"/>
  <c r="AV73" i="1" a="1"/>
  <c r="AQ71" i="4"/>
  <c r="AR71" i="4" s="1"/>
  <c r="AS71" i="4" s="1" a="1"/>
  <c r="AT70" i="4" a="1"/>
  <c r="AS72" i="1" s="1" a="1"/>
  <c r="C73" i="1" a="1"/>
  <c r="AV72" i="4"/>
  <c r="AW72" i="4" s="1"/>
  <c r="AX72" i="4" s="1" a="1"/>
  <c r="AY71" i="4" a="1"/>
  <c r="AX73" i="1" s="1" a="1"/>
  <c r="D73" i="1" a="1"/>
  <c r="C72" i="4"/>
  <c r="D72" i="4" s="1"/>
  <c r="E72" i="4" s="1" a="1"/>
  <c r="F71" i="4" a="1"/>
  <c r="E73" i="1" s="1" a="1"/>
  <c r="AG71" i="1" a="1"/>
  <c r="H71" i="4"/>
  <c r="K70" i="4" a="1"/>
  <c r="J72" i="1" s="1" a="1"/>
  <c r="AC73" i="1" a="1"/>
  <c r="W71" i="1" a="1"/>
  <c r="AH71" i="1" a="1"/>
  <c r="AG70" i="4"/>
  <c r="AH70" i="4" s="1"/>
  <c r="AI70" i="4" s="1" a="1"/>
  <c r="AJ69" i="4" a="1"/>
  <c r="AI71" i="1" s="1" a="1"/>
  <c r="AM73" i="1" l="1" a="1"/>
  <c r="AB74" i="1" a="1"/>
  <c r="AL73" i="1" a="1"/>
  <c r="AG72" i="1" a="1"/>
  <c r="AH72" i="1" a="1"/>
  <c r="D74" i="1" a="1"/>
  <c r="I73" i="1" a="1"/>
  <c r="AC74" i="1" a="1"/>
  <c r="AV74" i="1" a="1"/>
  <c r="AW74" i="1" a="1"/>
  <c r="AQ73" i="1" a="1"/>
  <c r="R68" i="1" a="1"/>
  <c r="H73" i="1" a="1"/>
  <c r="S68" i="1" a="1"/>
  <c r="R69" i="1" a="1"/>
  <c r="AR73" i="1" a="1"/>
  <c r="AQ72" i="4"/>
  <c r="AR72" i="4" s="1"/>
  <c r="AS72" i="4" s="1" a="1"/>
  <c r="AT71" i="4" a="1"/>
  <c r="AS73" i="1" s="1" a="1"/>
  <c r="M74" i="4"/>
  <c r="N74" i="4" s="1"/>
  <c r="O74" i="4" s="1" a="1"/>
  <c r="P73" i="4" a="1"/>
  <c r="O75" i="1" s="1" a="1"/>
  <c r="C73" i="4"/>
  <c r="D73" i="4" s="1"/>
  <c r="E73" i="4" s="1" a="1"/>
  <c r="F72" i="4" a="1"/>
  <c r="E74" i="1" s="1" a="1"/>
  <c r="AV73" i="4"/>
  <c r="AW73" i="4" s="1"/>
  <c r="AX73" i="4" s="1" a="1"/>
  <c r="AY72" i="4" a="1"/>
  <c r="AX74" i="1" s="1" a="1"/>
  <c r="AB73" i="4"/>
  <c r="AE72" i="4" a="1"/>
  <c r="AD74" i="1" s="1" a="1"/>
  <c r="AL72" i="4"/>
  <c r="AM72" i="4" s="1"/>
  <c r="AN72" i="4" s="1" a="1"/>
  <c r="AO71" i="4" a="1"/>
  <c r="AN73" i="1" s="1" a="1"/>
  <c r="M75" i="1" a="1"/>
  <c r="X72" i="1" a="1"/>
  <c r="S69" i="1" a="1"/>
  <c r="I71" i="4"/>
  <c r="J71" i="4" s="1" a="1"/>
  <c r="C74" i="1" a="1"/>
  <c r="N75" i="1" a="1"/>
  <c r="W72" i="1" a="1"/>
  <c r="W71" i="4"/>
  <c r="X71" i="4" s="1"/>
  <c r="Y71" i="4" s="1" a="1"/>
  <c r="Z70" i="4" a="1"/>
  <c r="Y72" i="1" s="1" a="1"/>
  <c r="AG71" i="4"/>
  <c r="AH71" i="4" s="1"/>
  <c r="AI71" i="4" s="1" a="1"/>
  <c r="AJ70" i="4" a="1"/>
  <c r="AI72" i="1" s="1" a="1"/>
  <c r="R68" i="4"/>
  <c r="S68" i="4" s="1"/>
  <c r="T68" i="4" s="1" a="1"/>
  <c r="U67" i="4" a="1"/>
  <c r="T69" i="1" s="1" a="1"/>
  <c r="AM74" i="1" l="1" a="1"/>
  <c r="AW75" i="1" a="1"/>
  <c r="N76" i="1" a="1"/>
  <c r="AG73" i="1" a="1"/>
  <c r="R70" i="1" a="1"/>
  <c r="AV75" i="1" a="1"/>
  <c r="AV74" i="4"/>
  <c r="AW74" i="4" s="1"/>
  <c r="AX74" i="4" s="1" a="1"/>
  <c r="AY73" i="4" a="1"/>
  <c r="AX75" i="1" s="1" a="1"/>
  <c r="K71" i="4" a="1"/>
  <c r="J73" i="1" s="1" a="1"/>
  <c r="C75" i="1" a="1"/>
  <c r="D75" i="1" a="1"/>
  <c r="R69" i="4"/>
  <c r="S69" i="4" s="1"/>
  <c r="T69" i="4" s="1" a="1"/>
  <c r="U68" i="4" a="1"/>
  <c r="T70" i="1" s="1" a="1"/>
  <c r="C74" i="4"/>
  <c r="D74" i="4" s="1"/>
  <c r="E74" i="4" s="1" a="1"/>
  <c r="F73" i="4" a="1"/>
  <c r="E75" i="1" s="1" a="1"/>
  <c r="AH73" i="1" a="1"/>
  <c r="AL74" i="1" a="1"/>
  <c r="M76" i="1" a="1"/>
  <c r="H72" i="4"/>
  <c r="I72" i="4" s="1"/>
  <c r="J72" i="4" s="1" a="1"/>
  <c r="S70" i="1" a="1"/>
  <c r="AG72" i="4"/>
  <c r="AH72" i="4" s="1"/>
  <c r="AI72" i="4" s="1" a="1"/>
  <c r="AJ71" i="4" a="1"/>
  <c r="AI73" i="1" s="1" a="1"/>
  <c r="AL73" i="4"/>
  <c r="AM73" i="4" s="1"/>
  <c r="AN73" i="4" s="1" a="1"/>
  <c r="AO72" i="4" a="1"/>
  <c r="AN74" i="1" s="1" a="1"/>
  <c r="M75" i="4"/>
  <c r="N75" i="4" s="1"/>
  <c r="O75" i="4" s="1" a="1"/>
  <c r="P74" i="4" a="1"/>
  <c r="O76" i="1" s="1" a="1"/>
  <c r="W73" i="1" a="1"/>
  <c r="AC75" i="1" a="1"/>
  <c r="AQ74" i="1" a="1"/>
  <c r="X73" i="1" a="1"/>
  <c r="AB75" i="1" a="1"/>
  <c r="AR74" i="1" a="1"/>
  <c r="W72" i="4"/>
  <c r="X72" i="4" s="1"/>
  <c r="Y72" i="4" s="1" a="1"/>
  <c r="Z71" i="4" a="1"/>
  <c r="Y73" i="1" s="1" a="1"/>
  <c r="AC73" i="4"/>
  <c r="AD73" i="4" s="1" a="1"/>
  <c r="AB74" i="4" s="1"/>
  <c r="AC74" i="4" s="1"/>
  <c r="AD74" i="4" s="1" a="1"/>
  <c r="AQ73" i="4"/>
  <c r="AR73" i="4" s="1"/>
  <c r="AS73" i="4" s="1" a="1"/>
  <c r="AT72" i="4" a="1"/>
  <c r="AS74" i="1" s="1" a="1"/>
  <c r="AV76" i="1" l="1" a="1"/>
  <c r="D76" i="1" a="1"/>
  <c r="C76" i="1" a="1"/>
  <c r="H74" i="1" a="1"/>
  <c r="AW76" i="1" a="1"/>
  <c r="I74" i="1" a="1"/>
  <c r="AH74" i="1" a="1"/>
  <c r="N77" i="1" a="1"/>
  <c r="W74" i="1" a="1"/>
  <c r="AG74" i="1" a="1"/>
  <c r="M77" i="1" a="1"/>
  <c r="AL75" i="1" a="1"/>
  <c r="AQ75" i="1" a="1"/>
  <c r="AR75" i="1" a="1"/>
  <c r="AB75" i="4"/>
  <c r="AC75" i="4" s="1"/>
  <c r="AD75" i="4" s="1" a="1"/>
  <c r="AE74" i="4" a="1"/>
  <c r="AD76" i="1" s="1" a="1"/>
  <c r="AL74" i="4"/>
  <c r="AM74" i="4" s="1"/>
  <c r="AN74" i="4" s="1" a="1"/>
  <c r="AO73" i="4" a="1"/>
  <c r="AN75" i="1" s="1" a="1"/>
  <c r="W73" i="4"/>
  <c r="X73" i="4" s="1"/>
  <c r="Y73" i="4" s="1" a="1"/>
  <c r="Z72" i="4" a="1"/>
  <c r="Y74" i="1" s="1" a="1"/>
  <c r="AM75" i="1" a="1"/>
  <c r="C75" i="4"/>
  <c r="D75" i="4" s="1"/>
  <c r="E75" i="4" s="1" a="1"/>
  <c r="F74" i="4" a="1"/>
  <c r="E76" i="1" s="1" a="1"/>
  <c r="AG73" i="4"/>
  <c r="AH73" i="4" s="1"/>
  <c r="AI73" i="4" s="1" a="1"/>
  <c r="AJ72" i="4" a="1"/>
  <c r="AI74" i="1" s="1" a="1"/>
  <c r="AE73" i="4" a="1"/>
  <c r="AD75" i="1" s="1" a="1"/>
  <c r="S71" i="1" a="1"/>
  <c r="R70" i="4"/>
  <c r="S70" i="4" s="1"/>
  <c r="T70" i="4" s="1" a="1"/>
  <c r="U69" i="4" a="1"/>
  <c r="T71" i="1" s="1" a="1"/>
  <c r="AV75" i="4"/>
  <c r="AW75" i="4" s="1"/>
  <c r="AX75" i="4" s="1" a="1"/>
  <c r="AY74" i="4" a="1"/>
  <c r="AX76" i="1" s="1" a="1"/>
  <c r="AQ74" i="4"/>
  <c r="AR74" i="4" s="1"/>
  <c r="AS74" i="4" s="1" a="1"/>
  <c r="AT73" i="4" a="1"/>
  <c r="AS75" i="1" s="1" a="1"/>
  <c r="M76" i="4"/>
  <c r="N76" i="4" s="1"/>
  <c r="O76" i="4" s="1" a="1"/>
  <c r="P75" i="4" a="1"/>
  <c r="O77" i="1" s="1" a="1"/>
  <c r="X74" i="1" a="1"/>
  <c r="R71" i="1" a="1"/>
  <c r="H73" i="4"/>
  <c r="K72" i="4" a="1"/>
  <c r="J74" i="1" s="1" a="1"/>
  <c r="AV77" i="1" l="1" a="1"/>
  <c r="AW77" i="1" a="1"/>
  <c r="C77" i="1" a="1"/>
  <c r="N78" i="1" a="1"/>
  <c r="D77" i="1" a="1"/>
  <c r="I75" i="1" a="1"/>
  <c r="H75" i="1" a="1"/>
  <c r="AV76" i="4"/>
  <c r="AW76" i="4" s="1"/>
  <c r="AX76" i="4" s="1" a="1"/>
  <c r="AY75" i="4" a="1"/>
  <c r="AX77" i="1" s="1" a="1"/>
  <c r="C76" i="4"/>
  <c r="F75" i="4" a="1"/>
  <c r="E77" i="1" s="1" a="1"/>
  <c r="AQ75" i="4"/>
  <c r="AR75" i="4" s="1"/>
  <c r="AS75" i="4" s="1" a="1"/>
  <c r="AT74" i="4" a="1"/>
  <c r="AS76" i="1" s="1" a="1"/>
  <c r="S72" i="1" a="1"/>
  <c r="I73" i="4"/>
  <c r="J73" i="4" s="1" a="1"/>
  <c r="R72" i="1" a="1"/>
  <c r="W75" i="1" a="1"/>
  <c r="X75" i="1" a="1"/>
  <c r="W74" i="4"/>
  <c r="X74" i="4" s="1"/>
  <c r="Y74" i="4" s="1" a="1"/>
  <c r="Z73" i="4" a="1"/>
  <c r="Y75" i="1" s="1" a="1"/>
  <c r="M78" i="1" a="1"/>
  <c r="AC76" i="1" a="1"/>
  <c r="AL76" i="1" a="1"/>
  <c r="R71" i="4"/>
  <c r="S71" i="4" s="1"/>
  <c r="T71" i="4" s="1" a="1"/>
  <c r="U70" i="4" a="1"/>
  <c r="T72" i="1" s="1" a="1"/>
  <c r="AB76" i="1" a="1"/>
  <c r="AM76" i="1" a="1"/>
  <c r="M77" i="4"/>
  <c r="N77" i="4" s="1"/>
  <c r="O77" i="4" s="1" a="1"/>
  <c r="P76" i="4" a="1"/>
  <c r="O78" i="1" s="1" a="1"/>
  <c r="AL75" i="4"/>
  <c r="AO74" i="4" a="1"/>
  <c r="AN76" i="1" s="1" a="1"/>
  <c r="AR76" i="1" a="1"/>
  <c r="AH75" i="1" a="1"/>
  <c r="AQ76" i="1" a="1"/>
  <c r="AG75" i="1" a="1"/>
  <c r="AB77" i="1" a="1"/>
  <c r="AC77" i="1" a="1"/>
  <c r="AG74" i="4"/>
  <c r="AH74" i="4" s="1"/>
  <c r="AI74" i="4" s="1" a="1"/>
  <c r="AJ73" i="4" a="1"/>
  <c r="AI75" i="1" s="1" a="1"/>
  <c r="AB76" i="4"/>
  <c r="AC76" i="4" s="1"/>
  <c r="AD76" i="4" s="1" a="1"/>
  <c r="AE75" i="4" a="1"/>
  <c r="AD77" i="1" s="1" a="1"/>
  <c r="AM77" i="1" l="1" a="1"/>
  <c r="N79" i="1" a="1"/>
  <c r="AL77" i="1" a="1"/>
  <c r="AB78" i="1" a="1"/>
  <c r="W76" i="1" a="1"/>
  <c r="X76" i="1" a="1"/>
  <c r="S73" i="1" a="1"/>
  <c r="AR77" i="1" a="1"/>
  <c r="AQ77" i="1" a="1"/>
  <c r="AG76" i="1" a="1"/>
  <c r="AQ76" i="4"/>
  <c r="AR76" i="4" s="1"/>
  <c r="AS76" i="4" s="1" a="1"/>
  <c r="AT75" i="4" a="1"/>
  <c r="AS77" i="1" s="1" a="1"/>
  <c r="K73" i="4" a="1"/>
  <c r="J75" i="1" s="1" a="1"/>
  <c r="C78" i="1" a="1"/>
  <c r="R72" i="4"/>
  <c r="S72" i="4" s="1"/>
  <c r="T72" i="4" s="1" a="1"/>
  <c r="U71" i="4" a="1"/>
  <c r="T73" i="1" s="1" a="1"/>
  <c r="D78" i="1" a="1"/>
  <c r="M78" i="4"/>
  <c r="N78" i="4" s="1"/>
  <c r="O78" i="4" s="1" a="1"/>
  <c r="P77" i="4" a="1"/>
  <c r="O79" i="1" s="1" a="1"/>
  <c r="D76" i="4"/>
  <c r="E76" i="4" s="1" a="1"/>
  <c r="C77" i="4" s="1"/>
  <c r="AC78" i="1" a="1"/>
  <c r="AM75" i="4"/>
  <c r="AN75" i="4" s="1" a="1"/>
  <c r="AL76" i="4" s="1"/>
  <c r="AM76" i="4" s="1"/>
  <c r="AN76" i="4" s="1" a="1"/>
  <c r="AV78" i="1" a="1"/>
  <c r="AG75" i="4"/>
  <c r="AH75" i="4" s="1"/>
  <c r="AI75" i="4" s="1" a="1"/>
  <c r="AJ74" i="4" a="1"/>
  <c r="AI76" i="1" s="1" a="1"/>
  <c r="R73" i="1" a="1"/>
  <c r="M79" i="1" a="1"/>
  <c r="W75" i="4"/>
  <c r="X75" i="4" s="1"/>
  <c r="Y75" i="4" s="1" a="1"/>
  <c r="Z74" i="4" a="1"/>
  <c r="Y76" i="1" s="1" a="1"/>
  <c r="AW78" i="1" a="1"/>
  <c r="AB77" i="4"/>
  <c r="AC77" i="4" s="1"/>
  <c r="AD77" i="4" s="1" a="1"/>
  <c r="AE76" i="4" a="1"/>
  <c r="AD78" i="1" s="1" a="1"/>
  <c r="AH76" i="1" a="1"/>
  <c r="AV77" i="4"/>
  <c r="AW77" i="4" s="1"/>
  <c r="AX77" i="4" s="1" a="1"/>
  <c r="AY76" i="4" a="1"/>
  <c r="AX78" i="1" s="1" a="1"/>
  <c r="H74" i="4"/>
  <c r="I74" i="4" s="1"/>
  <c r="J74" i="4" s="1" a="1"/>
  <c r="AH77" i="1" l="1" a="1"/>
  <c r="N80" i="1" a="1"/>
  <c r="AW79" i="1" a="1"/>
  <c r="AV79" i="1" a="1"/>
  <c r="S74" i="1" a="1"/>
  <c r="AG77" i="1" a="1"/>
  <c r="M80" i="1" a="1"/>
  <c r="X77" i="1" a="1"/>
  <c r="W77" i="1" a="1"/>
  <c r="AL77" i="4"/>
  <c r="AM77" i="4" s="1"/>
  <c r="AN77" i="4" s="1" a="1"/>
  <c r="AO76" i="4" a="1"/>
  <c r="AN78" i="1" s="1" a="1"/>
  <c r="D77" i="4"/>
  <c r="E77" i="4" s="1" a="1"/>
  <c r="C78" i="4" s="1"/>
  <c r="D78" i="4" s="1"/>
  <c r="E78" i="4" s="1" a="1"/>
  <c r="R74" i="1" a="1"/>
  <c r="R73" i="4"/>
  <c r="S73" i="4" s="1"/>
  <c r="T73" i="4" s="1" a="1"/>
  <c r="U72" i="4" a="1"/>
  <c r="T74" i="1" s="1" a="1"/>
  <c r="AG76" i="4"/>
  <c r="AH76" i="4" s="1"/>
  <c r="AI76" i="4" s="1" a="1"/>
  <c r="AJ75" i="4" a="1"/>
  <c r="AI77" i="1" s="1" a="1"/>
  <c r="I76" i="1" a="1"/>
  <c r="AC79" i="1" a="1"/>
  <c r="H76" i="1" a="1"/>
  <c r="AV78" i="4"/>
  <c r="AW78" i="4" s="1"/>
  <c r="AX78" i="4" s="1" a="1"/>
  <c r="AY77" i="4" a="1"/>
  <c r="AX79" i="1" s="1" a="1"/>
  <c r="AB79" i="1" a="1"/>
  <c r="AO75" i="4" a="1"/>
  <c r="AN77" i="1" s="1" a="1"/>
  <c r="AR78" i="1" a="1"/>
  <c r="H75" i="4"/>
  <c r="I75" i="4" s="1"/>
  <c r="J75" i="4" s="1" a="1"/>
  <c r="K74" i="4" a="1"/>
  <c r="J76" i="1" s="1" a="1"/>
  <c r="AB78" i="4"/>
  <c r="AC78" i="4" s="1"/>
  <c r="AD78" i="4" s="1" a="1"/>
  <c r="AE77" i="4" a="1"/>
  <c r="AD79" i="1" s="1" a="1"/>
  <c r="AQ78" i="1" a="1"/>
  <c r="AQ77" i="4"/>
  <c r="AT76" i="4" a="1"/>
  <c r="AS78" i="1" s="1" a="1"/>
  <c r="F76" i="4" a="1"/>
  <c r="E78" i="1" s="1" a="1"/>
  <c r="W76" i="4"/>
  <c r="X76" i="4" s="1"/>
  <c r="Y76" i="4" s="1" a="1"/>
  <c r="Z75" i="4" a="1"/>
  <c r="Y77" i="1" s="1" a="1"/>
  <c r="M79" i="4"/>
  <c r="N79" i="4" s="1"/>
  <c r="O79" i="4" s="1" a="1"/>
  <c r="P78" i="4" a="1"/>
  <c r="O80" i="1" s="1" a="1"/>
  <c r="AQ79" i="1" l="1" a="1"/>
  <c r="AB80" i="1" a="1"/>
  <c r="AR79" i="1" a="1"/>
  <c r="AL79" i="1" a="1"/>
  <c r="H77" i="1" a="1"/>
  <c r="AW80" i="1" a="1"/>
  <c r="W78" i="1" a="1"/>
  <c r="S75" i="1" a="1"/>
  <c r="AL78" i="1" a="1"/>
  <c r="AM78" i="1" a="1"/>
  <c r="AM79" i="1" a="1"/>
  <c r="N81" i="1" a="1"/>
  <c r="AC80" i="1" a="1"/>
  <c r="D79" i="1" a="1"/>
  <c r="C79" i="1" a="1"/>
  <c r="M81" i="1" a="1"/>
  <c r="AH78" i="1" a="1"/>
  <c r="AR77" i="4"/>
  <c r="AS77" i="4" s="1" a="1"/>
  <c r="AQ78" i="4" s="1"/>
  <c r="AV80" i="1" a="1"/>
  <c r="M80" i="4"/>
  <c r="N80" i="4" s="1"/>
  <c r="O80" i="4" s="1" a="1"/>
  <c r="P79" i="4" a="1"/>
  <c r="O81" i="1" s="1" a="1"/>
  <c r="AB79" i="4"/>
  <c r="AC79" i="4" s="1"/>
  <c r="AD79" i="4" s="1" a="1"/>
  <c r="AE78" i="4" a="1"/>
  <c r="AD80" i="1" s="1" a="1"/>
  <c r="X78" i="1" a="1"/>
  <c r="I77" i="1" a="1"/>
  <c r="AG78" i="1" a="1"/>
  <c r="W77" i="4"/>
  <c r="Z76" i="4" a="1"/>
  <c r="Y78" i="1" s="1" a="1"/>
  <c r="H76" i="4"/>
  <c r="I76" i="4" s="1"/>
  <c r="J76" i="4" s="1" a="1"/>
  <c r="K75" i="4" a="1"/>
  <c r="J77" i="1" s="1" a="1"/>
  <c r="AG77" i="4"/>
  <c r="AH77" i="4" s="1"/>
  <c r="AI77" i="4" s="1" a="1"/>
  <c r="AJ76" i="4" a="1"/>
  <c r="AI78" i="1" s="1" a="1"/>
  <c r="R74" i="4"/>
  <c r="S74" i="4" s="1"/>
  <c r="T74" i="4" s="1" a="1"/>
  <c r="U73" i="4" a="1"/>
  <c r="T75" i="1" s="1" a="1"/>
  <c r="C79" i="4"/>
  <c r="F78" i="4" a="1"/>
  <c r="E80" i="1" s="1" a="1"/>
  <c r="R75" i="1" a="1"/>
  <c r="F77" i="4" a="1"/>
  <c r="E79" i="1" s="1" a="1"/>
  <c r="AV79" i="4"/>
  <c r="AW79" i="4" s="1"/>
  <c r="AX79" i="4" s="1" a="1"/>
  <c r="AY78" i="4" a="1"/>
  <c r="AX80" i="1" s="1" a="1"/>
  <c r="AL78" i="4"/>
  <c r="AM78" i="4" s="1"/>
  <c r="AN78" i="4" s="1" a="1"/>
  <c r="AO77" i="4" a="1"/>
  <c r="AN79" i="1" s="1" a="1"/>
  <c r="AW81" i="1" l="1" a="1"/>
  <c r="AG79" i="1" a="1"/>
  <c r="AR78" i="4"/>
  <c r="AS78" i="4" s="1" a="1"/>
  <c r="AQ79" i="4" s="1"/>
  <c r="AR79" i="4" s="1"/>
  <c r="AS79" i="4" s="1" a="1"/>
  <c r="D79" i="4"/>
  <c r="E79" i="4" s="1" a="1"/>
  <c r="C80" i="4" s="1"/>
  <c r="X77" i="4"/>
  <c r="Y77" i="4" s="1" a="1"/>
  <c r="W78" i="4" s="1"/>
  <c r="X78" i="4" s="1"/>
  <c r="Y78" i="4" s="1" a="1"/>
  <c r="AM80" i="1" a="1"/>
  <c r="S76" i="1" a="1"/>
  <c r="AL79" i="4"/>
  <c r="AM79" i="4" s="1"/>
  <c r="AN79" i="4" s="1" a="1"/>
  <c r="AO78" i="4" a="1"/>
  <c r="AN80" i="1" s="1" a="1"/>
  <c r="R75" i="4"/>
  <c r="U74" i="4" a="1"/>
  <c r="T76" i="1" s="1" a="1"/>
  <c r="AC81" i="1" a="1"/>
  <c r="AV81" i="1" a="1"/>
  <c r="AH79" i="1" a="1"/>
  <c r="AB81" i="1" a="1"/>
  <c r="AB80" i="4"/>
  <c r="AC80" i="4" s="1"/>
  <c r="AD80" i="4" s="1" a="1"/>
  <c r="AE79" i="4" a="1"/>
  <c r="AD81" i="1" s="1" a="1"/>
  <c r="AV80" i="4"/>
  <c r="AW80" i="4" s="1"/>
  <c r="AX80" i="4" s="1" a="1"/>
  <c r="AY79" i="4" a="1"/>
  <c r="AX81" i="1" s="1" a="1"/>
  <c r="N82" i="1" a="1"/>
  <c r="R76" i="1" a="1"/>
  <c r="AG78" i="4"/>
  <c r="AH78" i="4" s="1"/>
  <c r="AI78" i="4" s="1" a="1"/>
  <c r="AJ77" i="4" a="1"/>
  <c r="AI79" i="1" s="1" a="1"/>
  <c r="D80" i="1" a="1"/>
  <c r="I78" i="1" a="1"/>
  <c r="M82" i="1" a="1"/>
  <c r="AL80" i="1" a="1"/>
  <c r="C80" i="1" a="1"/>
  <c r="H78" i="1" a="1"/>
  <c r="M81" i="4"/>
  <c r="N81" i="4" s="1"/>
  <c r="O81" i="4" s="1" a="1"/>
  <c r="P80" i="4" a="1"/>
  <c r="O82" i="1" s="1" a="1"/>
  <c r="H77" i="4"/>
  <c r="I77" i="4" s="1"/>
  <c r="J77" i="4" s="1" a="1"/>
  <c r="K76" i="4" a="1"/>
  <c r="J78" i="1" s="1" a="1"/>
  <c r="D81" i="1" a="1"/>
  <c r="W79" i="1" a="1"/>
  <c r="C81" i="1" a="1"/>
  <c r="X79" i="1" a="1"/>
  <c r="AT77" i="4" a="1"/>
  <c r="AS79" i="1" s="1" a="1"/>
  <c r="AV82" i="1" l="1" a="1"/>
  <c r="N83" i="1" a="1"/>
  <c r="M83" i="1" a="1"/>
  <c r="AW82" i="1" a="1"/>
  <c r="AL81" i="1" a="1"/>
  <c r="H79" i="1" a="1"/>
  <c r="AM81" i="1" a="1"/>
  <c r="AQ80" i="1" a="1"/>
  <c r="AH80" i="1" a="1"/>
  <c r="AR80" i="1" a="1"/>
  <c r="AG80" i="1" a="1"/>
  <c r="S77" i="1" a="1"/>
  <c r="M82" i="4"/>
  <c r="N82" i="4" s="1"/>
  <c r="O82" i="4" s="1" a="1"/>
  <c r="P81" i="4" a="1"/>
  <c r="O83" i="1" s="1" a="1"/>
  <c r="AL80" i="4"/>
  <c r="AM80" i="4" s="1"/>
  <c r="AN80" i="4" s="1" a="1"/>
  <c r="AO79" i="4" a="1"/>
  <c r="AN81" i="1" s="1" a="1"/>
  <c r="AB82" i="1" a="1"/>
  <c r="W79" i="4"/>
  <c r="X79" i="4" s="1"/>
  <c r="Y79" i="4" s="1" a="1"/>
  <c r="Z78" i="4" a="1"/>
  <c r="Y80" i="1" s="1" a="1"/>
  <c r="AB81" i="4"/>
  <c r="AC81" i="4" s="1"/>
  <c r="AD81" i="4" s="1" a="1"/>
  <c r="AE80" i="4" a="1"/>
  <c r="AD82" i="1" s="1" a="1"/>
  <c r="Z77" i="4" a="1"/>
  <c r="Y79" i="1" s="1" a="1"/>
  <c r="D80" i="4"/>
  <c r="E80" i="4" s="1" a="1"/>
  <c r="C81" i="4" s="1"/>
  <c r="D81" i="4" s="1"/>
  <c r="E81" i="4" s="1" a="1"/>
  <c r="F79" i="4" a="1"/>
  <c r="E81" i="1" s="1" a="1"/>
  <c r="AQ80" i="4"/>
  <c r="AR80" i="4" s="1"/>
  <c r="AS80" i="4" s="1" a="1"/>
  <c r="AT79" i="4" a="1"/>
  <c r="AS81" i="1" s="1" a="1"/>
  <c r="AT78" i="4" a="1"/>
  <c r="AS80" i="1" s="1" a="1"/>
  <c r="I79" i="1" a="1"/>
  <c r="R77" i="1" a="1"/>
  <c r="AC82" i="1" a="1"/>
  <c r="AV81" i="4"/>
  <c r="AW81" i="4" s="1"/>
  <c r="AX81" i="4" s="1" a="1"/>
  <c r="AY80" i="4" a="1"/>
  <c r="AX82" i="1" s="1" a="1"/>
  <c r="AG79" i="4"/>
  <c r="AH79" i="4" s="1"/>
  <c r="AI79" i="4" s="1" a="1"/>
  <c r="AJ78" i="4" a="1"/>
  <c r="AI80" i="1" s="1" a="1"/>
  <c r="H78" i="4"/>
  <c r="K77" i="4" a="1"/>
  <c r="J79" i="1" s="1" a="1"/>
  <c r="S75" i="4"/>
  <c r="T75" i="4" s="1" a="1"/>
  <c r="R76" i="4" s="1"/>
  <c r="S76" i="4" s="1"/>
  <c r="T76" i="4" s="1" a="1"/>
  <c r="W80" i="1" l="1" a="1"/>
  <c r="X80" i="1" a="1"/>
  <c r="C82" i="1" a="1"/>
  <c r="AH81" i="1" a="1"/>
  <c r="W81" i="1" a="1"/>
  <c r="AG81" i="1" a="1"/>
  <c r="AV83" i="1" a="1"/>
  <c r="D82" i="1" a="1"/>
  <c r="N84" i="1" a="1"/>
  <c r="AL82" i="1" a="1"/>
  <c r="M84" i="1" a="1"/>
  <c r="AM82" i="1" a="1"/>
  <c r="AW83" i="1" a="1"/>
  <c r="AB83" i="1" a="1"/>
  <c r="X81" i="1" a="1"/>
  <c r="AQ81" i="1" a="1"/>
  <c r="AR82" i="1" a="1"/>
  <c r="AQ82" i="1" a="1"/>
  <c r="W80" i="4"/>
  <c r="X80" i="4" s="1"/>
  <c r="Y80" i="4" s="1" a="1"/>
  <c r="Z79" i="4" a="1"/>
  <c r="Y81" i="1" s="1" a="1"/>
  <c r="AV82" i="4"/>
  <c r="AW82" i="4" s="1"/>
  <c r="AX82" i="4" s="1" a="1"/>
  <c r="AY81" i="4" a="1"/>
  <c r="AX83" i="1" s="1" a="1"/>
  <c r="U75" i="4" a="1"/>
  <c r="T77" i="1" s="1" a="1"/>
  <c r="AR81" i="1" a="1"/>
  <c r="AC83" i="1" a="1"/>
  <c r="R77" i="4"/>
  <c r="S77" i="4" s="1"/>
  <c r="T77" i="4" s="1" a="1"/>
  <c r="U76" i="4" a="1"/>
  <c r="T78" i="1" s="1" a="1"/>
  <c r="I78" i="4"/>
  <c r="J78" i="4" s="1" a="1"/>
  <c r="M83" i="4"/>
  <c r="N83" i="4" s="1"/>
  <c r="O83" i="4" s="1" a="1"/>
  <c r="P82" i="4" a="1"/>
  <c r="O84" i="1" s="1" a="1"/>
  <c r="I80" i="1" a="1"/>
  <c r="H80" i="1" a="1"/>
  <c r="AB82" i="4"/>
  <c r="AC82" i="4" s="1"/>
  <c r="AD82" i="4" s="1" a="1"/>
  <c r="AE81" i="4" a="1"/>
  <c r="AD83" i="1" s="1" a="1"/>
  <c r="AQ81" i="4"/>
  <c r="AT80" i="4" a="1"/>
  <c r="AS82" i="1" s="1" a="1"/>
  <c r="AG80" i="4"/>
  <c r="AJ79" i="4" a="1"/>
  <c r="AI81" i="1" s="1" a="1"/>
  <c r="C82" i="4"/>
  <c r="D82" i="4" s="1"/>
  <c r="E82" i="4" s="1" a="1"/>
  <c r="F81" i="4" a="1"/>
  <c r="E83" i="1" s="1" a="1"/>
  <c r="F80" i="4" a="1"/>
  <c r="E82" i="1" s="1" a="1"/>
  <c r="AL81" i="4"/>
  <c r="AO80" i="4" a="1"/>
  <c r="AN82" i="1" s="1" a="1"/>
  <c r="AC84" i="1" l="1" a="1"/>
  <c r="C84" i="1" a="1"/>
  <c r="AB84" i="1" a="1"/>
  <c r="M85" i="1" a="1"/>
  <c r="D84" i="1" a="1"/>
  <c r="N85" i="1" a="1"/>
  <c r="C83" i="1" a="1"/>
  <c r="K78" i="4" a="1"/>
  <c r="J80" i="1" s="1" a="1"/>
  <c r="AM83" i="1" a="1"/>
  <c r="AQ83" i="1" a="1"/>
  <c r="S79" i="1" a="1"/>
  <c r="R78" i="4"/>
  <c r="S78" i="4" s="1"/>
  <c r="T78" i="4" s="1" a="1"/>
  <c r="U77" i="4" a="1"/>
  <c r="T79" i="1" s="1" a="1"/>
  <c r="S78" i="1" a="1"/>
  <c r="AB83" i="4"/>
  <c r="AC83" i="4" s="1"/>
  <c r="AD83" i="4" s="1" a="1"/>
  <c r="AE82" i="4" a="1"/>
  <c r="AD84" i="1" s="1" a="1"/>
  <c r="R78" i="1" a="1"/>
  <c r="AV84" i="1" a="1"/>
  <c r="AR81" i="4"/>
  <c r="AS81" i="4" s="1" a="1"/>
  <c r="AQ82" i="4" s="1"/>
  <c r="AR82" i="4" s="1"/>
  <c r="AS82" i="4" s="1" a="1"/>
  <c r="AW84" i="1" a="1"/>
  <c r="AG82" i="1" a="1"/>
  <c r="AV83" i="4"/>
  <c r="AW83" i="4" s="1"/>
  <c r="AX83" i="4" s="1" a="1"/>
  <c r="AY82" i="4" a="1"/>
  <c r="AX84" i="1" s="1" a="1"/>
  <c r="D83" i="1" a="1"/>
  <c r="M84" i="4"/>
  <c r="N84" i="4" s="1"/>
  <c r="O84" i="4" s="1" a="1"/>
  <c r="P83" i="4" a="1"/>
  <c r="O85" i="1" s="1" a="1"/>
  <c r="W82" i="1" a="1"/>
  <c r="H79" i="4"/>
  <c r="I79" i="4" s="1"/>
  <c r="J79" i="4" s="1" a="1"/>
  <c r="X82" i="1" a="1"/>
  <c r="AM81" i="4"/>
  <c r="AN81" i="4" s="1" a="1"/>
  <c r="AL82" i="4" s="1"/>
  <c r="AM82" i="4" s="1"/>
  <c r="AN82" i="4" s="1" a="1"/>
  <c r="AL83" i="1" a="1"/>
  <c r="C83" i="4"/>
  <c r="D83" i="4" s="1"/>
  <c r="E83" i="4" s="1" a="1"/>
  <c r="F82" i="4" a="1"/>
  <c r="E84" i="1" s="1" a="1"/>
  <c r="AH82" i="1" a="1"/>
  <c r="AH80" i="4"/>
  <c r="AI80" i="4" s="1" a="1"/>
  <c r="AG81" i="4" s="1"/>
  <c r="AH81" i="4" s="1"/>
  <c r="AI81" i="4" s="1" a="1"/>
  <c r="AR83" i="1" a="1"/>
  <c r="R79" i="1" a="1"/>
  <c r="W81" i="4"/>
  <c r="X81" i="4" s="1"/>
  <c r="Y81" i="4" s="1" a="1"/>
  <c r="Z80" i="4" a="1"/>
  <c r="Y82" i="1" s="1" a="1"/>
  <c r="D85" i="1" l="1" a="1"/>
  <c r="C85" i="1" a="1"/>
  <c r="AW85" i="1" a="1"/>
  <c r="X83" i="1" a="1"/>
  <c r="AB85" i="1" a="1"/>
  <c r="H81" i="1" a="1"/>
  <c r="W83" i="1" a="1"/>
  <c r="I81" i="1" a="1"/>
  <c r="R80" i="1" a="1"/>
  <c r="AV85" i="1" a="1"/>
  <c r="S80" i="1" a="1"/>
  <c r="N86" i="1" a="1"/>
  <c r="AJ80" i="4" a="1"/>
  <c r="AI82" i="1" s="1" a="1"/>
  <c r="C84" i="4"/>
  <c r="D84" i="4" s="1"/>
  <c r="E84" i="4" s="1" a="1"/>
  <c r="F83" i="4" a="1"/>
  <c r="E85" i="1" s="1" a="1"/>
  <c r="AL83" i="4"/>
  <c r="AM83" i="4" s="1"/>
  <c r="AN83" i="4" s="1" a="1"/>
  <c r="AO82" i="4" a="1"/>
  <c r="AN84" i="1" s="1" a="1"/>
  <c r="AQ83" i="4"/>
  <c r="AR83" i="4" s="1"/>
  <c r="AS83" i="4" s="1" a="1"/>
  <c r="AT82" i="4" a="1"/>
  <c r="AS84" i="1" s="1" a="1"/>
  <c r="AO81" i="4" a="1"/>
  <c r="AN83" i="1" s="1" a="1"/>
  <c r="AT81" i="4" a="1"/>
  <c r="AS83" i="1" s="1" a="1"/>
  <c r="H80" i="4"/>
  <c r="I80" i="4" s="1"/>
  <c r="J80" i="4" s="1" a="1"/>
  <c r="K79" i="4" a="1"/>
  <c r="J81" i="1" s="1" a="1"/>
  <c r="AC85" i="1" a="1"/>
  <c r="AG82" i="4"/>
  <c r="AH82" i="4" s="1"/>
  <c r="AI82" i="4" s="1" a="1"/>
  <c r="AJ81" i="4" a="1"/>
  <c r="AI83" i="1" s="1" a="1"/>
  <c r="M85" i="4"/>
  <c r="N85" i="4" s="1"/>
  <c r="O85" i="4" s="1" a="1"/>
  <c r="P84" i="4" a="1"/>
  <c r="O86" i="1" s="1" a="1"/>
  <c r="M86" i="1" a="1"/>
  <c r="R79" i="4"/>
  <c r="S79" i="4" s="1"/>
  <c r="T79" i="4" s="1" a="1"/>
  <c r="U78" i="4" a="1"/>
  <c r="T80" i="1" s="1" a="1"/>
  <c r="AV84" i="4"/>
  <c r="AW84" i="4" s="1"/>
  <c r="AX84" i="4" s="1" a="1"/>
  <c r="AY83" i="4" a="1"/>
  <c r="AX85" i="1" s="1" a="1"/>
  <c r="W82" i="4"/>
  <c r="X82" i="4" s="1"/>
  <c r="Y82" i="4" s="1" a="1"/>
  <c r="Z81" i="4" a="1"/>
  <c r="Y83" i="1" s="1" a="1"/>
  <c r="AB84" i="4"/>
  <c r="AC84" i="4" s="1"/>
  <c r="AD84" i="4" s="1" a="1"/>
  <c r="AE83" i="4" a="1"/>
  <c r="AD85" i="1" s="1" a="1"/>
  <c r="I82" i="1" l="1" a="1"/>
  <c r="H82" i="1" a="1"/>
  <c r="W84" i="1" a="1"/>
  <c r="AB86" i="1" a="1"/>
  <c r="AC86" i="1" a="1"/>
  <c r="X84" i="1" a="1"/>
  <c r="AG83" i="1" a="1"/>
  <c r="AH83" i="1" a="1"/>
  <c r="AR85" i="1" a="1"/>
  <c r="AQ85" i="1" a="1"/>
  <c r="AM85" i="1" a="1"/>
  <c r="AV86" i="1" a="1"/>
  <c r="AW86" i="1" a="1"/>
  <c r="AH84" i="1" a="1"/>
  <c r="W83" i="4"/>
  <c r="X83" i="4" s="1"/>
  <c r="Y83" i="4" s="1" a="1"/>
  <c r="Z82" i="4" a="1"/>
  <c r="Y84" i="1" s="1" a="1"/>
  <c r="AQ84" i="4"/>
  <c r="AR84" i="4" s="1"/>
  <c r="AS84" i="4" s="1" a="1"/>
  <c r="AT83" i="4" a="1"/>
  <c r="AS85" i="1" s="1" a="1"/>
  <c r="AG83" i="4"/>
  <c r="AH83" i="4" s="1"/>
  <c r="AI83" i="4" s="1" a="1"/>
  <c r="AJ82" i="4" a="1"/>
  <c r="AI84" i="1" s="1" a="1"/>
  <c r="AL85" i="1" a="1"/>
  <c r="M86" i="4"/>
  <c r="N86" i="4" s="1"/>
  <c r="O86" i="4" s="1" a="1"/>
  <c r="P85" i="4" a="1"/>
  <c r="O87" i="1" s="1" a="1"/>
  <c r="AB85" i="4"/>
  <c r="AC85" i="4" s="1"/>
  <c r="AD85" i="4" s="1" a="1"/>
  <c r="AE84" i="4" a="1"/>
  <c r="AD86" i="1" s="1" a="1"/>
  <c r="AL84" i="4"/>
  <c r="AM84" i="4" s="1"/>
  <c r="AN84" i="4" s="1" a="1"/>
  <c r="AO83" i="4" a="1"/>
  <c r="AN85" i="1" s="1" a="1"/>
  <c r="AG84" i="1" a="1"/>
  <c r="R81" i="1" a="1"/>
  <c r="D86" i="1" a="1"/>
  <c r="AV85" i="4"/>
  <c r="AW85" i="4" s="1"/>
  <c r="AX85" i="4" s="1" a="1"/>
  <c r="AY84" i="4" a="1"/>
  <c r="AX86" i="1" s="1" a="1"/>
  <c r="S81" i="1" a="1"/>
  <c r="H81" i="4"/>
  <c r="I81" i="4" s="1"/>
  <c r="J81" i="4" s="1" a="1"/>
  <c r="K80" i="4" a="1"/>
  <c r="J82" i="1" s="1" a="1"/>
  <c r="C86" i="1" a="1"/>
  <c r="AQ84" i="1" a="1"/>
  <c r="R80" i="4"/>
  <c r="S80" i="4" s="1"/>
  <c r="T80" i="4" s="1" a="1"/>
  <c r="U79" i="4" a="1"/>
  <c r="T81" i="1" s="1" a="1"/>
  <c r="AR84" i="1" a="1"/>
  <c r="C85" i="4"/>
  <c r="D85" i="4" s="1"/>
  <c r="E85" i="4" s="1" a="1"/>
  <c r="F84" i="4" a="1"/>
  <c r="E86" i="1" s="1" a="1"/>
  <c r="N87" i="1" a="1"/>
  <c r="AL84" i="1" a="1"/>
  <c r="M87" i="1" a="1"/>
  <c r="AM84" i="1" a="1"/>
  <c r="AM86" i="1" l="1" a="1"/>
  <c r="AQ86" i="1" a="1"/>
  <c r="AW87" i="1" a="1"/>
  <c r="AG85" i="1" a="1"/>
  <c r="M87" i="4"/>
  <c r="N87" i="4" s="1"/>
  <c r="O87" i="4" s="1" a="1"/>
  <c r="P86" i="4" a="1"/>
  <c r="O88" i="1" s="1" a="1"/>
  <c r="C87" i="1" a="1"/>
  <c r="AV86" i="4"/>
  <c r="AW86" i="4" s="1"/>
  <c r="AX86" i="4" s="1" a="1"/>
  <c r="AY85" i="4" a="1"/>
  <c r="AX87" i="1" s="1" a="1"/>
  <c r="AH85" i="1" a="1"/>
  <c r="AG84" i="4"/>
  <c r="AH84" i="4" s="1"/>
  <c r="AI84" i="4" s="1" a="1"/>
  <c r="AJ83" i="4" a="1"/>
  <c r="AI85" i="1" s="1" a="1"/>
  <c r="R81" i="4"/>
  <c r="S81" i="4" s="1"/>
  <c r="T81" i="4" s="1" a="1"/>
  <c r="U80" i="4" a="1"/>
  <c r="T82" i="1" s="1" a="1"/>
  <c r="AL86" i="1" a="1"/>
  <c r="AR86" i="1" a="1"/>
  <c r="C86" i="4"/>
  <c r="D86" i="4" s="1"/>
  <c r="E86" i="4" s="1" a="1"/>
  <c r="F85" i="4" a="1"/>
  <c r="E87" i="1" s="1" a="1"/>
  <c r="R82" i="1" a="1"/>
  <c r="S82" i="1" a="1"/>
  <c r="AL85" i="4"/>
  <c r="AM85" i="4" s="1"/>
  <c r="AN85" i="4" s="1" a="1"/>
  <c r="AO84" i="4" a="1"/>
  <c r="AN86" i="1" s="1" a="1"/>
  <c r="AQ85" i="4"/>
  <c r="AR85" i="4" s="1"/>
  <c r="AS85" i="4" s="1" a="1"/>
  <c r="AT84" i="4" a="1"/>
  <c r="AS86" i="1" s="1" a="1"/>
  <c r="I83" i="1" a="1"/>
  <c r="AB87" i="1" a="1"/>
  <c r="H83" i="1" a="1"/>
  <c r="AC87" i="1" a="1"/>
  <c r="W85" i="1" a="1"/>
  <c r="X85" i="1" a="1"/>
  <c r="H82" i="4"/>
  <c r="I82" i="4" s="1"/>
  <c r="J82" i="4" s="1" a="1"/>
  <c r="K81" i="4" a="1"/>
  <c r="J83" i="1" s="1" a="1"/>
  <c r="AB86" i="4"/>
  <c r="AC86" i="4" s="1"/>
  <c r="AD86" i="4" s="1" a="1"/>
  <c r="AE85" i="4" a="1"/>
  <c r="AD87" i="1" s="1" a="1"/>
  <c r="W84" i="4"/>
  <c r="X84" i="4" s="1"/>
  <c r="Y84" i="4" s="1" a="1"/>
  <c r="Z83" i="4" a="1"/>
  <c r="Y85" i="1" s="1" a="1"/>
  <c r="N88" i="1" a="1"/>
  <c r="D87" i="1" a="1"/>
  <c r="AV87" i="1" a="1"/>
  <c r="M88" i="1" a="1"/>
  <c r="M89" i="1" l="1" a="1"/>
  <c r="D88" i="1" a="1"/>
  <c r="AC88" i="1" a="1"/>
  <c r="W86" i="1" a="1"/>
  <c r="H84" i="1" a="1"/>
  <c r="I84" i="1" a="1"/>
  <c r="N89" i="1" a="1"/>
  <c r="AB88" i="1" a="1"/>
  <c r="X86" i="1" a="1"/>
  <c r="R82" i="4"/>
  <c r="S82" i="4" s="1"/>
  <c r="T82" i="4" s="1" a="1"/>
  <c r="U81" i="4" a="1"/>
  <c r="T83" i="1" s="1" a="1"/>
  <c r="AL87" i="1" a="1"/>
  <c r="AG86" i="1" a="1"/>
  <c r="AQ86" i="4"/>
  <c r="AR86" i="4" s="1"/>
  <c r="AS86" i="4" s="1" a="1"/>
  <c r="AT85" i="4" a="1"/>
  <c r="AS87" i="1" s="1" a="1"/>
  <c r="AB87" i="4"/>
  <c r="AC87" i="4" s="1"/>
  <c r="AD87" i="4" s="1" a="1"/>
  <c r="AE86" i="4" a="1"/>
  <c r="AD88" i="1" s="1" a="1"/>
  <c r="AM87" i="1" a="1"/>
  <c r="AH86" i="1" a="1"/>
  <c r="AG85" i="4"/>
  <c r="AH85" i="4" s="1"/>
  <c r="AI85" i="4" s="1" a="1"/>
  <c r="AJ84" i="4" a="1"/>
  <c r="AI86" i="1" s="1" a="1"/>
  <c r="AW88" i="1" a="1"/>
  <c r="H83" i="4"/>
  <c r="I83" i="4" s="1"/>
  <c r="J83" i="4" s="1" a="1"/>
  <c r="K82" i="4" a="1"/>
  <c r="J84" i="1" s="1" a="1"/>
  <c r="C88" i="1" a="1"/>
  <c r="AV88" i="1" a="1"/>
  <c r="AL86" i="4"/>
  <c r="AO85" i="4" a="1"/>
  <c r="AN87" i="1" s="1" a="1"/>
  <c r="AV87" i="4"/>
  <c r="AY86" i="4" a="1"/>
  <c r="AX88" i="1" s="1" a="1"/>
  <c r="C87" i="4"/>
  <c r="D87" i="4" s="1"/>
  <c r="E87" i="4" s="1" a="1"/>
  <c r="F86" i="4" a="1"/>
  <c r="E88" i="1" s="1" a="1"/>
  <c r="AR87" i="1" a="1"/>
  <c r="R83" i="1" a="1"/>
  <c r="W85" i="4"/>
  <c r="X85" i="4" s="1"/>
  <c r="Y85" i="4" s="1" a="1"/>
  <c r="Z84" i="4" a="1"/>
  <c r="Y86" i="1" s="1" a="1"/>
  <c r="AQ87" i="1" a="1"/>
  <c r="S83" i="1" a="1"/>
  <c r="M88" i="4"/>
  <c r="P87" i="4" a="1"/>
  <c r="O89" i="1" s="1" a="1"/>
  <c r="N90" i="1" l="1" a="1"/>
  <c r="M90" i="1" a="1"/>
  <c r="D89" i="1" a="1"/>
  <c r="AH87" i="1" a="1"/>
  <c r="AW89" i="1" a="1"/>
  <c r="AG87" i="1" a="1"/>
  <c r="AV89" i="1" a="1"/>
  <c r="C88" i="4"/>
  <c r="D88" i="4" s="1"/>
  <c r="E88" i="4" s="1" a="1"/>
  <c r="F87" i="4" a="1"/>
  <c r="E89" i="1" s="1" a="1"/>
  <c r="AG86" i="4"/>
  <c r="AH86" i="4" s="1"/>
  <c r="AI86" i="4" s="1" a="1"/>
  <c r="AJ85" i="4" a="1"/>
  <c r="AI87" i="1" s="1" a="1"/>
  <c r="R83" i="4"/>
  <c r="S83" i="4" s="1"/>
  <c r="T83" i="4" s="1" a="1"/>
  <c r="U82" i="4" a="1"/>
  <c r="T84" i="1" s="1" a="1"/>
  <c r="N88" i="4"/>
  <c r="O88" i="4" s="1" a="1"/>
  <c r="M89" i="4" s="1"/>
  <c r="N89" i="4" s="1"/>
  <c r="O89" i="4" s="1" a="1"/>
  <c r="AW87" i="4"/>
  <c r="AX87" i="4" s="1" a="1"/>
  <c r="AV88" i="4" s="1"/>
  <c r="AW88" i="4" s="1"/>
  <c r="AX88" i="4" s="1" a="1"/>
  <c r="AM86" i="4"/>
  <c r="AN86" i="4" s="1" a="1"/>
  <c r="AL87" i="4" s="1"/>
  <c r="AM87" i="4" s="1"/>
  <c r="AN87" i="4" s="1" a="1"/>
  <c r="C89" i="1" a="1"/>
  <c r="AM88" i="1" a="1"/>
  <c r="AL88" i="1" a="1"/>
  <c r="AC89" i="1" a="1"/>
  <c r="W87" i="1" a="1"/>
  <c r="AB89" i="1" a="1"/>
  <c r="AB88" i="4"/>
  <c r="AC88" i="4" s="1"/>
  <c r="AD88" i="4" s="1" a="1"/>
  <c r="AE87" i="4" a="1"/>
  <c r="AD89" i="1" s="1" a="1"/>
  <c r="AQ88" i="1" a="1"/>
  <c r="H85" i="1" a="1"/>
  <c r="AR88" i="1" a="1"/>
  <c r="I85" i="1" a="1"/>
  <c r="AQ87" i="4"/>
  <c r="AR87" i="4" s="1"/>
  <c r="AS87" i="4" s="1" a="1"/>
  <c r="AT86" i="4" a="1"/>
  <c r="AS88" i="1" s="1" a="1"/>
  <c r="X87" i="1" a="1"/>
  <c r="H84" i="4"/>
  <c r="K83" i="4" a="1"/>
  <c r="J85" i="1" s="1" a="1"/>
  <c r="W86" i="4"/>
  <c r="X86" i="4" s="1"/>
  <c r="Y86" i="4" s="1" a="1"/>
  <c r="Z85" i="4" a="1"/>
  <c r="Y87" i="1" s="1" a="1"/>
  <c r="S84" i="1" a="1"/>
  <c r="R84" i="1" a="1"/>
  <c r="AR89" i="1" l="1" a="1"/>
  <c r="AQ89" i="1" a="1"/>
  <c r="H86" i="1" a="1"/>
  <c r="M90" i="4"/>
  <c r="N90" i="4" s="1"/>
  <c r="O90" i="4" s="1" a="1"/>
  <c r="P89" i="4" a="1"/>
  <c r="O91" i="1" s="1" a="1"/>
  <c r="AY87" i="4" a="1"/>
  <c r="AX89" i="1" s="1" a="1"/>
  <c r="AB89" i="4"/>
  <c r="AE88" i="4" a="1"/>
  <c r="AD90" i="1" s="1" a="1"/>
  <c r="AV89" i="4"/>
  <c r="AW89" i="4" s="1"/>
  <c r="AX89" i="4" s="1" a="1"/>
  <c r="AY88" i="4" a="1"/>
  <c r="AX90" i="1" s="1" a="1"/>
  <c r="X88" i="1" a="1"/>
  <c r="P88" i="4" a="1"/>
  <c r="O90" i="1" s="1" a="1"/>
  <c r="W88" i="1" a="1"/>
  <c r="AB90" i="1" a="1"/>
  <c r="S85" i="1" a="1"/>
  <c r="AC90" i="1" a="1"/>
  <c r="R85" i="1" a="1"/>
  <c r="R84" i="4"/>
  <c r="S84" i="4" s="1"/>
  <c r="T84" i="4" s="1" a="1"/>
  <c r="U83" i="4" a="1"/>
  <c r="T85" i="1" s="1" a="1"/>
  <c r="I86" i="1" a="1"/>
  <c r="AH88" i="1" a="1"/>
  <c r="AG88" i="1" a="1"/>
  <c r="W87" i="4"/>
  <c r="X87" i="4" s="1"/>
  <c r="Y87" i="4" s="1" a="1"/>
  <c r="Z86" i="4" a="1"/>
  <c r="Y88" i="1" s="1" a="1"/>
  <c r="AG87" i="4"/>
  <c r="AH87" i="4" s="1"/>
  <c r="AI87" i="4" s="1" a="1"/>
  <c r="AJ86" i="4" a="1"/>
  <c r="AI88" i="1" s="1" a="1"/>
  <c r="C90" i="1" a="1"/>
  <c r="D90" i="1" a="1"/>
  <c r="I84" i="4"/>
  <c r="J84" i="4" s="1" a="1"/>
  <c r="H85" i="4" s="1"/>
  <c r="I85" i="4" s="1"/>
  <c r="J85" i="4" s="1" a="1"/>
  <c r="AL88" i="4"/>
  <c r="AM88" i="4" s="1"/>
  <c r="AN88" i="4" s="1" a="1"/>
  <c r="AO87" i="4" a="1"/>
  <c r="AN89" i="1" s="1" a="1"/>
  <c r="AQ88" i="4"/>
  <c r="AR88" i="4" s="1"/>
  <c r="AS88" i="4" s="1" a="1"/>
  <c r="AT87" i="4" a="1"/>
  <c r="AS89" i="1" s="1" a="1"/>
  <c r="AO86" i="4" a="1"/>
  <c r="AN88" i="1" s="1" a="1"/>
  <c r="C89" i="4"/>
  <c r="D89" i="4" s="1"/>
  <c r="E89" i="4" s="1" a="1"/>
  <c r="F88" i="4" a="1"/>
  <c r="E90" i="1" s="1" a="1"/>
  <c r="R86" i="1" l="1" a="1"/>
  <c r="S86" i="1" a="1"/>
  <c r="D91" i="1" a="1"/>
  <c r="W89" i="1" a="1"/>
  <c r="M91" i="1" a="1"/>
  <c r="X89" i="1" a="1"/>
  <c r="C91" i="1" a="1"/>
  <c r="AC91" i="1" a="1"/>
  <c r="AL89" i="1" a="1"/>
  <c r="AW90" i="1" a="1"/>
  <c r="N91" i="1" a="1"/>
  <c r="AM89" i="1" a="1"/>
  <c r="AB91" i="1" a="1"/>
  <c r="AV90" i="1" a="1"/>
  <c r="M92" i="1" a="1"/>
  <c r="N92" i="1" a="1"/>
  <c r="AH89" i="1" a="1"/>
  <c r="AG89" i="1" a="1"/>
  <c r="AQ90" i="1" a="1"/>
  <c r="AR90" i="1" a="1"/>
  <c r="AV90" i="4"/>
  <c r="AW90" i="4" s="1"/>
  <c r="AX90" i="4" s="1" a="1"/>
  <c r="AY89" i="4" a="1"/>
  <c r="AX91" i="1" s="1" a="1"/>
  <c r="AG88" i="4"/>
  <c r="AH88" i="4" s="1"/>
  <c r="AI88" i="4" s="1" a="1"/>
  <c r="AJ87" i="4" a="1"/>
  <c r="AI89" i="1" s="1" a="1"/>
  <c r="W88" i="4"/>
  <c r="X88" i="4" s="1"/>
  <c r="Y88" i="4" s="1" a="1"/>
  <c r="Z87" i="4" a="1"/>
  <c r="Y89" i="1" s="1" a="1"/>
  <c r="AL89" i="4"/>
  <c r="AM89" i="4" s="1"/>
  <c r="AN89" i="4" s="1" a="1"/>
  <c r="AO88" i="4" a="1"/>
  <c r="AN90" i="1" s="1" a="1"/>
  <c r="R85" i="4"/>
  <c r="S85" i="4" s="1"/>
  <c r="T85" i="4" s="1" a="1"/>
  <c r="U84" i="4" a="1"/>
  <c r="T86" i="1" s="1" a="1"/>
  <c r="AC89" i="4"/>
  <c r="AD89" i="4" s="1" a="1"/>
  <c r="AB90" i="4" s="1"/>
  <c r="AC90" i="4" s="1"/>
  <c r="AD90" i="4" s="1" a="1"/>
  <c r="AQ89" i="4"/>
  <c r="AT88" i="4" a="1"/>
  <c r="AS90" i="1" s="1" a="1"/>
  <c r="AL90" i="1" a="1"/>
  <c r="AW91" i="1" a="1"/>
  <c r="AM90" i="1" a="1"/>
  <c r="AV91" i="1" a="1"/>
  <c r="H86" i="4"/>
  <c r="I86" i="4" s="1"/>
  <c r="J86" i="4" s="1" a="1"/>
  <c r="K85" i="4" a="1"/>
  <c r="J87" i="1" s="1" a="1"/>
  <c r="K84" i="4" a="1"/>
  <c r="J86" i="1" s="1" a="1"/>
  <c r="C90" i="4"/>
  <c r="D90" i="4" s="1"/>
  <c r="E90" i="4" s="1" a="1"/>
  <c r="F89" i="4" a="1"/>
  <c r="E91" i="1" s="1" a="1"/>
  <c r="M91" i="4"/>
  <c r="P90" i="4" a="1"/>
  <c r="O92" i="1" s="1" a="1"/>
  <c r="I87" i="1" l="1" a="1"/>
  <c r="X90" i="1" a="1"/>
  <c r="D92" i="1" a="1"/>
  <c r="W90" i="1" a="1"/>
  <c r="C92" i="1" a="1"/>
  <c r="H87" i="1" a="1"/>
  <c r="H88" i="1" a="1"/>
  <c r="AW92" i="1" a="1"/>
  <c r="M93" i="1" a="1"/>
  <c r="I88" i="1" a="1"/>
  <c r="AR91" i="1" a="1"/>
  <c r="R87" i="1" a="1"/>
  <c r="S87" i="1" a="1"/>
  <c r="AG90" i="1" a="1"/>
  <c r="AH90" i="1" a="1"/>
  <c r="AV92" i="1" a="1"/>
  <c r="AL91" i="1" a="1"/>
  <c r="AQ91" i="1" a="1"/>
  <c r="W89" i="4"/>
  <c r="X89" i="4" s="1"/>
  <c r="Y89" i="4" s="1" a="1"/>
  <c r="Z88" i="4" a="1"/>
  <c r="Y90" i="1" s="1" a="1"/>
  <c r="AM91" i="1" a="1"/>
  <c r="AR89" i="4"/>
  <c r="AS89" i="4" s="1" a="1"/>
  <c r="AQ90" i="4" s="1"/>
  <c r="AR90" i="4" s="1"/>
  <c r="AS90" i="4" s="1" a="1"/>
  <c r="C91" i="4"/>
  <c r="F90" i="4" a="1"/>
  <c r="E92" i="1" s="1" a="1"/>
  <c r="H87" i="4"/>
  <c r="I87" i="4" s="1"/>
  <c r="J87" i="4" s="1" a="1"/>
  <c r="K86" i="4" a="1"/>
  <c r="J88" i="1" s="1" a="1"/>
  <c r="N93" i="1" a="1"/>
  <c r="AL90" i="4"/>
  <c r="AO89" i="4" a="1"/>
  <c r="AN91" i="1" s="1" a="1"/>
  <c r="N91" i="4"/>
  <c r="O91" i="4" s="1" a="1"/>
  <c r="M92" i="4" s="1"/>
  <c r="N92" i="4" s="1"/>
  <c r="O92" i="4" s="1" a="1"/>
  <c r="AB91" i="4"/>
  <c r="AC91" i="4" s="1"/>
  <c r="AD91" i="4" s="1" a="1"/>
  <c r="AE90" i="4" a="1"/>
  <c r="AD92" i="1" s="1" a="1"/>
  <c r="AE89" i="4" a="1"/>
  <c r="AD91" i="1" s="1" a="1"/>
  <c r="AG89" i="4"/>
  <c r="AH89" i="4" s="1"/>
  <c r="AI89" i="4" s="1" a="1"/>
  <c r="AJ88" i="4" a="1"/>
  <c r="AI90" i="1" s="1" a="1"/>
  <c r="R86" i="4"/>
  <c r="S86" i="4" s="1"/>
  <c r="T86" i="4" s="1" a="1"/>
  <c r="U85" i="4" a="1"/>
  <c r="T87" i="1" s="1" a="1"/>
  <c r="AV91" i="4"/>
  <c r="AW91" i="4" s="1"/>
  <c r="AX91" i="4" s="1" a="1"/>
  <c r="AY90" i="4" a="1"/>
  <c r="AX92" i="1" s="1" a="1"/>
  <c r="AV93" i="1" l="1" a="1"/>
  <c r="AW93" i="1" a="1"/>
  <c r="C93" i="1" a="1"/>
  <c r="W91" i="1" a="1"/>
  <c r="X91" i="1" a="1"/>
  <c r="AM92" i="1" a="1"/>
  <c r="AL92" i="1" a="1"/>
  <c r="AB93" i="1" a="1"/>
  <c r="D93" i="1" a="1"/>
  <c r="AC93" i="1" a="1"/>
  <c r="H88" i="4"/>
  <c r="I88" i="4" s="1"/>
  <c r="J88" i="4" s="1" a="1"/>
  <c r="K87" i="4" a="1"/>
  <c r="J89" i="1" s="1" a="1"/>
  <c r="D91" i="4"/>
  <c r="E91" i="4" s="1" a="1"/>
  <c r="C92" i="4" s="1"/>
  <c r="D92" i="4" s="1"/>
  <c r="E92" i="4" s="1" a="1"/>
  <c r="R87" i="4"/>
  <c r="S87" i="4" s="1"/>
  <c r="T87" i="4" s="1" a="1"/>
  <c r="U86" i="4" a="1"/>
  <c r="T88" i="1" s="1" a="1"/>
  <c r="AH91" i="1" a="1"/>
  <c r="AC92" i="1" a="1"/>
  <c r="AQ91" i="4"/>
  <c r="AR91" i="4" s="1"/>
  <c r="AS91" i="4" s="1" a="1"/>
  <c r="AT90" i="4" a="1"/>
  <c r="AS92" i="1" s="1" a="1"/>
  <c r="M93" i="4"/>
  <c r="N93" i="4" s="1"/>
  <c r="O93" i="4" s="1" a="1"/>
  <c r="P92" i="4" a="1"/>
  <c r="O94" i="1" s="1" a="1"/>
  <c r="AT89" i="4" a="1"/>
  <c r="AS91" i="1" s="1" a="1"/>
  <c r="S88" i="1" a="1"/>
  <c r="R88" i="1" a="1"/>
  <c r="H89" i="1" a="1"/>
  <c r="AG90" i="4"/>
  <c r="AH90" i="4" s="1"/>
  <c r="AI90" i="4" s="1" a="1"/>
  <c r="AJ89" i="4" a="1"/>
  <c r="AI91" i="1" s="1" a="1"/>
  <c r="I89" i="1" a="1"/>
  <c r="AB92" i="1" a="1"/>
  <c r="AB92" i="4"/>
  <c r="AC92" i="4" s="1"/>
  <c r="AD92" i="4" s="1" a="1"/>
  <c r="AE91" i="4" a="1"/>
  <c r="AD93" i="1" s="1" a="1"/>
  <c r="AV92" i="4"/>
  <c r="AW92" i="4" s="1"/>
  <c r="AX92" i="4" s="1" a="1"/>
  <c r="AY91" i="4" a="1"/>
  <c r="AX93" i="1" s="1" a="1"/>
  <c r="P91" i="4" a="1"/>
  <c r="O93" i="1" s="1" a="1"/>
  <c r="AG91" i="1" a="1"/>
  <c r="AM90" i="4"/>
  <c r="AN90" i="4" s="1" a="1"/>
  <c r="AL91" i="4" s="1"/>
  <c r="AM91" i="4" s="1"/>
  <c r="AN91" i="4" s="1" a="1"/>
  <c r="W90" i="4"/>
  <c r="X90" i="4" s="1"/>
  <c r="Y90" i="4" s="1" a="1"/>
  <c r="Z89" i="4" a="1"/>
  <c r="Y91" i="1" s="1" a="1"/>
  <c r="AC94" i="1" l="1" a="1"/>
  <c r="AV94" i="1" a="1"/>
  <c r="M94" i="1" a="1"/>
  <c r="N94" i="1" a="1"/>
  <c r="AR92" i="1" a="1"/>
  <c r="AW94" i="1" a="1"/>
  <c r="S89" i="1" a="1"/>
  <c r="AB94" i="1" a="1"/>
  <c r="AR93" i="1" a="1"/>
  <c r="AQ92" i="1" a="1"/>
  <c r="I90" i="1" a="1"/>
  <c r="W92" i="1" a="1"/>
  <c r="H90" i="1" a="1"/>
  <c r="M95" i="1" a="1"/>
  <c r="N95" i="1" a="1"/>
  <c r="AL92" i="4"/>
  <c r="AM92" i="4" s="1"/>
  <c r="AN92" i="4" s="1" a="1"/>
  <c r="AO91" i="4" a="1"/>
  <c r="AN93" i="1" s="1" a="1"/>
  <c r="C93" i="4"/>
  <c r="D93" i="4" s="1"/>
  <c r="E93" i="4" s="1" a="1"/>
  <c r="F92" i="4" a="1"/>
  <c r="E94" i="1" s="1" a="1"/>
  <c r="R88" i="4"/>
  <c r="S88" i="4" s="1"/>
  <c r="T88" i="4" s="1" a="1"/>
  <c r="U87" i="4" a="1"/>
  <c r="T89" i="1" s="1" a="1"/>
  <c r="AQ93" i="1" a="1"/>
  <c r="AG91" i="4"/>
  <c r="AH91" i="4" s="1"/>
  <c r="AI91" i="4" s="1" a="1"/>
  <c r="AJ90" i="4" a="1"/>
  <c r="AI92" i="1" s="1" a="1"/>
  <c r="AV93" i="4"/>
  <c r="AY92" i="4" a="1"/>
  <c r="AX94" i="1" s="1" a="1"/>
  <c r="W91" i="4"/>
  <c r="X91" i="4" s="1"/>
  <c r="Y91" i="4" s="1" a="1"/>
  <c r="Z90" i="4" a="1"/>
  <c r="Y92" i="1" s="1" a="1"/>
  <c r="AG92" i="1" a="1"/>
  <c r="R89" i="1" a="1"/>
  <c r="AO90" i="4" a="1"/>
  <c r="AN92" i="1" s="1" a="1"/>
  <c r="AH92" i="1" a="1"/>
  <c r="AQ92" i="4"/>
  <c r="AR92" i="4" s="1"/>
  <c r="AS92" i="4" s="1" a="1"/>
  <c r="AT91" i="4" a="1"/>
  <c r="AS93" i="1" s="1" a="1"/>
  <c r="F91" i="4" a="1"/>
  <c r="E93" i="1" s="1" a="1"/>
  <c r="X92" i="1" a="1"/>
  <c r="AB93" i="4"/>
  <c r="AC93" i="4" s="1"/>
  <c r="AD93" i="4" s="1" a="1"/>
  <c r="AE92" i="4" a="1"/>
  <c r="AD94" i="1" s="1" a="1"/>
  <c r="M94" i="4"/>
  <c r="P93" i="4" a="1"/>
  <c r="O95" i="1" s="1" a="1"/>
  <c r="H89" i="4"/>
  <c r="I89" i="4" s="1"/>
  <c r="J89" i="4" s="1" a="1"/>
  <c r="K88" i="4" a="1"/>
  <c r="J90" i="1" s="1" a="1"/>
  <c r="AB95" i="1" l="1" a="1"/>
  <c r="D94" i="1" a="1"/>
  <c r="AC95" i="1" a="1"/>
  <c r="AV95" i="1" a="1"/>
  <c r="H91" i="1" a="1"/>
  <c r="C94" i="1" a="1"/>
  <c r="X93" i="1" a="1"/>
  <c r="AM93" i="1" a="1"/>
  <c r="I91" i="1" a="1"/>
  <c r="AR94" i="1" a="1"/>
  <c r="AQ94" i="1" a="1"/>
  <c r="AW93" i="4"/>
  <c r="AX93" i="4" s="1" a="1"/>
  <c r="AV94" i="4" s="1"/>
  <c r="AW94" i="4" s="1"/>
  <c r="AX94" i="4" s="1" a="1"/>
  <c r="AG93" i="1" a="1"/>
  <c r="H90" i="4"/>
  <c r="I90" i="4" s="1"/>
  <c r="J90" i="4" s="1" a="1"/>
  <c r="K89" i="4" a="1"/>
  <c r="J91" i="1" s="1" a="1"/>
  <c r="AQ93" i="4"/>
  <c r="AR93" i="4" s="1"/>
  <c r="AS93" i="4" s="1" a="1"/>
  <c r="AT92" i="4" a="1"/>
  <c r="AS94" i="1" s="1" a="1"/>
  <c r="AH93" i="1" a="1"/>
  <c r="N96" i="1" a="1"/>
  <c r="M96" i="1" a="1"/>
  <c r="AL93" i="1" a="1"/>
  <c r="AG92" i="4"/>
  <c r="AH92" i="4" s="1"/>
  <c r="AI92" i="4" s="1" a="1"/>
  <c r="AJ91" i="4" a="1"/>
  <c r="AI93" i="1" s="1" a="1"/>
  <c r="N94" i="4"/>
  <c r="O94" i="4" s="1" a="1"/>
  <c r="M95" i="4" s="1"/>
  <c r="N95" i="4" s="1"/>
  <c r="O95" i="4" s="1" a="1"/>
  <c r="S90" i="1" a="1"/>
  <c r="R90" i="1" a="1"/>
  <c r="R89" i="4"/>
  <c r="S89" i="4" s="1"/>
  <c r="T89" i="4" s="1" a="1"/>
  <c r="U88" i="4" a="1"/>
  <c r="T90" i="1" s="1" a="1"/>
  <c r="AB94" i="4"/>
  <c r="AC94" i="4" s="1"/>
  <c r="AD94" i="4" s="1" a="1"/>
  <c r="AE93" i="4" a="1"/>
  <c r="AD95" i="1" s="1" a="1"/>
  <c r="W93" i="1" a="1"/>
  <c r="C95" i="1" a="1"/>
  <c r="D95" i="1" a="1"/>
  <c r="W92" i="4"/>
  <c r="X92" i="4" s="1"/>
  <c r="Y92" i="4" s="1" a="1"/>
  <c r="Z91" i="4" a="1"/>
  <c r="Y93" i="1" s="1" a="1"/>
  <c r="C94" i="4"/>
  <c r="D94" i="4" s="1"/>
  <c r="E94" i="4" s="1" a="1"/>
  <c r="F93" i="4" a="1"/>
  <c r="E95" i="1" s="1" a="1"/>
  <c r="AW95" i="1" a="1"/>
  <c r="AM94" i="1" a="1"/>
  <c r="AL94" i="1" a="1"/>
  <c r="AL93" i="4"/>
  <c r="AM93" i="4" s="1"/>
  <c r="AN93" i="4" s="1" a="1"/>
  <c r="AO92" i="4" a="1"/>
  <c r="AN94" i="1" s="1" a="1"/>
  <c r="D96" i="1" l="1" a="1"/>
  <c r="C96" i="1" a="1"/>
  <c r="AQ95" i="1" a="1"/>
  <c r="AR95" i="1" a="1"/>
  <c r="AG94" i="1" a="1"/>
  <c r="W94" i="1" a="1"/>
  <c r="X94" i="1" a="1"/>
  <c r="S91" i="1" a="1"/>
  <c r="R91" i="1" a="1"/>
  <c r="I92" i="1" a="1"/>
  <c r="AH94" i="1" a="1"/>
  <c r="H92" i="1" a="1"/>
  <c r="AB96" i="1" a="1"/>
  <c r="R90" i="4"/>
  <c r="S90" i="4" s="1"/>
  <c r="T90" i="4" s="1" a="1"/>
  <c r="U89" i="4" a="1"/>
  <c r="T91" i="1" s="1" a="1"/>
  <c r="C95" i="4"/>
  <c r="D95" i="4" s="1"/>
  <c r="E95" i="4" s="1" a="1"/>
  <c r="F94" i="4" a="1"/>
  <c r="E96" i="1" s="1" a="1"/>
  <c r="H91" i="4"/>
  <c r="K90" i="4" a="1"/>
  <c r="J92" i="1" s="1" a="1"/>
  <c r="AM95" i="1" a="1"/>
  <c r="AG93" i="4"/>
  <c r="AH93" i="4" s="1"/>
  <c r="AI93" i="4" s="1" a="1"/>
  <c r="AJ92" i="4" a="1"/>
  <c r="AI94" i="1" s="1" a="1"/>
  <c r="AQ94" i="4"/>
  <c r="AR94" i="4" s="1"/>
  <c r="AS94" i="4" s="1" a="1"/>
  <c r="AT93" i="4" a="1"/>
  <c r="AS95" i="1" s="1" a="1"/>
  <c r="AL94" i="4"/>
  <c r="AM94" i="4" s="1"/>
  <c r="AN94" i="4" s="1" a="1"/>
  <c r="AO93" i="4" a="1"/>
  <c r="AN95" i="1" s="1" a="1"/>
  <c r="AC96" i="1" a="1"/>
  <c r="AB95" i="4"/>
  <c r="AC95" i="4" s="1"/>
  <c r="AD95" i="4" s="1" a="1"/>
  <c r="AE94" i="4" a="1"/>
  <c r="AD96" i="1" s="1" a="1"/>
  <c r="M96" i="4"/>
  <c r="N96" i="4" s="1"/>
  <c r="O96" i="4" s="1" a="1"/>
  <c r="P95" i="4" a="1"/>
  <c r="O97" i="1" s="1" a="1"/>
  <c r="P94" i="4" a="1"/>
  <c r="O96" i="1" s="1" a="1"/>
  <c r="W93" i="4"/>
  <c r="X93" i="4" s="1"/>
  <c r="Y93" i="4" s="1" a="1"/>
  <c r="Z92" i="4" a="1"/>
  <c r="Y94" i="1" s="1" a="1"/>
  <c r="AV95" i="4"/>
  <c r="AW95" i="4" s="1"/>
  <c r="AX95" i="4" s="1" a="1"/>
  <c r="AY94" i="4" a="1"/>
  <c r="AX96" i="1" s="1" a="1"/>
  <c r="AL95" i="1" a="1"/>
  <c r="AY93" i="4" a="1"/>
  <c r="AX95" i="1" s="1" a="1"/>
  <c r="AW96" i="1" l="1" a="1"/>
  <c r="AL96" i="1" a="1"/>
  <c r="AM96" i="1" a="1"/>
  <c r="AB97" i="1" a="1"/>
  <c r="AV96" i="1" a="1"/>
  <c r="AC97" i="1" a="1"/>
  <c r="W95" i="1" a="1"/>
  <c r="AH95" i="1" a="1"/>
  <c r="X95" i="1" a="1"/>
  <c r="AG95" i="1" a="1"/>
  <c r="M97" i="4"/>
  <c r="N97" i="4" s="1"/>
  <c r="O97" i="4" s="1" a="1"/>
  <c r="P96" i="4" a="1"/>
  <c r="O98" i="1" s="1" a="1"/>
  <c r="AG94" i="4"/>
  <c r="AH94" i="4" s="1"/>
  <c r="AI94" i="4" s="1" a="1"/>
  <c r="AJ93" i="4" a="1"/>
  <c r="AI95" i="1" s="1" a="1"/>
  <c r="AV97" i="1" a="1"/>
  <c r="AW97" i="1" a="1"/>
  <c r="H93" i="1" a="1"/>
  <c r="AB96" i="4"/>
  <c r="AC96" i="4" s="1"/>
  <c r="AD96" i="4" s="1" a="1"/>
  <c r="AE95" i="4" a="1"/>
  <c r="AD97" i="1" s="1" a="1"/>
  <c r="I93" i="1" a="1"/>
  <c r="I91" i="4"/>
  <c r="J91" i="4" s="1" a="1"/>
  <c r="H92" i="4" s="1"/>
  <c r="I92" i="4" s="1"/>
  <c r="J92" i="4" s="1" a="1"/>
  <c r="C97" i="1" a="1"/>
  <c r="D97" i="1" a="1"/>
  <c r="M98" i="1" a="1"/>
  <c r="AL95" i="4"/>
  <c r="AM95" i="4" s="1"/>
  <c r="AN95" i="4" s="1" a="1"/>
  <c r="AO94" i="4" a="1"/>
  <c r="AN96" i="1" s="1" a="1"/>
  <c r="M97" i="1" a="1"/>
  <c r="AQ96" i="1" a="1"/>
  <c r="C96" i="4"/>
  <c r="D96" i="4" s="1"/>
  <c r="E96" i="4" s="1" a="1"/>
  <c r="F95" i="4" a="1"/>
  <c r="E97" i="1" s="1" a="1"/>
  <c r="W94" i="4"/>
  <c r="X94" i="4" s="1"/>
  <c r="Y94" i="4" s="1" a="1"/>
  <c r="Z93" i="4" a="1"/>
  <c r="Y95" i="1" s="1" a="1"/>
  <c r="N97" i="1" a="1"/>
  <c r="AR96" i="1" a="1"/>
  <c r="R92" i="1" a="1"/>
  <c r="AV96" i="4"/>
  <c r="AY95" i="4" a="1"/>
  <c r="AX97" i="1" s="1" a="1"/>
  <c r="S92" i="1" a="1"/>
  <c r="AQ95" i="4"/>
  <c r="AR95" i="4" s="1"/>
  <c r="AS95" i="4" s="1" a="1"/>
  <c r="AT94" i="4" a="1"/>
  <c r="AS96" i="1" s="1" a="1"/>
  <c r="N98" i="1" a="1"/>
  <c r="R91" i="4"/>
  <c r="S91" i="4" s="1"/>
  <c r="T91" i="4" s="1" a="1"/>
  <c r="U90" i="4" a="1"/>
  <c r="T92" i="1" s="1" a="1"/>
  <c r="M99" i="1" l="1" a="1"/>
  <c r="AL97" i="1" a="1"/>
  <c r="N99" i="1" a="1"/>
  <c r="C98" i="1" a="1"/>
  <c r="AM97" i="1" a="1"/>
  <c r="AB98" i="1" a="1"/>
  <c r="AH96" i="1" a="1"/>
  <c r="AV98" i="1" a="1"/>
  <c r="W96" i="1" a="1"/>
  <c r="AW98" i="1" a="1"/>
  <c r="AR97" i="1" a="1"/>
  <c r="AG96" i="1" a="1"/>
  <c r="X96" i="1" a="1"/>
  <c r="AG95" i="4"/>
  <c r="AH95" i="4" s="1"/>
  <c r="AI95" i="4" s="1" a="1"/>
  <c r="AJ94" i="4" a="1"/>
  <c r="AI96" i="1" s="1" a="1"/>
  <c r="R93" i="1" a="1"/>
  <c r="W95" i="4"/>
  <c r="X95" i="4" s="1"/>
  <c r="Y95" i="4" s="1" a="1"/>
  <c r="Z94" i="4" a="1"/>
  <c r="Y96" i="1" s="1" a="1"/>
  <c r="AL96" i="4"/>
  <c r="AO95" i="4" a="1"/>
  <c r="AN97" i="1" s="1" a="1"/>
  <c r="H93" i="4"/>
  <c r="I93" i="4" s="1"/>
  <c r="J93" i="4" s="1" a="1"/>
  <c r="K92" i="4" a="1"/>
  <c r="J94" i="1" s="1" a="1"/>
  <c r="AQ97" i="1" a="1"/>
  <c r="D98" i="1" a="1"/>
  <c r="AC98" i="1" a="1"/>
  <c r="AQ96" i="4"/>
  <c r="AR96" i="4" s="1"/>
  <c r="AS96" i="4" s="1" a="1"/>
  <c r="AT95" i="4" a="1"/>
  <c r="AS97" i="1" s="1" a="1"/>
  <c r="C97" i="4"/>
  <c r="D97" i="4" s="1"/>
  <c r="E97" i="4" s="1" a="1"/>
  <c r="F96" i="4" a="1"/>
  <c r="E98" i="1" s="1" a="1"/>
  <c r="AB97" i="4"/>
  <c r="AC97" i="4" s="1"/>
  <c r="AD97" i="4" s="1" a="1"/>
  <c r="AE96" i="4" a="1"/>
  <c r="AD98" i="1" s="1" a="1"/>
  <c r="AW96" i="4"/>
  <c r="AX96" i="4" s="1" a="1"/>
  <c r="AV97" i="4" s="1"/>
  <c r="AW97" i="4" s="1"/>
  <c r="AX97" i="4" s="1" a="1"/>
  <c r="S93" i="1" a="1"/>
  <c r="R92" i="4"/>
  <c r="S92" i="4" s="1"/>
  <c r="T92" i="4" s="1" a="1"/>
  <c r="U91" i="4" a="1"/>
  <c r="T93" i="1" s="1" a="1"/>
  <c r="K91" i="4" a="1"/>
  <c r="J93" i="1" s="1" a="1"/>
  <c r="M98" i="4"/>
  <c r="N98" i="4" s="1"/>
  <c r="O98" i="4" s="1" a="1"/>
  <c r="P97" i="4" a="1"/>
  <c r="O99" i="1" s="1" a="1"/>
  <c r="H94" i="1" l="1" a="1"/>
  <c r="I94" i="1" a="1"/>
  <c r="D99" i="1" a="1"/>
  <c r="C99" i="1" a="1"/>
  <c r="AG97" i="1" a="1"/>
  <c r="AH97" i="1" a="1"/>
  <c r="AQ98" i="1" a="1"/>
  <c r="W97" i="1" a="1"/>
  <c r="X97" i="1" a="1"/>
  <c r="R94" i="1" a="1"/>
  <c r="AB99" i="1" a="1"/>
  <c r="AR98" i="1" a="1"/>
  <c r="S94" i="1" a="1"/>
  <c r="AM98" i="1" a="1"/>
  <c r="M99" i="4"/>
  <c r="N99" i="4" s="1"/>
  <c r="O99" i="4" s="1" a="1"/>
  <c r="P98" i="4" a="1"/>
  <c r="O100" i="1" s="1" a="1"/>
  <c r="AM96" i="4"/>
  <c r="AN96" i="4" s="1" a="1"/>
  <c r="AL97" i="4" s="1"/>
  <c r="AM97" i="4" s="1"/>
  <c r="AN97" i="4" s="1" a="1"/>
  <c r="AQ97" i="4"/>
  <c r="AR97" i="4" s="1"/>
  <c r="AS97" i="4" s="1" a="1"/>
  <c r="AT96" i="4" a="1"/>
  <c r="AS98" i="1" s="1" a="1"/>
  <c r="AV98" i="4"/>
  <c r="AW98" i="4" s="1"/>
  <c r="AX98" i="4" s="1" a="1"/>
  <c r="AY97" i="4" a="1"/>
  <c r="AX99" i="1" s="1" a="1"/>
  <c r="AC99" i="1" a="1"/>
  <c r="H95" i="1" a="1"/>
  <c r="C98" i="4"/>
  <c r="D98" i="4" s="1"/>
  <c r="E98" i="4" s="1" a="1"/>
  <c r="F97" i="4" a="1"/>
  <c r="E99" i="1" s="1" a="1"/>
  <c r="H94" i="4"/>
  <c r="I94" i="4" s="1"/>
  <c r="J94" i="4" s="1" a="1"/>
  <c r="K93" i="4" a="1"/>
  <c r="J95" i="1" s="1" a="1"/>
  <c r="W96" i="4"/>
  <c r="X96" i="4" s="1"/>
  <c r="Y96" i="4" s="1" a="1"/>
  <c r="Z95" i="4" a="1"/>
  <c r="Y97" i="1" s="1" a="1"/>
  <c r="R93" i="4"/>
  <c r="S93" i="4" s="1"/>
  <c r="T93" i="4" s="1" a="1"/>
  <c r="U92" i="4" a="1"/>
  <c r="T94" i="1" s="1" a="1"/>
  <c r="M100" i="1" a="1"/>
  <c r="N100" i="1" a="1"/>
  <c r="AB98" i="4"/>
  <c r="AC98" i="4" s="1"/>
  <c r="AD98" i="4" s="1" a="1"/>
  <c r="AE97" i="4" a="1"/>
  <c r="AD99" i="1" s="1" a="1"/>
  <c r="AL98" i="1" a="1"/>
  <c r="AY96" i="4" a="1"/>
  <c r="AX98" i="1" s="1" a="1"/>
  <c r="I95" i="1" a="1"/>
  <c r="AG96" i="4"/>
  <c r="AH96" i="4" s="1"/>
  <c r="AI96" i="4" s="1" a="1"/>
  <c r="AJ95" i="4" a="1"/>
  <c r="AI97" i="1" s="1" a="1"/>
  <c r="D100" i="1" l="1" a="1"/>
  <c r="X98" i="1" a="1"/>
  <c r="M101" i="1" a="1"/>
  <c r="I96" i="1" a="1"/>
  <c r="H96" i="1" a="1"/>
  <c r="W98" i="1" a="1"/>
  <c r="C100" i="1" a="1"/>
  <c r="N101" i="1" a="1"/>
  <c r="S95" i="1" a="1"/>
  <c r="AL98" i="4"/>
  <c r="AM98" i="4" s="1"/>
  <c r="AN98" i="4" s="1" a="1"/>
  <c r="AO97" i="4" a="1"/>
  <c r="AN99" i="1" s="1" a="1"/>
  <c r="AG98" i="1" a="1"/>
  <c r="R95" i="1" a="1"/>
  <c r="AH98" i="1" a="1"/>
  <c r="AV100" i="1" a="1"/>
  <c r="R94" i="4"/>
  <c r="S94" i="4" s="1"/>
  <c r="T94" i="4" s="1" a="1"/>
  <c r="U93" i="4" a="1"/>
  <c r="T95" i="1" s="1" a="1"/>
  <c r="AW100" i="1" a="1"/>
  <c r="AV99" i="4"/>
  <c r="AW99" i="4" s="1"/>
  <c r="AX99" i="4" s="1" a="1"/>
  <c r="AY98" i="4" a="1"/>
  <c r="AX100" i="1" s="1" a="1"/>
  <c r="AG97" i="4"/>
  <c r="AH97" i="4" s="1"/>
  <c r="AI97" i="4" s="1" a="1"/>
  <c r="AJ96" i="4" a="1"/>
  <c r="AI98" i="1" s="1" a="1"/>
  <c r="AV99" i="1" a="1"/>
  <c r="AQ99" i="1" a="1"/>
  <c r="AW99" i="1" a="1"/>
  <c r="W97" i="4"/>
  <c r="X97" i="4" s="1"/>
  <c r="Y97" i="4" s="1" a="1"/>
  <c r="Z96" i="4" a="1"/>
  <c r="Y98" i="1" s="1" a="1"/>
  <c r="AR99" i="1" a="1"/>
  <c r="AQ98" i="4"/>
  <c r="AR98" i="4" s="1"/>
  <c r="AS98" i="4" s="1" a="1"/>
  <c r="AT97" i="4" a="1"/>
  <c r="AS99" i="1" s="1" a="1"/>
  <c r="AB100" i="1" a="1"/>
  <c r="AC100" i="1" a="1"/>
  <c r="H95" i="4"/>
  <c r="I95" i="4" s="1"/>
  <c r="J95" i="4" s="1" a="1"/>
  <c r="K94" i="4" a="1"/>
  <c r="J96" i="1" s="1" a="1"/>
  <c r="AO96" i="4" a="1"/>
  <c r="AN98" i="1" s="1" a="1"/>
  <c r="AB99" i="4"/>
  <c r="AC99" i="4" s="1"/>
  <c r="AD99" i="4" s="1" a="1"/>
  <c r="AE98" i="4" a="1"/>
  <c r="AD100" i="1" s="1" a="1"/>
  <c r="C99" i="4"/>
  <c r="F98" i="4" a="1"/>
  <c r="E100" i="1" s="1" a="1"/>
  <c r="M100" i="4"/>
  <c r="N100" i="4" s="1"/>
  <c r="O100" i="4" s="1" a="1"/>
  <c r="P99" i="4" a="1"/>
  <c r="O101" i="1" s="1" a="1"/>
  <c r="M102" i="1" l="1" a="1"/>
  <c r="AL100" i="1" a="1"/>
  <c r="AM99" i="1" a="1"/>
  <c r="N102" i="1" a="1"/>
  <c r="AH99" i="1" a="1"/>
  <c r="AL99" i="1" a="1"/>
  <c r="AG99" i="1" a="1"/>
  <c r="AM100" i="1" a="1"/>
  <c r="AV101" i="1" a="1"/>
  <c r="AQ100" i="1" a="1"/>
  <c r="D99" i="4"/>
  <c r="E99" i="4" s="1" a="1"/>
  <c r="C100" i="4" s="1"/>
  <c r="D100" i="4" s="1"/>
  <c r="E100" i="4" s="1" a="1"/>
  <c r="AC101" i="1" a="1"/>
  <c r="AQ99" i="4"/>
  <c r="AR99" i="4" s="1"/>
  <c r="AS99" i="4" s="1" a="1"/>
  <c r="AT98" i="4" a="1"/>
  <c r="AS100" i="1" s="1" a="1"/>
  <c r="AV100" i="4"/>
  <c r="AW100" i="4" s="1"/>
  <c r="AX100" i="4" s="1" a="1"/>
  <c r="AY99" i="4" a="1"/>
  <c r="AX101" i="1" s="1" a="1"/>
  <c r="AB101" i="1" a="1"/>
  <c r="W99" i="1" a="1"/>
  <c r="S96" i="1" a="1"/>
  <c r="AB100" i="4"/>
  <c r="AC100" i="4" s="1"/>
  <c r="AD100" i="4" s="1" a="1"/>
  <c r="AE99" i="4" a="1"/>
  <c r="AD101" i="1" s="1" a="1"/>
  <c r="X99" i="1" a="1"/>
  <c r="R96" i="1" a="1"/>
  <c r="R95" i="4"/>
  <c r="S95" i="4" s="1"/>
  <c r="T95" i="4" s="1" a="1"/>
  <c r="U94" i="4" a="1"/>
  <c r="T96" i="1" s="1" a="1"/>
  <c r="W98" i="4"/>
  <c r="X98" i="4" s="1"/>
  <c r="Y98" i="4" s="1" a="1"/>
  <c r="Z97" i="4" a="1"/>
  <c r="Y99" i="1" s="1" a="1"/>
  <c r="H97" i="1" a="1"/>
  <c r="I97" i="1" a="1"/>
  <c r="H96" i="4"/>
  <c r="I96" i="4" s="1"/>
  <c r="J96" i="4" s="1" a="1"/>
  <c r="K95" i="4" a="1"/>
  <c r="J97" i="1" s="1" a="1"/>
  <c r="C101" i="1" a="1"/>
  <c r="M101" i="4"/>
  <c r="N101" i="4" s="1"/>
  <c r="O101" i="4" s="1" a="1"/>
  <c r="P100" i="4" a="1"/>
  <c r="O102" i="1" s="1" a="1"/>
  <c r="AG98" i="4"/>
  <c r="AH98" i="4" s="1"/>
  <c r="AI98" i="4" s="1" a="1"/>
  <c r="AJ97" i="4" a="1"/>
  <c r="AI99" i="1" s="1" a="1"/>
  <c r="D101" i="1" a="1"/>
  <c r="AR100" i="1" a="1"/>
  <c r="AW101" i="1" a="1"/>
  <c r="AL99" i="4"/>
  <c r="AM99" i="4" s="1"/>
  <c r="AN99" i="4" s="1" a="1"/>
  <c r="AO98" i="4" a="1"/>
  <c r="AN100" i="1" s="1" a="1"/>
  <c r="R97" i="1" l="1" a="1"/>
  <c r="AQ101" i="1" a="1"/>
  <c r="N103" i="1" a="1"/>
  <c r="AC102" i="1" a="1"/>
  <c r="M103" i="1" a="1"/>
  <c r="W100" i="1" a="1"/>
  <c r="AV102" i="1" a="1"/>
  <c r="AR101" i="1" a="1"/>
  <c r="S97" i="1" a="1"/>
  <c r="AH100" i="1" a="1"/>
  <c r="X100" i="1" a="1"/>
  <c r="AW102" i="1" a="1"/>
  <c r="AG100" i="1" a="1"/>
  <c r="H98" i="1" a="1"/>
  <c r="AL101" i="1" a="1"/>
  <c r="W99" i="4"/>
  <c r="X99" i="4" s="1"/>
  <c r="Y99" i="4" s="1" a="1"/>
  <c r="Z98" i="4" a="1"/>
  <c r="Y100" i="1" s="1" a="1"/>
  <c r="R96" i="4"/>
  <c r="S96" i="4" s="1"/>
  <c r="T96" i="4" s="1" a="1"/>
  <c r="U95" i="4" a="1"/>
  <c r="T97" i="1" s="1" a="1"/>
  <c r="M102" i="4"/>
  <c r="N102" i="4" s="1"/>
  <c r="O102" i="4" s="1" a="1"/>
  <c r="P101" i="4" a="1"/>
  <c r="O103" i="1" s="1" a="1"/>
  <c r="AQ100" i="4"/>
  <c r="AR100" i="4" s="1"/>
  <c r="AS100" i="4" s="1" a="1"/>
  <c r="AT99" i="4" a="1"/>
  <c r="AS101" i="1" s="1" a="1"/>
  <c r="AV101" i="4"/>
  <c r="AW101" i="4" s="1"/>
  <c r="AX101" i="4" s="1" a="1"/>
  <c r="AY100" i="4" a="1"/>
  <c r="AX102" i="1" s="1" a="1"/>
  <c r="AL100" i="4"/>
  <c r="AO99" i="4" a="1"/>
  <c r="AN101" i="1" s="1" a="1"/>
  <c r="H97" i="4"/>
  <c r="K96" i="4" a="1"/>
  <c r="J98" i="1" s="1" a="1"/>
  <c r="AB101" i="4"/>
  <c r="AC101" i="4" s="1"/>
  <c r="AD101" i="4" s="1" a="1"/>
  <c r="AE100" i="4" a="1"/>
  <c r="AD102" i="1" s="1" a="1"/>
  <c r="AG99" i="4"/>
  <c r="AJ98" i="4" a="1"/>
  <c r="AI100" i="1" s="1" a="1"/>
  <c r="C101" i="4"/>
  <c r="D101" i="4" s="1"/>
  <c r="E101" i="4" s="1" a="1"/>
  <c r="F100" i="4" a="1"/>
  <c r="E102" i="1" s="1" a="1"/>
  <c r="AM101" i="1" a="1"/>
  <c r="I98" i="1" a="1"/>
  <c r="AB102" i="1" a="1"/>
  <c r="F99" i="4" a="1"/>
  <c r="E101" i="1" s="1" a="1"/>
  <c r="AW103" i="1" l="1" a="1"/>
  <c r="AG101" i="1" a="1"/>
  <c r="AH101" i="1" a="1"/>
  <c r="R98" i="1" a="1"/>
  <c r="X101" i="1" a="1"/>
  <c r="H99" i="1" a="1"/>
  <c r="I99" i="1" a="1"/>
  <c r="D103" i="1" a="1"/>
  <c r="S98" i="1" a="1"/>
  <c r="C103" i="1" a="1"/>
  <c r="M104" i="1" a="1"/>
  <c r="W101" i="1" a="1"/>
  <c r="N104" i="1" a="1"/>
  <c r="AV103" i="1" a="1"/>
  <c r="AM102" i="1" a="1"/>
  <c r="C102" i="1" a="1"/>
  <c r="AL102" i="1" a="1"/>
  <c r="R97" i="4"/>
  <c r="S97" i="4" s="1"/>
  <c r="T97" i="4" s="1" a="1"/>
  <c r="U96" i="4" a="1"/>
  <c r="T98" i="1" s="1" a="1"/>
  <c r="AH99" i="4"/>
  <c r="AI99" i="4" s="1" a="1"/>
  <c r="AG100" i="4" s="1"/>
  <c r="AH100" i="4" s="1"/>
  <c r="AI100" i="4" s="1" a="1"/>
  <c r="AV102" i="4"/>
  <c r="AW102" i="4" s="1"/>
  <c r="AX102" i="4" s="1" a="1"/>
  <c r="AY101" i="4" a="1"/>
  <c r="AX103" i="1" s="1" a="1"/>
  <c r="W100" i="4"/>
  <c r="X100" i="4" s="1"/>
  <c r="Y100" i="4" s="1" a="1"/>
  <c r="Z99" i="4" a="1"/>
  <c r="Y101" i="1" s="1" a="1"/>
  <c r="AC103" i="1" a="1"/>
  <c r="AQ102" i="1" a="1"/>
  <c r="AB103" i="1" a="1"/>
  <c r="AR102" i="1" a="1"/>
  <c r="C102" i="4"/>
  <c r="F101" i="4" a="1"/>
  <c r="E103" i="1" s="1" a="1"/>
  <c r="AM100" i="4"/>
  <c r="AN100" i="4" s="1" a="1"/>
  <c r="AL101" i="4" s="1"/>
  <c r="AM101" i="4" s="1"/>
  <c r="AN101" i="4" s="1" a="1"/>
  <c r="D102" i="1" a="1"/>
  <c r="AB102" i="4"/>
  <c r="AC102" i="4" s="1"/>
  <c r="AD102" i="4" s="1" a="1"/>
  <c r="AE101" i="4" a="1"/>
  <c r="AD103" i="1" s="1" a="1"/>
  <c r="AQ101" i="4"/>
  <c r="AR101" i="4" s="1"/>
  <c r="AS101" i="4" s="1" a="1"/>
  <c r="AT100" i="4" a="1"/>
  <c r="AS102" i="1" s="1" a="1"/>
  <c r="I97" i="4"/>
  <c r="J97" i="4" s="1" a="1"/>
  <c r="M103" i="4"/>
  <c r="N103" i="4" s="1"/>
  <c r="O103" i="4" s="1" a="1"/>
  <c r="P102" i="4" a="1"/>
  <c r="O104" i="1" s="1" a="1"/>
  <c r="AW104" i="1" l="1" a="1"/>
  <c r="AV104" i="1" a="1"/>
  <c r="AG101" i="4"/>
  <c r="AJ100" i="4" a="1"/>
  <c r="AI102" i="1" s="1" a="1"/>
  <c r="AQ102" i="4"/>
  <c r="AR102" i="4" s="1"/>
  <c r="AS102" i="4" s="1" a="1"/>
  <c r="AT101" i="4" a="1"/>
  <c r="AS103" i="1" s="1" a="1"/>
  <c r="W102" i="1" a="1"/>
  <c r="AB104" i="1" a="1"/>
  <c r="X102" i="1" a="1"/>
  <c r="W101" i="4"/>
  <c r="X101" i="4" s="1"/>
  <c r="Y101" i="4" s="1" a="1"/>
  <c r="Z100" i="4" a="1"/>
  <c r="Y102" i="1" s="1" a="1"/>
  <c r="AV103" i="4"/>
  <c r="AW103" i="4" s="1"/>
  <c r="AX103" i="4" s="1" a="1"/>
  <c r="AY102" i="4" a="1"/>
  <c r="AX104" i="1" s="1" a="1"/>
  <c r="AB103" i="4"/>
  <c r="AC103" i="4" s="1"/>
  <c r="AD103" i="4" s="1" a="1"/>
  <c r="AE102" i="4" a="1"/>
  <c r="AD104" i="1" s="1" a="1"/>
  <c r="AL102" i="4"/>
  <c r="AO101" i="4" a="1"/>
  <c r="AN103" i="1" s="1" a="1"/>
  <c r="M105" i="1" a="1"/>
  <c r="AO100" i="4" a="1"/>
  <c r="AN102" i="1" s="1" a="1"/>
  <c r="N105" i="1" a="1"/>
  <c r="C104" i="1" a="1"/>
  <c r="AR103" i="1" a="1"/>
  <c r="D104" i="1" a="1"/>
  <c r="AJ99" i="4" a="1"/>
  <c r="AI101" i="1" s="1" a="1"/>
  <c r="K97" i="4" a="1"/>
  <c r="J99" i="1" s="1" a="1"/>
  <c r="AQ103" i="1" a="1"/>
  <c r="M104" i="4"/>
  <c r="N104" i="4" s="1"/>
  <c r="O104" i="4" s="1" a="1"/>
  <c r="P103" i="4" a="1"/>
  <c r="O105" i="1" s="1" a="1"/>
  <c r="S99" i="1" a="1"/>
  <c r="AC104" i="1" a="1"/>
  <c r="H98" i="4"/>
  <c r="I98" i="4" s="1"/>
  <c r="J98" i="4" s="1" a="1"/>
  <c r="D102" i="4"/>
  <c r="E102" i="4" s="1" a="1"/>
  <c r="C103" i="4" s="1"/>
  <c r="D103" i="4" s="1"/>
  <c r="E103" i="4" s="1" a="1"/>
  <c r="R99" i="1" a="1"/>
  <c r="R98" i="4"/>
  <c r="S98" i="4" s="1"/>
  <c r="T98" i="4" s="1" a="1"/>
  <c r="U97" i="4" a="1"/>
  <c r="T99" i="1" s="1" a="1"/>
  <c r="H100" i="1" l="1" a="1"/>
  <c r="AV105" i="1" a="1"/>
  <c r="I100" i="1" a="1"/>
  <c r="AW105" i="1" a="1"/>
  <c r="AH102" i="1" a="1"/>
  <c r="AC105" i="1" a="1"/>
  <c r="AL103" i="1" a="1"/>
  <c r="W103" i="1" a="1"/>
  <c r="M106" i="1" a="1"/>
  <c r="AM103" i="1" a="1"/>
  <c r="X103" i="1" a="1"/>
  <c r="AV104" i="4"/>
  <c r="AW104" i="4" s="1"/>
  <c r="AX104" i="4" s="1" a="1"/>
  <c r="AY103" i="4" a="1"/>
  <c r="AX105" i="1" s="1" a="1"/>
  <c r="N106" i="1" a="1"/>
  <c r="W102" i="4"/>
  <c r="X102" i="4" s="1"/>
  <c r="Y102" i="4" s="1" a="1"/>
  <c r="Z101" i="4" a="1"/>
  <c r="Y103" i="1" s="1" a="1"/>
  <c r="M105" i="4"/>
  <c r="P104" i="4" a="1"/>
  <c r="O106" i="1" s="1" a="1"/>
  <c r="R99" i="4"/>
  <c r="S99" i="4" s="1"/>
  <c r="T99" i="4" s="1" a="1"/>
  <c r="U98" i="4" a="1"/>
  <c r="T100" i="1" s="1" a="1"/>
  <c r="AL104" i="1" a="1"/>
  <c r="AM104" i="1" a="1"/>
  <c r="AM102" i="4"/>
  <c r="AN102" i="4" s="1" a="1"/>
  <c r="AL103" i="4" s="1"/>
  <c r="AQ104" i="1" a="1"/>
  <c r="R100" i="1" a="1"/>
  <c r="AB105" i="1" a="1"/>
  <c r="AR104" i="1" a="1"/>
  <c r="AG102" i="1" a="1"/>
  <c r="AQ103" i="4"/>
  <c r="AR103" i="4" s="1"/>
  <c r="AS103" i="4" s="1" a="1"/>
  <c r="AT102" i="4" a="1"/>
  <c r="AS104" i="1" s="1" a="1"/>
  <c r="AB104" i="4"/>
  <c r="AC104" i="4" s="1"/>
  <c r="AD104" i="4" s="1" a="1"/>
  <c r="AE103" i="4" a="1"/>
  <c r="AD105" i="1" s="1" a="1"/>
  <c r="AH103" i="1" a="1"/>
  <c r="AG103" i="1" a="1"/>
  <c r="F102" i="4" a="1"/>
  <c r="E104" i="1" s="1" a="1"/>
  <c r="S100" i="1" a="1"/>
  <c r="C104" i="4"/>
  <c r="D104" i="4" s="1"/>
  <c r="E104" i="4" s="1" a="1"/>
  <c r="F103" i="4" a="1"/>
  <c r="E105" i="1" s="1" a="1"/>
  <c r="H99" i="4"/>
  <c r="I99" i="4" s="1"/>
  <c r="J99" i="4" s="1" a="1"/>
  <c r="K98" i="4" a="1"/>
  <c r="J100" i="1" s="1" a="1"/>
  <c r="AH101" i="4"/>
  <c r="AI101" i="4" s="1" a="1"/>
  <c r="AG102" i="4" s="1"/>
  <c r="AH102" i="4" s="1"/>
  <c r="AI102" i="4" s="1" a="1"/>
  <c r="AQ105" i="1" l="1" a="1"/>
  <c r="D105" i="1" a="1"/>
  <c r="H101" i="1" a="1"/>
  <c r="C105" i="1" a="1"/>
  <c r="AB106" i="1" a="1"/>
  <c r="AR105" i="1" a="1"/>
  <c r="AC106" i="1" a="1"/>
  <c r="N105" i="4"/>
  <c r="O105" i="4" s="1" a="1"/>
  <c r="M106" i="4" s="1"/>
  <c r="N106" i="4" s="1"/>
  <c r="O106" i="4" s="1" a="1"/>
  <c r="C105" i="4"/>
  <c r="F104" i="4" a="1"/>
  <c r="E106" i="1" s="1" a="1"/>
  <c r="W104" i="1" a="1"/>
  <c r="X104" i="1" a="1"/>
  <c r="D106" i="1" a="1"/>
  <c r="W103" i="4"/>
  <c r="X103" i="4" s="1"/>
  <c r="Y103" i="4" s="1" a="1"/>
  <c r="Z102" i="4" a="1"/>
  <c r="Y104" i="1" s="1" a="1"/>
  <c r="AM103" i="4"/>
  <c r="AN103" i="4" s="1" a="1"/>
  <c r="AL104" i="4" s="1"/>
  <c r="AM104" i="4" s="1"/>
  <c r="AN104" i="4" s="1" a="1"/>
  <c r="AO102" i="4" a="1"/>
  <c r="AN104" i="1" s="1" a="1"/>
  <c r="AW106" i="1" a="1"/>
  <c r="AQ104" i="4"/>
  <c r="AR104" i="4" s="1"/>
  <c r="AS104" i="4" s="1" a="1"/>
  <c r="AT103" i="4" a="1"/>
  <c r="AS105" i="1" s="1" a="1"/>
  <c r="AV106" i="1" a="1"/>
  <c r="AG103" i="4"/>
  <c r="AH103" i="4" s="1"/>
  <c r="AI103" i="4" s="1" a="1"/>
  <c r="AJ102" i="4" a="1"/>
  <c r="AI104" i="1" s="1" a="1"/>
  <c r="R101" i="1" a="1"/>
  <c r="AV105" i="4"/>
  <c r="AW105" i="4" s="1"/>
  <c r="AX105" i="4" s="1" a="1"/>
  <c r="AY104" i="4" a="1"/>
  <c r="AX106" i="1" s="1" a="1"/>
  <c r="AJ101" i="4" a="1"/>
  <c r="AI103" i="1" s="1" a="1"/>
  <c r="I101" i="1" a="1"/>
  <c r="S101" i="1" a="1"/>
  <c r="AB105" i="4"/>
  <c r="AC105" i="4" s="1"/>
  <c r="AD105" i="4" s="1" a="1"/>
  <c r="AE104" i="4" a="1"/>
  <c r="AD106" i="1" s="1" a="1"/>
  <c r="R100" i="4"/>
  <c r="S100" i="4" s="1"/>
  <c r="T100" i="4" s="1" a="1"/>
  <c r="U99" i="4" a="1"/>
  <c r="T101" i="1" s="1" a="1"/>
  <c r="H100" i="4"/>
  <c r="I100" i="4" s="1"/>
  <c r="J100" i="4" s="1" a="1"/>
  <c r="K99" i="4" a="1"/>
  <c r="J101" i="1" s="1" a="1"/>
  <c r="M107" i="1" a="1"/>
  <c r="C106" i="1" a="1"/>
  <c r="N107" i="1" a="1"/>
  <c r="AH104" i="1" l="1" a="1"/>
  <c r="AC107" i="1" a="1"/>
  <c r="W105" i="1" a="1"/>
  <c r="AG105" i="1" a="1"/>
  <c r="AQ106" i="1" a="1"/>
  <c r="AR106" i="1" a="1"/>
  <c r="AH105" i="1" a="1"/>
  <c r="X105" i="1" a="1"/>
  <c r="R102" i="1" a="1"/>
  <c r="S102" i="1" a="1"/>
  <c r="AG104" i="1" a="1"/>
  <c r="AB107" i="1" a="1"/>
  <c r="AM105" i="1" a="1"/>
  <c r="AV107" i="1" a="1"/>
  <c r="H102" i="1" a="1"/>
  <c r="I102" i="1" a="1"/>
  <c r="AW107" i="1" a="1"/>
  <c r="AL105" i="1" a="1"/>
  <c r="AL105" i="4"/>
  <c r="AM105" i="4" s="1"/>
  <c r="AN105" i="4" s="1" a="1"/>
  <c r="AO104" i="4" a="1"/>
  <c r="AN106" i="1" s="1" a="1"/>
  <c r="D105" i="4"/>
  <c r="E105" i="4" s="1" a="1"/>
  <c r="C106" i="4" s="1"/>
  <c r="M107" i="4"/>
  <c r="N107" i="4" s="1"/>
  <c r="O107" i="4" s="1" a="1"/>
  <c r="P106" i="4" a="1"/>
  <c r="O108" i="1" s="1" a="1"/>
  <c r="P105" i="4" a="1"/>
  <c r="O107" i="1" s="1" a="1"/>
  <c r="H101" i="4"/>
  <c r="I101" i="4" s="1"/>
  <c r="J101" i="4" s="1" a="1"/>
  <c r="K100" i="4" a="1"/>
  <c r="J102" i="1" s="1" a="1"/>
  <c r="W104" i="4"/>
  <c r="X104" i="4" s="1"/>
  <c r="Y104" i="4" s="1" a="1"/>
  <c r="Z103" i="4" a="1"/>
  <c r="Y105" i="1" s="1" a="1"/>
  <c r="AB106" i="4"/>
  <c r="AC106" i="4" s="1"/>
  <c r="AD106" i="4" s="1" a="1"/>
  <c r="AE105" i="4" a="1"/>
  <c r="AD107" i="1" s="1" a="1"/>
  <c r="R101" i="4"/>
  <c r="S101" i="4" s="1"/>
  <c r="T101" i="4" s="1" a="1"/>
  <c r="U100" i="4" a="1"/>
  <c r="T102" i="1" s="1" a="1"/>
  <c r="AG104" i="4"/>
  <c r="AH104" i="4" s="1"/>
  <c r="AI104" i="4" s="1" a="1"/>
  <c r="AJ103" i="4" a="1"/>
  <c r="AI105" i="1" s="1" a="1"/>
  <c r="AQ105" i="4"/>
  <c r="AR105" i="4" s="1"/>
  <c r="AS105" i="4" s="1" a="1"/>
  <c r="AT104" i="4" a="1"/>
  <c r="AS106" i="1" s="1" a="1"/>
  <c r="AV106" i="4"/>
  <c r="AW106" i="4" s="1"/>
  <c r="AX106" i="4" s="1" a="1"/>
  <c r="AY105" i="4" a="1"/>
  <c r="AX107" i="1" s="1" a="1"/>
  <c r="AO103" i="4" a="1"/>
  <c r="AN105" i="1" s="1" a="1"/>
  <c r="D107" i="1" a="1"/>
  <c r="C107" i="1" a="1"/>
  <c r="AV108" i="1" l="1" a="1"/>
  <c r="AW108" i="1" a="1"/>
  <c r="AL107" i="1" a="1"/>
  <c r="N109" i="1" a="1"/>
  <c r="AM107" i="1" a="1"/>
  <c r="AR107" i="1" a="1"/>
  <c r="AH106" i="1" a="1"/>
  <c r="N108" i="1" a="1"/>
  <c r="AB108" i="1" a="1"/>
  <c r="AL106" i="1" a="1"/>
  <c r="X106" i="1" a="1"/>
  <c r="I103" i="1" a="1"/>
  <c r="AM106" i="1" a="1"/>
  <c r="M108" i="1" a="1"/>
  <c r="M109" i="1" a="1"/>
  <c r="AC108" i="1" a="1"/>
  <c r="R102" i="4"/>
  <c r="S102" i="4" s="1"/>
  <c r="T102" i="4" s="1" a="1"/>
  <c r="U101" i="4" a="1"/>
  <c r="T103" i="1" s="1" a="1"/>
  <c r="W105" i="4"/>
  <c r="X105" i="4" s="1"/>
  <c r="Y105" i="4" s="1" a="1"/>
  <c r="Z104" i="4" a="1"/>
  <c r="Y106" i="1" s="1" a="1"/>
  <c r="AL106" i="4"/>
  <c r="AM106" i="4" s="1"/>
  <c r="AN106" i="4" s="1" a="1"/>
  <c r="AO105" i="4" a="1"/>
  <c r="AN107" i="1" s="1" a="1"/>
  <c r="AG106" i="1" a="1"/>
  <c r="H103" i="1" a="1"/>
  <c r="S103" i="1" a="1"/>
  <c r="AQ106" i="4"/>
  <c r="AR106" i="4" s="1"/>
  <c r="AS106" i="4" s="1" a="1"/>
  <c r="AT105" i="4" a="1"/>
  <c r="AS107" i="1" s="1" a="1"/>
  <c r="R103" i="1" a="1"/>
  <c r="AG105" i="4"/>
  <c r="AJ104" i="4" a="1"/>
  <c r="AI106" i="1" s="1" a="1"/>
  <c r="H102" i="4"/>
  <c r="I102" i="4" s="1"/>
  <c r="J102" i="4" s="1" a="1"/>
  <c r="K101" i="4" a="1"/>
  <c r="J103" i="1" s="1" a="1"/>
  <c r="M108" i="4"/>
  <c r="N108" i="4" s="1"/>
  <c r="O108" i="4" s="1" a="1"/>
  <c r="P107" i="4" a="1"/>
  <c r="O109" i="1" s="1" a="1"/>
  <c r="AV107" i="4"/>
  <c r="AW107" i="4" s="1"/>
  <c r="AX107" i="4" s="1" a="1"/>
  <c r="AY106" i="4" a="1"/>
  <c r="AX108" i="1" s="1" a="1"/>
  <c r="AB107" i="4"/>
  <c r="AE106" i="4" a="1"/>
  <c r="AD108" i="1" s="1" a="1"/>
  <c r="D106" i="4"/>
  <c r="E106" i="4" s="1" a="1"/>
  <c r="AQ107" i="1" a="1"/>
  <c r="W106" i="1" a="1"/>
  <c r="F105" i="4" a="1"/>
  <c r="E107" i="1" s="1" a="1"/>
  <c r="X107" i="1" l="1" a="1"/>
  <c r="AH107" i="1" a="1"/>
  <c r="C108" i="1" a="1"/>
  <c r="AQ108" i="1" a="1"/>
  <c r="I104" i="1" a="1"/>
  <c r="D108" i="1" a="1"/>
  <c r="N110" i="1" a="1"/>
  <c r="AB109" i="1" a="1"/>
  <c r="H104" i="1" a="1"/>
  <c r="AV108" i="4"/>
  <c r="AW108" i="4" s="1"/>
  <c r="AX108" i="4" s="1" a="1"/>
  <c r="AY107" i="4" a="1"/>
  <c r="AX109" i="1" s="1" a="1"/>
  <c r="M110" i="1" a="1"/>
  <c r="AQ107" i="4"/>
  <c r="AR107" i="4" s="1"/>
  <c r="AS107" i="4" s="1" a="1"/>
  <c r="AT106" i="4" a="1"/>
  <c r="AS108" i="1" s="1" a="1"/>
  <c r="AL108" i="1" a="1"/>
  <c r="AM108" i="1" a="1"/>
  <c r="F106" i="4" a="1"/>
  <c r="E108" i="1" s="1" a="1"/>
  <c r="M109" i="4"/>
  <c r="N109" i="4" s="1"/>
  <c r="O109" i="4" s="1" a="1"/>
  <c r="P108" i="4" a="1"/>
  <c r="O110" i="1" s="1" a="1"/>
  <c r="C107" i="4"/>
  <c r="H103" i="4"/>
  <c r="I103" i="4" s="1"/>
  <c r="J103" i="4" s="1" a="1"/>
  <c r="K102" i="4" a="1"/>
  <c r="J104" i="1" s="1" a="1"/>
  <c r="AL107" i="4"/>
  <c r="AM107" i="4" s="1"/>
  <c r="AN107" i="4" s="1" a="1"/>
  <c r="AO106" i="4" a="1"/>
  <c r="AN108" i="1" s="1" a="1"/>
  <c r="AC109" i="1" a="1"/>
  <c r="AG107" i="1" a="1"/>
  <c r="W107" i="1" a="1"/>
  <c r="AC107" i="4"/>
  <c r="AD107" i="4" s="1" a="1"/>
  <c r="AB108" i="4" s="1"/>
  <c r="AC108" i="4" s="1"/>
  <c r="AD108" i="4" s="1" a="1"/>
  <c r="AH105" i="4"/>
  <c r="AI105" i="4" s="1" a="1"/>
  <c r="AG106" i="4" s="1"/>
  <c r="AH106" i="4" s="1"/>
  <c r="AI106" i="4" s="1" a="1"/>
  <c r="W106" i="4"/>
  <c r="Z105" i="4" a="1"/>
  <c r="Y107" i="1" s="1" a="1"/>
  <c r="S104" i="1" a="1"/>
  <c r="AW109" i="1" a="1"/>
  <c r="AV109" i="1" a="1"/>
  <c r="AR108" i="1" a="1"/>
  <c r="R104" i="1" a="1"/>
  <c r="R103" i="4"/>
  <c r="S103" i="4" s="1"/>
  <c r="T103" i="4" s="1" a="1"/>
  <c r="U102" i="4" a="1"/>
  <c r="T104" i="1" s="1" a="1"/>
  <c r="I105" i="1" l="1" a="1"/>
  <c r="H105" i="1" a="1"/>
  <c r="AV110" i="1" a="1"/>
  <c r="AW110" i="1" a="1"/>
  <c r="AQ109" i="1" a="1"/>
  <c r="W108" i="1" a="1"/>
  <c r="X108" i="1" a="1"/>
  <c r="AL109" i="1" a="1"/>
  <c r="AR109" i="1" a="1"/>
  <c r="M111" i="1" a="1"/>
  <c r="AM109" i="1" a="1"/>
  <c r="N111" i="1" a="1"/>
  <c r="AB109" i="4"/>
  <c r="AC109" i="4" s="1"/>
  <c r="AD109" i="4" s="1" a="1"/>
  <c r="AE108" i="4" a="1"/>
  <c r="AD110" i="1" s="1" a="1"/>
  <c r="H104" i="4"/>
  <c r="I104" i="4" s="1"/>
  <c r="J104" i="4" s="1" a="1"/>
  <c r="K103" i="4" a="1"/>
  <c r="J105" i="1" s="1" a="1"/>
  <c r="X106" i="4"/>
  <c r="Y106" i="4" s="1" a="1"/>
  <c r="W107" i="4" s="1"/>
  <c r="X107" i="4" s="1"/>
  <c r="Y107" i="4" s="1" a="1"/>
  <c r="D107" i="4"/>
  <c r="E107" i="4" s="1" a="1"/>
  <c r="C108" i="4" s="1"/>
  <c r="AG107" i="4"/>
  <c r="AH107" i="4" s="1"/>
  <c r="AI107" i="4" s="1" a="1"/>
  <c r="AJ106" i="4" a="1"/>
  <c r="AI108" i="1" s="1" a="1"/>
  <c r="AJ105" i="4" a="1"/>
  <c r="AI107" i="1" s="1" a="1"/>
  <c r="AL108" i="4"/>
  <c r="AO107" i="4" a="1"/>
  <c r="AN109" i="1" s="1" a="1"/>
  <c r="R105" i="1" a="1"/>
  <c r="AE107" i="4" a="1"/>
  <c r="AD109" i="1" s="1" a="1"/>
  <c r="M110" i="4"/>
  <c r="P109" i="4" a="1"/>
  <c r="O111" i="1" s="1" a="1"/>
  <c r="S105" i="1" a="1"/>
  <c r="C109" i="1" a="1"/>
  <c r="D109" i="1" a="1"/>
  <c r="R104" i="4"/>
  <c r="S104" i="4" s="1"/>
  <c r="T104" i="4" s="1" a="1"/>
  <c r="U103" i="4" a="1"/>
  <c r="T105" i="1" s="1" a="1"/>
  <c r="AQ108" i="4"/>
  <c r="AR108" i="4" s="1"/>
  <c r="AS108" i="4" s="1" a="1"/>
  <c r="AT107" i="4" a="1"/>
  <c r="AS109" i="1" s="1" a="1"/>
  <c r="AV109" i="4"/>
  <c r="AW109" i="4" s="1"/>
  <c r="AX109" i="4" s="1" a="1"/>
  <c r="AY108" i="4" a="1"/>
  <c r="AX110" i="1" s="1" a="1"/>
  <c r="AG109" i="1" l="1" a="1"/>
  <c r="I106" i="1" a="1"/>
  <c r="AB110" i="1" a="1"/>
  <c r="H106" i="1" a="1"/>
  <c r="AC110" i="1" a="1"/>
  <c r="AR110" i="1" a="1"/>
  <c r="M112" i="1" a="1"/>
  <c r="AQ110" i="1" a="1"/>
  <c r="AH109" i="1" a="1"/>
  <c r="N112" i="1" a="1"/>
  <c r="AH108" i="1" a="1"/>
  <c r="AV111" i="1" a="1"/>
  <c r="AW111" i="1" a="1"/>
  <c r="AG108" i="4"/>
  <c r="AH108" i="4" s="1"/>
  <c r="AI108" i="4" s="1" a="1"/>
  <c r="AJ107" i="4" a="1"/>
  <c r="AI109" i="1" s="1" a="1"/>
  <c r="AM108" i="4"/>
  <c r="AN108" i="4" s="1" a="1"/>
  <c r="AL109" i="4" s="1"/>
  <c r="AM109" i="4" s="1"/>
  <c r="AN109" i="4" s="1" a="1"/>
  <c r="AB110" i="4"/>
  <c r="AC110" i="4" s="1"/>
  <c r="AD110" i="4" s="1" a="1"/>
  <c r="AE109" i="4" a="1"/>
  <c r="AD111" i="1" s="1" a="1"/>
  <c r="N110" i="4"/>
  <c r="O110" i="4" s="1" a="1"/>
  <c r="M111" i="4" s="1"/>
  <c r="N111" i="4" s="1"/>
  <c r="O111" i="4" s="1" a="1"/>
  <c r="D108" i="4"/>
  <c r="E108" i="4" s="1" a="1"/>
  <c r="C109" i="4" s="1"/>
  <c r="W108" i="4"/>
  <c r="X108" i="4" s="1"/>
  <c r="Y108" i="4" s="1" a="1"/>
  <c r="Z107" i="4" a="1"/>
  <c r="Y109" i="1" s="1" a="1"/>
  <c r="Z106" i="4" a="1"/>
  <c r="Y108" i="1" s="1" a="1"/>
  <c r="AQ109" i="4"/>
  <c r="AR109" i="4" s="1"/>
  <c r="AS109" i="4" s="1" a="1"/>
  <c r="AT108" i="4" a="1"/>
  <c r="AS110" i="1" s="1" a="1"/>
  <c r="AM110" i="1" a="1"/>
  <c r="R106" i="1" a="1"/>
  <c r="AL110" i="1" a="1"/>
  <c r="R105" i="4"/>
  <c r="S105" i="4" s="1"/>
  <c r="T105" i="4" s="1" a="1"/>
  <c r="U104" i="4" a="1"/>
  <c r="T106" i="1" s="1" a="1"/>
  <c r="AV110" i="4"/>
  <c r="AW110" i="4" s="1"/>
  <c r="AX110" i="4" s="1" a="1"/>
  <c r="AY109" i="4" a="1"/>
  <c r="AX111" i="1" s="1" a="1"/>
  <c r="F107" i="4" a="1"/>
  <c r="E109" i="1" s="1" a="1"/>
  <c r="S106" i="1" a="1"/>
  <c r="H105" i="4"/>
  <c r="I105" i="4" s="1"/>
  <c r="J105" i="4" s="1" a="1"/>
  <c r="K104" i="4" a="1"/>
  <c r="J106" i="1" s="1" a="1"/>
  <c r="AB111" i="1" a="1"/>
  <c r="AC111" i="1" a="1"/>
  <c r="AG108" i="1" a="1"/>
  <c r="W110" i="1" l="1" a="1"/>
  <c r="X110" i="1" a="1"/>
  <c r="X109" i="1" a="1"/>
  <c r="W109" i="1" a="1"/>
  <c r="AH110" i="1" a="1"/>
  <c r="D110" i="1" a="1"/>
  <c r="AW112" i="1" a="1"/>
  <c r="AG110" i="1" a="1"/>
  <c r="AV112" i="1" a="1"/>
  <c r="AB112" i="1" a="1"/>
  <c r="AQ111" i="1" a="1"/>
  <c r="AC112" i="1" a="1"/>
  <c r="C110" i="1" a="1"/>
  <c r="R107" i="1" a="1"/>
  <c r="AR111" i="1" a="1"/>
  <c r="S107" i="1" a="1"/>
  <c r="D109" i="4"/>
  <c r="E109" i="4" s="1" a="1"/>
  <c r="C110" i="4" s="1"/>
  <c r="M112" i="4"/>
  <c r="P111" i="4" a="1"/>
  <c r="O113" i="1" s="1" a="1"/>
  <c r="AQ110" i="4"/>
  <c r="AR110" i="4" s="1"/>
  <c r="AS110" i="4" s="1" a="1"/>
  <c r="AT109" i="4" a="1"/>
  <c r="AS111" i="1" s="1" a="1"/>
  <c r="AL110" i="4"/>
  <c r="AO109" i="4" a="1"/>
  <c r="AN111" i="1" s="1" a="1"/>
  <c r="AO108" i="4" a="1"/>
  <c r="AN110" i="1" s="1" a="1"/>
  <c r="AV111" i="4"/>
  <c r="AW111" i="4" s="1"/>
  <c r="AX111" i="4" s="1" a="1"/>
  <c r="AY110" i="4" a="1"/>
  <c r="AX112" i="1" s="1" a="1"/>
  <c r="AG109" i="4"/>
  <c r="AH109" i="4" s="1"/>
  <c r="AI109" i="4" s="1" a="1"/>
  <c r="AJ108" i="4" a="1"/>
  <c r="AI110" i="1" s="1" a="1"/>
  <c r="R106" i="4"/>
  <c r="S106" i="4" s="1"/>
  <c r="T106" i="4" s="1" a="1"/>
  <c r="U105" i="4" a="1"/>
  <c r="T107" i="1" s="1" a="1"/>
  <c r="F108" i="4" a="1"/>
  <c r="E110" i="1" s="1" a="1"/>
  <c r="I107" i="1" a="1"/>
  <c r="AB111" i="4"/>
  <c r="AC111" i="4" s="1"/>
  <c r="AD111" i="4" s="1" a="1"/>
  <c r="AE110" i="4" a="1"/>
  <c r="AD112" i="1" s="1" a="1"/>
  <c r="H107" i="1" a="1"/>
  <c r="P110" i="4" a="1"/>
  <c r="O112" i="1" s="1" a="1"/>
  <c r="H106" i="4"/>
  <c r="I106" i="4" s="1"/>
  <c r="J106" i="4" s="1" a="1"/>
  <c r="K105" i="4" a="1"/>
  <c r="J107" i="1" s="1" a="1"/>
  <c r="W109" i="4"/>
  <c r="X109" i="4" s="1"/>
  <c r="Y109" i="4" s="1" a="1"/>
  <c r="Z108" i="4" a="1"/>
  <c r="Y110" i="1" s="1" a="1"/>
  <c r="AV113" i="1" l="1" a="1"/>
  <c r="AG111" i="1" a="1"/>
  <c r="AW113" i="1" a="1"/>
  <c r="AC113" i="1" a="1"/>
  <c r="AH111" i="1" a="1"/>
  <c r="M113" i="1" a="1"/>
  <c r="AQ112" i="1" a="1"/>
  <c r="N113" i="1" a="1"/>
  <c r="AR112" i="1" a="1"/>
  <c r="I108" i="1" a="1"/>
  <c r="M114" i="1" a="1"/>
  <c r="C111" i="1" a="1"/>
  <c r="N114" i="1" a="1"/>
  <c r="R107" i="4"/>
  <c r="U106" i="4" a="1"/>
  <c r="T108" i="1" s="1" a="1"/>
  <c r="AG110" i="4"/>
  <c r="AH110" i="4" s="1"/>
  <c r="AI110" i="4" s="1" a="1"/>
  <c r="AJ109" i="4" a="1"/>
  <c r="AI111" i="1" s="1" a="1"/>
  <c r="N112" i="4"/>
  <c r="O112" i="4" s="1" a="1"/>
  <c r="M113" i="4" s="1"/>
  <c r="N113" i="4" s="1"/>
  <c r="O113" i="4" s="1" a="1"/>
  <c r="AV112" i="4"/>
  <c r="AW112" i="4" s="1"/>
  <c r="AX112" i="4" s="1" a="1"/>
  <c r="AY111" i="4" a="1"/>
  <c r="AX113" i="1" s="1" a="1"/>
  <c r="X111" i="1" a="1"/>
  <c r="D111" i="1" a="1"/>
  <c r="AL111" i="1" a="1"/>
  <c r="AQ111" i="4"/>
  <c r="AR111" i="4" s="1"/>
  <c r="AS111" i="4" s="1" a="1"/>
  <c r="AT110" i="4" a="1"/>
  <c r="AS112" i="1" s="1" a="1"/>
  <c r="AL112" i="1" a="1"/>
  <c r="S108" i="1" a="1"/>
  <c r="AM110" i="4"/>
  <c r="AN110" i="4" s="1" a="1"/>
  <c r="AL111" i="4" s="1"/>
  <c r="AB113" i="1" a="1"/>
  <c r="W110" i="4"/>
  <c r="Z109" i="4" a="1"/>
  <c r="Y111" i="1" s="1" a="1"/>
  <c r="H108" i="1" a="1"/>
  <c r="R108" i="1" a="1"/>
  <c r="AM112" i="1" a="1"/>
  <c r="H107" i="4"/>
  <c r="I107" i="4" s="1"/>
  <c r="J107" i="4" s="1" a="1"/>
  <c r="K106" i="4" a="1"/>
  <c r="J108" i="1" s="1" a="1"/>
  <c r="AB112" i="4"/>
  <c r="AC112" i="4" s="1"/>
  <c r="AD112" i="4" s="1" a="1"/>
  <c r="AE111" i="4" a="1"/>
  <c r="AD113" i="1" s="1" a="1"/>
  <c r="D110" i="4"/>
  <c r="E110" i="4" s="1" a="1"/>
  <c r="C111" i="4" s="1"/>
  <c r="W111" i="1" a="1"/>
  <c r="AM111" i="1" a="1"/>
  <c r="F109" i="4" a="1"/>
  <c r="E111" i="1" s="1" a="1"/>
  <c r="H109" i="1" l="1" a="1"/>
  <c r="AG112" i="1" a="1"/>
  <c r="C112" i="1" a="1"/>
  <c r="D112" i="1" a="1"/>
  <c r="AB114" i="1" a="1"/>
  <c r="AC114" i="1" a="1"/>
  <c r="M114" i="4"/>
  <c r="N114" i="4" s="1"/>
  <c r="O114" i="4" s="1" a="1"/>
  <c r="P113" i="4" a="1"/>
  <c r="O115" i="1" s="1" a="1"/>
  <c r="D111" i="4"/>
  <c r="E111" i="4" s="1" a="1"/>
  <c r="C112" i="4" s="1"/>
  <c r="W112" i="1" a="1"/>
  <c r="AW114" i="1" a="1"/>
  <c r="X112" i="1" a="1"/>
  <c r="AV114" i="1" a="1"/>
  <c r="AV113" i="4"/>
  <c r="AW113" i="4" s="1"/>
  <c r="AX113" i="4" s="1" a="1"/>
  <c r="AY112" i="4" a="1"/>
  <c r="AX114" i="1" s="1" a="1"/>
  <c r="P112" i="4" a="1"/>
  <c r="O114" i="1" s="1" a="1"/>
  <c r="AH112" i="1" a="1"/>
  <c r="X110" i="4"/>
  <c r="Y110" i="4" s="1" a="1"/>
  <c r="W111" i="4" s="1"/>
  <c r="X111" i="4" s="1"/>
  <c r="Y111" i="4" s="1" a="1"/>
  <c r="AM111" i="4"/>
  <c r="AN111" i="4" s="1" a="1"/>
  <c r="AL112" i="4" s="1"/>
  <c r="AO110" i="4" a="1"/>
  <c r="AN112" i="1" s="1" a="1"/>
  <c r="AB113" i="4"/>
  <c r="AC113" i="4" s="1"/>
  <c r="AD113" i="4" s="1" a="1"/>
  <c r="AE112" i="4" a="1"/>
  <c r="AD114" i="1" s="1" a="1"/>
  <c r="F110" i="4" a="1"/>
  <c r="E112" i="1" s="1" a="1"/>
  <c r="I109" i="1" a="1"/>
  <c r="AR113" i="1" a="1"/>
  <c r="AG111" i="4"/>
  <c r="AH111" i="4" s="1"/>
  <c r="AI111" i="4" s="1" a="1"/>
  <c r="AJ110" i="4" a="1"/>
  <c r="AI112" i="1" s="1" a="1"/>
  <c r="AQ113" i="1" a="1"/>
  <c r="R109" i="1" a="1"/>
  <c r="S109" i="1" a="1"/>
  <c r="H108" i="4"/>
  <c r="I108" i="4" s="1"/>
  <c r="J108" i="4" s="1" a="1"/>
  <c r="K107" i="4" a="1"/>
  <c r="J109" i="1" s="1" a="1"/>
  <c r="AQ112" i="4"/>
  <c r="AR112" i="4" s="1"/>
  <c r="AS112" i="4" s="1" a="1"/>
  <c r="AT111" i="4" a="1"/>
  <c r="AS113" i="1" s="1" a="1"/>
  <c r="S107" i="4"/>
  <c r="T107" i="4" s="1" a="1"/>
  <c r="AL113" i="1" l="1" a="1"/>
  <c r="AM113" i="1" a="1"/>
  <c r="M116" i="1" a="1"/>
  <c r="D113" i="1" a="1"/>
  <c r="N116" i="1" a="1"/>
  <c r="AB115" i="1" a="1"/>
  <c r="I110" i="1" a="1"/>
  <c r="AH113" i="1" a="1"/>
  <c r="AG113" i="1" a="1"/>
  <c r="AM112" i="4"/>
  <c r="AN112" i="4" s="1" a="1"/>
  <c r="AL113" i="4" s="1"/>
  <c r="AM113" i="4" s="1"/>
  <c r="AN113" i="4" s="1" a="1"/>
  <c r="U107" i="4" a="1"/>
  <c r="T109" i="1" s="1" a="1"/>
  <c r="N115" i="1" a="1"/>
  <c r="AR114" i="1" a="1"/>
  <c r="C113" i="1" a="1"/>
  <c r="M115" i="1" a="1"/>
  <c r="D112" i="4"/>
  <c r="E112" i="4" s="1" a="1"/>
  <c r="C113" i="4" s="1"/>
  <c r="D113" i="4" s="1"/>
  <c r="E113" i="4" s="1" a="1"/>
  <c r="F111" i="4" a="1"/>
  <c r="E113" i="1" s="1" a="1"/>
  <c r="Z110" i="4" a="1"/>
  <c r="Y112" i="1" s="1" a="1"/>
  <c r="AQ113" i="4"/>
  <c r="AR113" i="4" s="1"/>
  <c r="AS113" i="4" s="1" a="1"/>
  <c r="AT112" i="4" a="1"/>
  <c r="AS114" i="1" s="1" a="1"/>
  <c r="AW115" i="1" a="1"/>
  <c r="H109" i="4"/>
  <c r="I109" i="4" s="1"/>
  <c r="J109" i="4" s="1" a="1"/>
  <c r="K108" i="4" a="1"/>
  <c r="J110" i="1" s="1" a="1"/>
  <c r="W112" i="4"/>
  <c r="X112" i="4" s="1"/>
  <c r="Y112" i="4" s="1" a="1"/>
  <c r="Z111" i="4" a="1"/>
  <c r="Y113" i="1" s="1" a="1"/>
  <c r="R108" i="4"/>
  <c r="S108" i="4" s="1"/>
  <c r="T108" i="4" s="1" a="1"/>
  <c r="H110" i="1" a="1"/>
  <c r="AC115" i="1" a="1"/>
  <c r="AV115" i="1" a="1"/>
  <c r="AV114" i="4"/>
  <c r="AW114" i="4" s="1"/>
  <c r="AX114" i="4" s="1" a="1"/>
  <c r="AY113" i="4" a="1"/>
  <c r="AX115" i="1" s="1" a="1"/>
  <c r="AB114" i="4"/>
  <c r="AE113" i="4" a="1"/>
  <c r="AD115" i="1" s="1" a="1"/>
  <c r="AO111" i="4" a="1"/>
  <c r="AN113" i="1" s="1" a="1"/>
  <c r="AG112" i="4"/>
  <c r="AJ111" i="4" a="1"/>
  <c r="AI113" i="1" s="1" a="1"/>
  <c r="AQ114" i="1" a="1"/>
  <c r="M115" i="4"/>
  <c r="N115" i="4" s="1"/>
  <c r="O115" i="4" s="1" a="1"/>
  <c r="P114" i="4" a="1"/>
  <c r="O116" i="1" s="1" a="1"/>
  <c r="M117" i="1" l="1" a="1"/>
  <c r="N117" i="1" a="1"/>
  <c r="AB116" i="1" a="1"/>
  <c r="AQ115" i="1" a="1"/>
  <c r="AC116" i="1" a="1"/>
  <c r="AR115" i="1" a="1"/>
  <c r="H111" i="1" a="1"/>
  <c r="AM114" i="1" a="1"/>
  <c r="I111" i="1" a="1"/>
  <c r="R110" i="1" a="1"/>
  <c r="AV116" i="1" a="1"/>
  <c r="AW116" i="1" a="1"/>
  <c r="C114" i="4"/>
  <c r="D114" i="4" s="1"/>
  <c r="E114" i="4" s="1" a="1"/>
  <c r="F113" i="4" a="1"/>
  <c r="E115" i="1" s="1" a="1"/>
  <c r="F112" i="4" a="1"/>
  <c r="E114" i="1" s="1" a="1"/>
  <c r="AC114" i="4"/>
  <c r="AD114" i="4" s="1" a="1"/>
  <c r="AB115" i="4" s="1"/>
  <c r="AC115" i="4" s="1"/>
  <c r="AD115" i="4" s="1" a="1"/>
  <c r="M116" i="4"/>
  <c r="N116" i="4" s="1"/>
  <c r="O116" i="4" s="1" a="1"/>
  <c r="P115" i="4" a="1"/>
  <c r="O117" i="1" s="1" a="1"/>
  <c r="AL114" i="4"/>
  <c r="AM114" i="4" s="1"/>
  <c r="AN114" i="4" s="1" a="1"/>
  <c r="AO113" i="4" a="1"/>
  <c r="AN115" i="1" s="1" a="1"/>
  <c r="AG114" i="1" a="1"/>
  <c r="W113" i="1" a="1"/>
  <c r="AH112" i="4"/>
  <c r="AI112" i="4" s="1" a="1"/>
  <c r="AG113" i="4" s="1"/>
  <c r="AH113" i="4" s="1"/>
  <c r="AI113" i="4" s="1" a="1"/>
  <c r="W114" i="1" a="1"/>
  <c r="C114" i="1" a="1"/>
  <c r="W113" i="4"/>
  <c r="X113" i="4" s="1"/>
  <c r="Y113" i="4" s="1" a="1"/>
  <c r="Z112" i="4" a="1"/>
  <c r="Y114" i="1" s="1" a="1"/>
  <c r="H110" i="4"/>
  <c r="I110" i="4" s="1"/>
  <c r="J110" i="4" s="1" a="1"/>
  <c r="K109" i="4" a="1"/>
  <c r="J111" i="1" s="1" a="1"/>
  <c r="R109" i="4"/>
  <c r="S109" i="4" s="1"/>
  <c r="T109" i="4" s="1" a="1"/>
  <c r="U108" i="4" a="1"/>
  <c r="T110" i="1" s="1" a="1"/>
  <c r="AL114" i="1" a="1"/>
  <c r="X114" i="1" a="1"/>
  <c r="D114" i="1" a="1"/>
  <c r="S110" i="1" a="1"/>
  <c r="AV115" i="4"/>
  <c r="AW115" i="4" s="1"/>
  <c r="AX115" i="4" s="1" a="1"/>
  <c r="AY114" i="4" a="1"/>
  <c r="AX116" i="1" s="1" a="1"/>
  <c r="AQ114" i="4"/>
  <c r="AR114" i="4" s="1"/>
  <c r="AS114" i="4" s="1" a="1"/>
  <c r="AT113" i="4" a="1"/>
  <c r="AS115" i="1" s="1" a="1"/>
  <c r="AH114" i="1" a="1"/>
  <c r="X113" i="1" a="1"/>
  <c r="AO112" i="4" a="1"/>
  <c r="AN114" i="1" s="1" a="1"/>
  <c r="AL115" i="1" l="1" a="1"/>
  <c r="AQ116" i="1" a="1"/>
  <c r="R111" i="1" a="1"/>
  <c r="S111" i="1" a="1"/>
  <c r="D115" i="1" a="1"/>
  <c r="C116" i="1" a="1"/>
  <c r="C115" i="1" a="1"/>
  <c r="D116" i="1" a="1"/>
  <c r="X115" i="1" a="1"/>
  <c r="AW117" i="1" a="1"/>
  <c r="W115" i="1" a="1"/>
  <c r="AM115" i="1" a="1"/>
  <c r="N118" i="1" a="1"/>
  <c r="AV117" i="1" a="1"/>
  <c r="H112" i="1" a="1"/>
  <c r="AQ115" i="4"/>
  <c r="AR115" i="4" s="1"/>
  <c r="AS115" i="4" s="1" a="1"/>
  <c r="AT114" i="4" a="1"/>
  <c r="AS116" i="1" s="1" a="1"/>
  <c r="AV116" i="4"/>
  <c r="AW116" i="4" s="1"/>
  <c r="AX116" i="4" s="1" a="1"/>
  <c r="AY115" i="4" a="1"/>
  <c r="AX117" i="1" s="1" a="1"/>
  <c r="R110" i="4"/>
  <c r="S110" i="4" s="1"/>
  <c r="T110" i="4" s="1" a="1"/>
  <c r="U109" i="4" a="1"/>
  <c r="T111" i="1" s="1" a="1"/>
  <c r="AL116" i="1" a="1"/>
  <c r="AR116" i="1" a="1"/>
  <c r="I112" i="1" a="1"/>
  <c r="AL115" i="4"/>
  <c r="AM115" i="4" s="1"/>
  <c r="AN115" i="4" s="1" a="1"/>
  <c r="AO114" i="4" a="1"/>
  <c r="AN116" i="1" s="1" a="1"/>
  <c r="H111" i="4"/>
  <c r="I111" i="4" s="1"/>
  <c r="J111" i="4" s="1" a="1"/>
  <c r="K110" i="4" a="1"/>
  <c r="J112" i="1" s="1" a="1"/>
  <c r="M117" i="4"/>
  <c r="P116" i="4" a="1"/>
  <c r="O118" i="1" s="1" a="1"/>
  <c r="AB116" i="4"/>
  <c r="AC116" i="4" s="1"/>
  <c r="AD116" i="4" s="1" a="1"/>
  <c r="AE115" i="4" a="1"/>
  <c r="AD117" i="1" s="1" a="1"/>
  <c r="W114" i="4"/>
  <c r="X114" i="4" s="1"/>
  <c r="Y114" i="4" s="1" a="1"/>
  <c r="Z113" i="4" a="1"/>
  <c r="Y115" i="1" s="1" a="1"/>
  <c r="AE114" i="4" a="1"/>
  <c r="AD116" i="1" s="1" a="1"/>
  <c r="AJ112" i="4" a="1"/>
  <c r="AI114" i="1" s="1" a="1"/>
  <c r="M118" i="1" a="1"/>
  <c r="AG114" i="4"/>
  <c r="AH114" i="4" s="1"/>
  <c r="AI114" i="4" s="1" a="1"/>
  <c r="AJ113" i="4" a="1"/>
  <c r="AI115" i="1" s="1" a="1"/>
  <c r="AM116" i="1" a="1"/>
  <c r="C115" i="4"/>
  <c r="D115" i="4" s="1"/>
  <c r="E115" i="4" s="1" a="1"/>
  <c r="F114" i="4" a="1"/>
  <c r="E116" i="1" s="1" a="1"/>
  <c r="AW118" i="1" l="1" a="1"/>
  <c r="AC118" i="1" a="1"/>
  <c r="X116" i="1" a="1"/>
  <c r="AB118" i="1" a="1"/>
  <c r="AH116" i="1" a="1"/>
  <c r="H113" i="1" a="1"/>
  <c r="AL117" i="1" a="1"/>
  <c r="S112" i="1" a="1"/>
  <c r="AG116" i="1" a="1"/>
  <c r="W116" i="1" a="1"/>
  <c r="AR117" i="1" a="1"/>
  <c r="AH115" i="1" a="1"/>
  <c r="AG115" i="1" a="1"/>
  <c r="N119" i="1" a="1"/>
  <c r="M119" i="1" a="1"/>
  <c r="AQ117" i="1" a="1"/>
  <c r="D117" i="1" a="1"/>
  <c r="AM117" i="1" a="1"/>
  <c r="C117" i="1" a="1"/>
  <c r="AV118" i="1" a="1"/>
  <c r="AG115" i="4"/>
  <c r="AJ114" i="4" a="1"/>
  <c r="AI116" i="1" s="1" a="1"/>
  <c r="H112" i="4"/>
  <c r="I112" i="4" s="1"/>
  <c r="J112" i="4" s="1" a="1"/>
  <c r="K111" i="4" a="1"/>
  <c r="J113" i="1" s="1" a="1"/>
  <c r="C116" i="4"/>
  <c r="F115" i="4" a="1"/>
  <c r="E117" i="1" s="1" a="1"/>
  <c r="AL116" i="4"/>
  <c r="AO115" i="4" a="1"/>
  <c r="AN117" i="1" s="1" a="1"/>
  <c r="AQ116" i="4"/>
  <c r="AR116" i="4" s="1"/>
  <c r="AS116" i="4" s="1" a="1"/>
  <c r="AT115" i="4" a="1"/>
  <c r="AS117" i="1" s="1" a="1"/>
  <c r="W115" i="4"/>
  <c r="Z114" i="4" a="1"/>
  <c r="Y116" i="1" s="1" a="1"/>
  <c r="AB117" i="4"/>
  <c r="AC117" i="4" s="1"/>
  <c r="AD117" i="4" s="1" a="1"/>
  <c r="AE116" i="4" a="1"/>
  <c r="AD118" i="1" s="1" a="1"/>
  <c r="R112" i="1" a="1"/>
  <c r="R111" i="4"/>
  <c r="S111" i="4" s="1"/>
  <c r="T111" i="4" s="1" a="1"/>
  <c r="U110" i="4" a="1"/>
  <c r="T112" i="1" s="1" a="1"/>
  <c r="AC117" i="1" a="1"/>
  <c r="I113" i="1" a="1"/>
  <c r="N117" i="4"/>
  <c r="O117" i="4" s="1" a="1"/>
  <c r="M118" i="4" s="1"/>
  <c r="N118" i="4" s="1"/>
  <c r="O118" i="4" s="1" a="1"/>
  <c r="AB117" i="1" a="1"/>
  <c r="AV117" i="4"/>
  <c r="AY116" i="4" a="1"/>
  <c r="AX118" i="1" s="1" a="1"/>
  <c r="W117" i="1" l="1" a="1"/>
  <c r="AC119" i="1" a="1"/>
  <c r="AB119" i="1" a="1"/>
  <c r="AM118" i="1" a="1"/>
  <c r="H114" i="1" a="1"/>
  <c r="AV119" i="1" a="1"/>
  <c r="AW119" i="1" a="1"/>
  <c r="M119" i="4"/>
  <c r="N119" i="4" s="1"/>
  <c r="O119" i="4" s="1" a="1"/>
  <c r="P118" i="4" a="1"/>
  <c r="O120" i="1" s="1" a="1"/>
  <c r="R113" i="1" a="1"/>
  <c r="AL118" i="1" a="1"/>
  <c r="AM116" i="4"/>
  <c r="AN116" i="4" s="1" a="1"/>
  <c r="AL117" i="4" s="1"/>
  <c r="AM117" i="4" s="1"/>
  <c r="AN117" i="4" s="1" a="1"/>
  <c r="C118" i="1" a="1"/>
  <c r="D118" i="1" a="1"/>
  <c r="AB118" i="4"/>
  <c r="AC118" i="4" s="1"/>
  <c r="AD118" i="4" s="1" a="1"/>
  <c r="AE117" i="4" a="1"/>
  <c r="AD119" i="1" s="1" a="1"/>
  <c r="D116" i="4"/>
  <c r="E116" i="4" s="1" a="1"/>
  <c r="C117" i="4" s="1"/>
  <c r="X117" i="1" a="1"/>
  <c r="I114" i="1" a="1"/>
  <c r="R112" i="4"/>
  <c r="S112" i="4" s="1"/>
  <c r="T112" i="4" s="1" a="1"/>
  <c r="U111" i="4" a="1"/>
  <c r="T113" i="1" s="1" a="1"/>
  <c r="AW117" i="4"/>
  <c r="AX117" i="4" s="1" a="1"/>
  <c r="AV118" i="4" s="1"/>
  <c r="X115" i="4"/>
  <c r="Y115" i="4" s="1" a="1"/>
  <c r="W116" i="4" s="1"/>
  <c r="X116" i="4" s="1"/>
  <c r="Y116" i="4" s="1" a="1"/>
  <c r="H113" i="4"/>
  <c r="I113" i="4" s="1"/>
  <c r="J113" i="4" s="1" a="1"/>
  <c r="K112" i="4" a="1"/>
  <c r="J114" i="1" s="1" a="1"/>
  <c r="P117" i="4" a="1"/>
  <c r="O119" i="1" s="1" a="1"/>
  <c r="AR118" i="1" a="1"/>
  <c r="AG117" i="1" a="1"/>
  <c r="AQ118" i="1" a="1"/>
  <c r="AH117" i="1" a="1"/>
  <c r="S113" i="1" a="1"/>
  <c r="AQ117" i="4"/>
  <c r="AR117" i="4" s="1"/>
  <c r="AS117" i="4" s="1" a="1"/>
  <c r="AT116" i="4" a="1"/>
  <c r="AS118" i="1" s="1" a="1"/>
  <c r="AH115" i="4"/>
  <c r="AI115" i="4" s="1" a="1"/>
  <c r="AG116" i="4" s="1"/>
  <c r="AH116" i="4" s="1"/>
  <c r="AI116" i="4" s="1" a="1"/>
  <c r="M121" i="1" l="1" a="1"/>
  <c r="M120" i="1" a="1"/>
  <c r="H115" i="1" a="1"/>
  <c r="AQ119" i="1" a="1"/>
  <c r="AR119" i="1" a="1"/>
  <c r="N121" i="1" a="1"/>
  <c r="AB120" i="1" a="1"/>
  <c r="D117" i="4"/>
  <c r="E117" i="4" s="1" a="1"/>
  <c r="C118" i="4" s="1"/>
  <c r="H114" i="4"/>
  <c r="I114" i="4" s="1"/>
  <c r="J114" i="4" s="1" a="1"/>
  <c r="K113" i="4" a="1"/>
  <c r="J115" i="1" s="1" a="1"/>
  <c r="W117" i="4"/>
  <c r="X117" i="4" s="1"/>
  <c r="Y117" i="4" s="1" a="1"/>
  <c r="Z116" i="4" a="1"/>
  <c r="Y118" i="1" s="1" a="1"/>
  <c r="Z115" i="4" a="1"/>
  <c r="Y117" i="1" s="1" a="1"/>
  <c r="AW118" i="4"/>
  <c r="AX118" i="4" s="1" a="1"/>
  <c r="AV119" i="4" s="1"/>
  <c r="AW119" i="4" s="1"/>
  <c r="AX119" i="4" s="1" a="1"/>
  <c r="AL118" i="4"/>
  <c r="AM118" i="4" s="1"/>
  <c r="AN118" i="4" s="1" a="1"/>
  <c r="AO117" i="4" a="1"/>
  <c r="AN119" i="1" s="1" a="1"/>
  <c r="AY117" i="4" a="1"/>
  <c r="AX119" i="1" s="1" a="1"/>
  <c r="M120" i="4"/>
  <c r="N120" i="4" s="1"/>
  <c r="O120" i="4" s="1" a="1"/>
  <c r="P119" i="4" a="1"/>
  <c r="O121" i="1" s="1" a="1"/>
  <c r="N120" i="1" a="1"/>
  <c r="F116" i="4" a="1"/>
  <c r="E118" i="1" s="1" a="1"/>
  <c r="AB119" i="4"/>
  <c r="AC119" i="4" s="1"/>
  <c r="AD119" i="4" s="1" a="1"/>
  <c r="AE118" i="4" a="1"/>
  <c r="AD120" i="1" s="1" a="1"/>
  <c r="R113" i="4"/>
  <c r="S113" i="4" s="1"/>
  <c r="T113" i="4" s="1" a="1"/>
  <c r="U112" i="4" a="1"/>
  <c r="T114" i="1" s="1" a="1"/>
  <c r="I115" i="1" a="1"/>
  <c r="AC120" i="1" a="1"/>
  <c r="AG117" i="4"/>
  <c r="AH117" i="4" s="1"/>
  <c r="AI117" i="4" s="1" a="1"/>
  <c r="AJ116" i="4" a="1"/>
  <c r="AI118" i="1" s="1" a="1"/>
  <c r="AJ115" i="4" a="1"/>
  <c r="AI117" i="1" s="1" a="1"/>
  <c r="AQ118" i="4"/>
  <c r="AR118" i="4" s="1"/>
  <c r="AS118" i="4" s="1" a="1"/>
  <c r="AT117" i="4" a="1"/>
  <c r="AS119" i="1" s="1" a="1"/>
  <c r="AO116" i="4" a="1"/>
  <c r="AN118" i="1" s="1" a="1"/>
  <c r="S114" i="1" a="1"/>
  <c r="R114" i="1" a="1"/>
  <c r="N122" i="1" l="1" a="1"/>
  <c r="AH119" i="1" a="1"/>
  <c r="X119" i="1" a="1"/>
  <c r="AR120" i="1" a="1"/>
  <c r="AH118" i="1" a="1"/>
  <c r="AG119" i="1" a="1"/>
  <c r="AL120" i="1" a="1"/>
  <c r="D118" i="4"/>
  <c r="E118" i="4" s="1" a="1"/>
  <c r="C119" i="4" s="1"/>
  <c r="D119" i="4" s="1"/>
  <c r="E119" i="4" s="1" a="1"/>
  <c r="AQ119" i="4"/>
  <c r="AR119" i="4" s="1"/>
  <c r="AS119" i="4" s="1" a="1"/>
  <c r="AT118" i="4" a="1"/>
  <c r="AS120" i="1" s="1" a="1"/>
  <c r="AL119" i="4"/>
  <c r="AM119" i="4" s="1"/>
  <c r="AN119" i="4" s="1" a="1"/>
  <c r="AO118" i="4" a="1"/>
  <c r="AN120" i="1" s="1" a="1"/>
  <c r="AB120" i="4"/>
  <c r="AC120" i="4" s="1"/>
  <c r="AD120" i="4" s="1" a="1"/>
  <c r="AE119" i="4" a="1"/>
  <c r="AD121" i="1" s="1" a="1"/>
  <c r="AV120" i="4"/>
  <c r="AW120" i="4" s="1"/>
  <c r="AX120" i="4" s="1" a="1"/>
  <c r="AY119" i="4" a="1"/>
  <c r="AX121" i="1" s="1" a="1"/>
  <c r="AG118" i="1" a="1"/>
  <c r="C119" i="1" a="1"/>
  <c r="AY118" i="4" a="1"/>
  <c r="AX120" i="1" s="1" a="1"/>
  <c r="D119" i="1" a="1"/>
  <c r="W118" i="1" a="1"/>
  <c r="X118" i="1" a="1"/>
  <c r="AG118" i="4"/>
  <c r="AH118" i="4" s="1"/>
  <c r="AI118" i="4" s="1" a="1"/>
  <c r="AJ117" i="4" a="1"/>
  <c r="AI119" i="1" s="1" a="1"/>
  <c r="M122" i="1" a="1"/>
  <c r="W119" i="1" a="1"/>
  <c r="M121" i="4"/>
  <c r="N121" i="4" s="1"/>
  <c r="O121" i="4" s="1" a="1"/>
  <c r="P120" i="4" a="1"/>
  <c r="O122" i="1" s="1" a="1"/>
  <c r="S115" i="1" a="1"/>
  <c r="AV120" i="1" a="1"/>
  <c r="I116" i="1" a="1"/>
  <c r="W118" i="4"/>
  <c r="Z117" i="4" a="1"/>
  <c r="Y119" i="1" s="1" a="1"/>
  <c r="AL119" i="1" a="1"/>
  <c r="AM119" i="1" a="1"/>
  <c r="R115" i="1" a="1"/>
  <c r="AW120" i="1" a="1"/>
  <c r="H116" i="1" a="1"/>
  <c r="R114" i="4"/>
  <c r="S114" i="4" s="1"/>
  <c r="T114" i="4" s="1" a="1"/>
  <c r="U113" i="4" a="1"/>
  <c r="T115" i="1" s="1" a="1"/>
  <c r="H115" i="4"/>
  <c r="I115" i="4" s="1"/>
  <c r="J115" i="4" s="1" a="1"/>
  <c r="K114" i="4" a="1"/>
  <c r="J116" i="1" s="1" a="1"/>
  <c r="AQ120" i="1" a="1"/>
  <c r="AB121" i="1" a="1"/>
  <c r="AM120" i="1" a="1"/>
  <c r="AC121" i="1" a="1"/>
  <c r="F117" i="4" a="1"/>
  <c r="E119" i="1" s="1" a="1"/>
  <c r="AW121" i="1" l="1" a="1"/>
  <c r="AV121" i="1" a="1"/>
  <c r="X120" i="1" a="1"/>
  <c r="W120" i="1" a="1"/>
  <c r="R116" i="1" a="1"/>
  <c r="M123" i="1" a="1"/>
  <c r="AV122" i="1" a="1"/>
  <c r="S116" i="1" a="1"/>
  <c r="N123" i="1" a="1"/>
  <c r="AW122" i="1" a="1"/>
  <c r="D120" i="1" a="1"/>
  <c r="I117" i="1" a="1"/>
  <c r="AL121" i="1" a="1"/>
  <c r="AQ121" i="1" a="1"/>
  <c r="H117" i="1" a="1"/>
  <c r="AM121" i="1" a="1"/>
  <c r="AR121" i="1" a="1"/>
  <c r="C120" i="1" a="1"/>
  <c r="AG119" i="4"/>
  <c r="AH119" i="4" s="1"/>
  <c r="AI119" i="4" s="1" a="1"/>
  <c r="AJ118" i="4" a="1"/>
  <c r="AI120" i="1" s="1" a="1"/>
  <c r="X118" i="4"/>
  <c r="Y118" i="4" s="1" a="1"/>
  <c r="W119" i="4" s="1"/>
  <c r="X119" i="4" s="1"/>
  <c r="Y119" i="4" s="1" a="1"/>
  <c r="H116" i="4"/>
  <c r="K115" i="4" a="1"/>
  <c r="J117" i="1" s="1" a="1"/>
  <c r="C120" i="4"/>
  <c r="D120" i="4" s="1"/>
  <c r="E120" i="4" s="1" a="1"/>
  <c r="F119" i="4" a="1"/>
  <c r="E121" i="1" s="1" a="1"/>
  <c r="M122" i="4"/>
  <c r="N122" i="4" s="1"/>
  <c r="O122" i="4" s="1" a="1"/>
  <c r="P121" i="4" a="1"/>
  <c r="O123" i="1" s="1" a="1"/>
  <c r="AB121" i="4"/>
  <c r="AC121" i="4" s="1"/>
  <c r="AD121" i="4" s="1" a="1"/>
  <c r="AE120" i="4" a="1"/>
  <c r="AD122" i="1" s="1" a="1"/>
  <c r="AL120" i="4"/>
  <c r="AM120" i="4" s="1"/>
  <c r="AN120" i="4" s="1" a="1"/>
  <c r="AO119" i="4" a="1"/>
  <c r="AN121" i="1" s="1" a="1"/>
  <c r="AH120" i="1" a="1"/>
  <c r="AC122" i="1" a="1"/>
  <c r="AV121" i="4"/>
  <c r="AW121" i="4" s="1"/>
  <c r="AX121" i="4" s="1" a="1"/>
  <c r="AY120" i="4" a="1"/>
  <c r="AX122" i="1" s="1" a="1"/>
  <c r="AG120" i="1" a="1"/>
  <c r="AB122" i="1" a="1"/>
  <c r="AQ120" i="4"/>
  <c r="AR120" i="4" s="1"/>
  <c r="AS120" i="4" s="1" a="1"/>
  <c r="AT119" i="4" a="1"/>
  <c r="AS121" i="1" s="1" a="1"/>
  <c r="R115" i="4"/>
  <c r="S115" i="4" s="1"/>
  <c r="T115" i="4" s="1" a="1"/>
  <c r="U114" i="4" a="1"/>
  <c r="T116" i="1" s="1" a="1"/>
  <c r="F118" i="4" a="1"/>
  <c r="E120" i="1" s="1" a="1"/>
  <c r="AQ122" i="1" l="1" a="1"/>
  <c r="AR122" i="1" a="1"/>
  <c r="AB123" i="1" a="1"/>
  <c r="AW123" i="1" a="1"/>
  <c r="AC123" i="1" a="1"/>
  <c r="C122" i="1" a="1"/>
  <c r="N124" i="1" a="1"/>
  <c r="D121" i="1" a="1"/>
  <c r="AG121" i="1" a="1"/>
  <c r="AH121" i="1" a="1"/>
  <c r="AL122" i="1" a="1"/>
  <c r="C121" i="1" a="1"/>
  <c r="M124" i="1" a="1"/>
  <c r="I118" i="1" a="1"/>
  <c r="R116" i="4"/>
  <c r="S116" i="4" s="1"/>
  <c r="T116" i="4" s="1" a="1"/>
  <c r="U115" i="4" a="1"/>
  <c r="T117" i="1" s="1" a="1"/>
  <c r="I116" i="4"/>
  <c r="J116" i="4" s="1" a="1"/>
  <c r="H117" i="4" s="1"/>
  <c r="I117" i="4" s="1"/>
  <c r="J117" i="4" s="1" a="1"/>
  <c r="AQ121" i="4"/>
  <c r="AR121" i="4" s="1"/>
  <c r="AS121" i="4" s="1" a="1"/>
  <c r="AT120" i="4" a="1"/>
  <c r="AS122" i="1" s="1" a="1"/>
  <c r="AG120" i="4"/>
  <c r="AH120" i="4" s="1"/>
  <c r="AI120" i="4" s="1" a="1"/>
  <c r="AJ119" i="4" a="1"/>
  <c r="AI121" i="1" s="1" a="1"/>
  <c r="AV123" i="1" a="1"/>
  <c r="S117" i="1" a="1"/>
  <c r="AL121" i="4"/>
  <c r="AM121" i="4" s="1"/>
  <c r="AN121" i="4" s="1" a="1"/>
  <c r="AO120" i="4" a="1"/>
  <c r="AN122" i="1" s="1" a="1"/>
  <c r="W120" i="4"/>
  <c r="X120" i="4" s="1"/>
  <c r="Y120" i="4" s="1" a="1"/>
  <c r="Z119" i="4" a="1"/>
  <c r="Y121" i="1" s="1" a="1"/>
  <c r="M123" i="4"/>
  <c r="N123" i="4" s="1"/>
  <c r="O123" i="4" s="1" a="1"/>
  <c r="P122" i="4" a="1"/>
  <c r="O124" i="1" s="1" a="1"/>
  <c r="D122" i="1" a="1"/>
  <c r="AV122" i="4"/>
  <c r="AW122" i="4" s="1"/>
  <c r="AX122" i="4" s="1" a="1"/>
  <c r="AY121" i="4" a="1"/>
  <c r="AX123" i="1" s="1" a="1"/>
  <c r="C121" i="4"/>
  <c r="D121" i="4" s="1"/>
  <c r="E121" i="4" s="1" a="1"/>
  <c r="F120" i="4" a="1"/>
  <c r="E122" i="1" s="1" a="1"/>
  <c r="R117" i="1" a="1"/>
  <c r="AM122" i="1" a="1"/>
  <c r="H118" i="1" a="1"/>
  <c r="Z118" i="4" a="1"/>
  <c r="Y120" i="1" s="1" a="1"/>
  <c r="AB122" i="4"/>
  <c r="AC122" i="4" s="1"/>
  <c r="AD122" i="4" s="1" a="1"/>
  <c r="AE121" i="4" a="1"/>
  <c r="AD123" i="1" s="1" a="1"/>
  <c r="X121" i="1" l="1" a="1"/>
  <c r="N125" i="1" a="1"/>
  <c r="C123" i="1" a="1"/>
  <c r="D123" i="1" a="1"/>
  <c r="AM123" i="1" a="1"/>
  <c r="AR123" i="1" a="1"/>
  <c r="AQ123" i="1" a="1"/>
  <c r="W122" i="1" a="1"/>
  <c r="W121" i="1" a="1"/>
  <c r="AV124" i="1" a="1"/>
  <c r="AL123" i="1" a="1"/>
  <c r="X122" i="1" a="1"/>
  <c r="M125" i="1" a="1"/>
  <c r="AW124" i="1" a="1"/>
  <c r="AB123" i="4"/>
  <c r="AC123" i="4" s="1"/>
  <c r="AD123" i="4" s="1" a="1"/>
  <c r="AE122" i="4" a="1"/>
  <c r="AD124" i="1" s="1" a="1"/>
  <c r="M124" i="4"/>
  <c r="N124" i="4" s="1"/>
  <c r="O124" i="4" s="1" a="1"/>
  <c r="P123" i="4" a="1"/>
  <c r="O125" i="1" s="1" a="1"/>
  <c r="AQ122" i="4"/>
  <c r="AR122" i="4" s="1"/>
  <c r="AS122" i="4" s="1" a="1"/>
  <c r="AT121" i="4" a="1"/>
  <c r="AS123" i="1" s="1" a="1"/>
  <c r="H118" i="4"/>
  <c r="I118" i="4" s="1"/>
  <c r="J118" i="4" s="1" a="1"/>
  <c r="K117" i="4" a="1"/>
  <c r="J119" i="1" s="1" a="1"/>
  <c r="K116" i="4" a="1"/>
  <c r="J118" i="1" s="1" a="1"/>
  <c r="S118" i="1" a="1"/>
  <c r="C122" i="4"/>
  <c r="F121" i="4" a="1"/>
  <c r="E123" i="1" s="1" a="1"/>
  <c r="AL122" i="4"/>
  <c r="AM122" i="4" s="1"/>
  <c r="AN122" i="4" s="1" a="1"/>
  <c r="AO121" i="4" a="1"/>
  <c r="AN123" i="1" s="1" a="1"/>
  <c r="AB124" i="1" a="1"/>
  <c r="AC124" i="1" a="1"/>
  <c r="AV123" i="4"/>
  <c r="AW123" i="4" s="1"/>
  <c r="AX123" i="4" s="1" a="1"/>
  <c r="AY122" i="4" a="1"/>
  <c r="AX124" i="1" s="1" a="1"/>
  <c r="AH122" i="1" a="1"/>
  <c r="AG121" i="4"/>
  <c r="AJ120" i="4" a="1"/>
  <c r="AI122" i="1" s="1" a="1"/>
  <c r="W121" i="4"/>
  <c r="X121" i="4" s="1"/>
  <c r="Y121" i="4" s="1" a="1"/>
  <c r="Z120" i="4" a="1"/>
  <c r="Y122" i="1" s="1" a="1"/>
  <c r="R118" i="1" a="1"/>
  <c r="AG122" i="1" a="1"/>
  <c r="R117" i="4"/>
  <c r="S117" i="4" s="1"/>
  <c r="T117" i="4" s="1" a="1"/>
  <c r="U116" i="4" a="1"/>
  <c r="T118" i="1" s="1" a="1"/>
  <c r="AG123" i="1" l="1" a="1"/>
  <c r="C124" i="1" a="1"/>
  <c r="AH123" i="1" a="1"/>
  <c r="AL124" i="1" a="1"/>
  <c r="D124" i="1" a="1"/>
  <c r="AM124" i="1" a="1"/>
  <c r="AB125" i="1" a="1"/>
  <c r="AC125" i="1" a="1"/>
  <c r="AV125" i="1" a="1"/>
  <c r="AQ124" i="1" a="1"/>
  <c r="AR124" i="1" a="1"/>
  <c r="W123" i="1" a="1"/>
  <c r="I119" i="1" a="1"/>
  <c r="X123" i="1" a="1"/>
  <c r="AW125" i="1" a="1"/>
  <c r="H119" i="1" a="1"/>
  <c r="M126" i="1" a="1"/>
  <c r="N126" i="1" a="1"/>
  <c r="I120" i="1" a="1"/>
  <c r="AQ123" i="4"/>
  <c r="AR123" i="4" s="1"/>
  <c r="AS123" i="4" s="1" a="1"/>
  <c r="AT122" i="4" a="1"/>
  <c r="AS124" i="1" s="1" a="1"/>
  <c r="D122" i="4"/>
  <c r="E122" i="4" s="1" a="1"/>
  <c r="C123" i="4" s="1"/>
  <c r="M125" i="4"/>
  <c r="N125" i="4" s="1"/>
  <c r="O125" i="4" s="1" a="1"/>
  <c r="P124" i="4" a="1"/>
  <c r="O126" i="1" s="1" a="1"/>
  <c r="AH121" i="4"/>
  <c r="AI121" i="4" s="1" a="1"/>
  <c r="AG122" i="4" s="1"/>
  <c r="AH122" i="4" s="1"/>
  <c r="AI122" i="4" s="1" a="1"/>
  <c r="R119" i="1" a="1"/>
  <c r="S119" i="1" a="1"/>
  <c r="H120" i="1" a="1"/>
  <c r="AL123" i="4"/>
  <c r="AM123" i="4" s="1"/>
  <c r="AN123" i="4" s="1" a="1"/>
  <c r="AO122" i="4" a="1"/>
  <c r="AN124" i="1" s="1" a="1"/>
  <c r="W122" i="4"/>
  <c r="X122" i="4" s="1"/>
  <c r="Y122" i="4" s="1" a="1"/>
  <c r="Z121" i="4" a="1"/>
  <c r="Y123" i="1" s="1" a="1"/>
  <c r="AV124" i="4"/>
  <c r="AW124" i="4" s="1"/>
  <c r="AX124" i="4" s="1" a="1"/>
  <c r="AY123" i="4" a="1"/>
  <c r="AX125" i="1" s="1" a="1"/>
  <c r="R118" i="4"/>
  <c r="S118" i="4" s="1"/>
  <c r="T118" i="4" s="1" a="1"/>
  <c r="U117" i="4" a="1"/>
  <c r="T119" i="1" s="1" a="1"/>
  <c r="H119" i="4"/>
  <c r="I119" i="4" s="1"/>
  <c r="J119" i="4" s="1" a="1"/>
  <c r="K118" i="4" a="1"/>
  <c r="J120" i="1" s="1" a="1"/>
  <c r="AB124" i="4"/>
  <c r="AC124" i="4" s="1"/>
  <c r="AD124" i="4" s="1" a="1"/>
  <c r="AE123" i="4" a="1"/>
  <c r="AD125" i="1" s="1" a="1"/>
  <c r="AL125" i="1" l="1" a="1"/>
  <c r="AB126" i="1" a="1"/>
  <c r="AM125" i="1" a="1"/>
  <c r="AC126" i="1" a="1"/>
  <c r="AV126" i="1" a="1"/>
  <c r="AW126" i="1" a="1"/>
  <c r="N127" i="1" a="1"/>
  <c r="M127" i="1" a="1"/>
  <c r="W124" i="1" a="1"/>
  <c r="X124" i="1" a="1"/>
  <c r="AQ125" i="1" a="1"/>
  <c r="AR125" i="1" a="1"/>
  <c r="I121" i="1" a="1"/>
  <c r="H121" i="1" a="1"/>
  <c r="AG123" i="4"/>
  <c r="AH123" i="4" s="1"/>
  <c r="AI123" i="4" s="1" a="1"/>
  <c r="AJ122" i="4" a="1"/>
  <c r="AI124" i="1" s="1" a="1"/>
  <c r="R119" i="4"/>
  <c r="S119" i="4" s="1"/>
  <c r="T119" i="4" s="1" a="1"/>
  <c r="U118" i="4" a="1"/>
  <c r="T120" i="1" s="1" a="1"/>
  <c r="AV125" i="4"/>
  <c r="AW125" i="4" s="1"/>
  <c r="AX125" i="4" s="1" a="1"/>
  <c r="AY124" i="4" a="1"/>
  <c r="AX126" i="1" s="1" a="1"/>
  <c r="M126" i="4"/>
  <c r="N126" i="4" s="1"/>
  <c r="O126" i="4" s="1" a="1"/>
  <c r="P125" i="4" a="1"/>
  <c r="O127" i="1" s="1" a="1"/>
  <c r="D123" i="4"/>
  <c r="E123" i="4" s="1" a="1"/>
  <c r="C124" i="4" s="1"/>
  <c r="D124" i="4" s="1"/>
  <c r="E124" i="4" s="1" a="1"/>
  <c r="F122" i="4" a="1"/>
  <c r="E124" i="1" s="1" a="1"/>
  <c r="AB125" i="4"/>
  <c r="AC125" i="4" s="1"/>
  <c r="AD125" i="4" s="1" a="1"/>
  <c r="AE124" i="4" a="1"/>
  <c r="AD126" i="1" s="1" a="1"/>
  <c r="H120" i="4"/>
  <c r="I120" i="4" s="1"/>
  <c r="J120" i="4" s="1" a="1"/>
  <c r="K119" i="4" a="1"/>
  <c r="J121" i="1" s="1" a="1"/>
  <c r="AL124" i="4"/>
  <c r="AM124" i="4" s="1"/>
  <c r="AN124" i="4" s="1" a="1"/>
  <c r="AO123" i="4" a="1"/>
  <c r="AN125" i="1" s="1" a="1"/>
  <c r="AJ121" i="4" a="1"/>
  <c r="AI123" i="1" s="1" a="1"/>
  <c r="R120" i="1" a="1"/>
  <c r="S120" i="1" a="1"/>
  <c r="W123" i="4"/>
  <c r="X123" i="4" s="1"/>
  <c r="Y123" i="4" s="1" a="1"/>
  <c r="Z122" i="4" a="1"/>
  <c r="Y124" i="1" s="1" a="1"/>
  <c r="AQ124" i="4"/>
  <c r="AR124" i="4" s="1"/>
  <c r="AS124" i="4" s="1" a="1"/>
  <c r="AT123" i="4" a="1"/>
  <c r="AS125" i="1" s="1" a="1"/>
  <c r="AB127" i="1" l="1" a="1"/>
  <c r="AV127" i="1" a="1"/>
  <c r="C125" i="1" a="1"/>
  <c r="AC127" i="1" a="1"/>
  <c r="W125" i="1" a="1"/>
  <c r="D125" i="1" a="1"/>
  <c r="X125" i="1" a="1"/>
  <c r="AG125" i="1" a="1"/>
  <c r="H122" i="1" a="1"/>
  <c r="S121" i="1" a="1"/>
  <c r="R121" i="1" a="1"/>
  <c r="AW127" i="1" a="1"/>
  <c r="AH125" i="1" a="1"/>
  <c r="AH124" i="1" a="1"/>
  <c r="AG124" i="1" a="1"/>
  <c r="N128" i="1" a="1"/>
  <c r="AV126" i="4"/>
  <c r="AW126" i="4" s="1"/>
  <c r="AX126" i="4" s="1" a="1"/>
  <c r="AY125" i="4" a="1"/>
  <c r="AX127" i="1" s="1" a="1"/>
  <c r="W124" i="4"/>
  <c r="X124" i="4" s="1"/>
  <c r="Y124" i="4" s="1" a="1"/>
  <c r="Z123" i="4" a="1"/>
  <c r="Y125" i="1" s="1" a="1"/>
  <c r="R120" i="4"/>
  <c r="S120" i="4" s="1"/>
  <c r="T120" i="4" s="1" a="1"/>
  <c r="U119" i="4" a="1"/>
  <c r="T121" i="1" s="1" a="1"/>
  <c r="F123" i="4" a="1"/>
  <c r="E125" i="1" s="1" a="1"/>
  <c r="AL126" i="1" a="1"/>
  <c r="M128" i="1" a="1"/>
  <c r="AR126" i="1" a="1"/>
  <c r="AL125" i="4"/>
  <c r="AM125" i="4" s="1"/>
  <c r="AN125" i="4" s="1" a="1"/>
  <c r="AO124" i="4" a="1"/>
  <c r="AN126" i="1" s="1" a="1"/>
  <c r="H121" i="4"/>
  <c r="I121" i="4" s="1"/>
  <c r="J121" i="4" s="1" a="1"/>
  <c r="K120" i="4" a="1"/>
  <c r="J122" i="1" s="1" a="1"/>
  <c r="AB126" i="4"/>
  <c r="AC126" i="4" s="1"/>
  <c r="AD126" i="4" s="1" a="1"/>
  <c r="AE125" i="4" a="1"/>
  <c r="AD127" i="1" s="1" a="1"/>
  <c r="AQ126" i="1" a="1"/>
  <c r="I122" i="1" a="1"/>
  <c r="M127" i="4"/>
  <c r="N127" i="4" s="1"/>
  <c r="O127" i="4" s="1" a="1"/>
  <c r="P126" i="4" a="1"/>
  <c r="O128" i="1" s="1" a="1"/>
  <c r="AQ125" i="4"/>
  <c r="AR125" i="4" s="1"/>
  <c r="AS125" i="4" s="1" a="1"/>
  <c r="AT124" i="4" a="1"/>
  <c r="AS126" i="1" s="1" a="1"/>
  <c r="C125" i="4"/>
  <c r="D125" i="4" s="1"/>
  <c r="E125" i="4" s="1" a="1"/>
  <c r="F124" i="4" a="1"/>
  <c r="E126" i="1" s="1" a="1"/>
  <c r="AM126" i="1" a="1"/>
  <c r="AG124" i="4"/>
  <c r="AH124" i="4" s="1"/>
  <c r="AI124" i="4" s="1" a="1"/>
  <c r="AJ123" i="4" a="1"/>
  <c r="AI125" i="1" s="1" a="1"/>
  <c r="N129" i="1" l="1" a="1"/>
  <c r="M129" i="1" a="1"/>
  <c r="S122" i="1" a="1"/>
  <c r="R122" i="1" a="1"/>
  <c r="AQ127" i="1" a="1"/>
  <c r="AG126" i="1" a="1"/>
  <c r="AR127" i="1" a="1"/>
  <c r="C127" i="1" a="1"/>
  <c r="AW128" i="1" a="1"/>
  <c r="H123" i="1" a="1"/>
  <c r="D127" i="1" a="1"/>
  <c r="I123" i="1" a="1"/>
  <c r="AV128" i="1" a="1"/>
  <c r="X126" i="1" a="1"/>
  <c r="AB128" i="1" a="1"/>
  <c r="W126" i="1" a="1"/>
  <c r="C126" i="4"/>
  <c r="D126" i="4" s="1"/>
  <c r="E126" i="4" s="1" a="1"/>
  <c r="F125" i="4" a="1"/>
  <c r="E127" i="1" s="1" a="1"/>
  <c r="AV127" i="4"/>
  <c r="AW127" i="4" s="1"/>
  <c r="AX127" i="4" s="1" a="1"/>
  <c r="AY126" i="4" a="1"/>
  <c r="AX128" i="1" s="1" a="1"/>
  <c r="AH126" i="1" a="1"/>
  <c r="AB127" i="4"/>
  <c r="AC127" i="4" s="1"/>
  <c r="AD127" i="4" s="1" a="1"/>
  <c r="AE126" i="4" a="1"/>
  <c r="AD128" i="1" s="1" a="1"/>
  <c r="AL126" i="4"/>
  <c r="AM126" i="4" s="1"/>
  <c r="AN126" i="4" s="1" a="1"/>
  <c r="AO125" i="4" a="1"/>
  <c r="AN127" i="1" s="1" a="1"/>
  <c r="C126" i="1" a="1"/>
  <c r="R121" i="4"/>
  <c r="S121" i="4" s="1"/>
  <c r="T121" i="4" s="1" a="1"/>
  <c r="U120" i="4" a="1"/>
  <c r="T122" i="1" s="1" a="1"/>
  <c r="H122" i="4"/>
  <c r="I122" i="4" s="1"/>
  <c r="J122" i="4" s="1" a="1"/>
  <c r="K121" i="4" a="1"/>
  <c r="J123" i="1" s="1" a="1"/>
  <c r="M128" i="4"/>
  <c r="N128" i="4" s="1"/>
  <c r="O128" i="4" s="1" a="1"/>
  <c r="P127" i="4" a="1"/>
  <c r="O129" i="1" s="1" a="1"/>
  <c r="AG125" i="4"/>
  <c r="AH125" i="4" s="1"/>
  <c r="AI125" i="4" s="1" a="1"/>
  <c r="AJ124" i="4" a="1"/>
  <c r="AI126" i="1" s="1" a="1"/>
  <c r="AC128" i="1" a="1"/>
  <c r="D126" i="1" a="1"/>
  <c r="AM127" i="1" a="1"/>
  <c r="AQ126" i="4"/>
  <c r="AR126" i="4" s="1"/>
  <c r="AS126" i="4" s="1" a="1"/>
  <c r="AT125" i="4" a="1"/>
  <c r="AS127" i="1" s="1" a="1"/>
  <c r="AL127" i="1" a="1"/>
  <c r="W125" i="4"/>
  <c r="X125" i="4" s="1"/>
  <c r="Y125" i="4" s="1" a="1"/>
  <c r="Z124" i="4" a="1"/>
  <c r="Y126" i="1" s="1" a="1"/>
  <c r="S123" i="1" l="1" a="1"/>
  <c r="H124" i="1" a="1"/>
  <c r="AQ128" i="1" a="1"/>
  <c r="I124" i="1" a="1"/>
  <c r="AR128" i="1" a="1"/>
  <c r="AG127" i="1" a="1"/>
  <c r="AH127" i="1" a="1"/>
  <c r="AV129" i="1" a="1"/>
  <c r="D128" i="1" a="1"/>
  <c r="C128" i="1" a="1"/>
  <c r="AC129" i="1" a="1"/>
  <c r="AW129" i="1" a="1"/>
  <c r="W126" i="4"/>
  <c r="Z125" i="4" a="1"/>
  <c r="Y127" i="1" s="1" a="1"/>
  <c r="R122" i="4"/>
  <c r="S122" i="4" s="1"/>
  <c r="T122" i="4" s="1" a="1"/>
  <c r="U121" i="4" a="1"/>
  <c r="T123" i="1" s="1" a="1"/>
  <c r="AM128" i="1" a="1"/>
  <c r="W127" i="1" a="1"/>
  <c r="N130" i="1" a="1"/>
  <c r="AL127" i="4"/>
  <c r="AM127" i="4" s="1"/>
  <c r="AN127" i="4" s="1" a="1"/>
  <c r="AO126" i="4" a="1"/>
  <c r="AN128" i="1" s="1" a="1"/>
  <c r="M129" i="4"/>
  <c r="N129" i="4" s="1"/>
  <c r="O129" i="4" s="1" a="1"/>
  <c r="P128" i="4" a="1"/>
  <c r="O130" i="1" s="1" a="1"/>
  <c r="AB128" i="4"/>
  <c r="AC128" i="4" s="1"/>
  <c r="AD128" i="4" s="1" a="1"/>
  <c r="AE127" i="4" a="1"/>
  <c r="AD129" i="1" s="1" a="1"/>
  <c r="H123" i="4"/>
  <c r="I123" i="4" s="1"/>
  <c r="J123" i="4" s="1" a="1"/>
  <c r="K122" i="4" a="1"/>
  <c r="J124" i="1" s="1" a="1"/>
  <c r="AQ127" i="4"/>
  <c r="AR127" i="4" s="1"/>
  <c r="AS127" i="4" s="1" a="1"/>
  <c r="AT126" i="4" a="1"/>
  <c r="AS128" i="1" s="1" a="1"/>
  <c r="AV128" i="4"/>
  <c r="AW128" i="4" s="1"/>
  <c r="AX128" i="4" s="1" a="1"/>
  <c r="AY127" i="4" a="1"/>
  <c r="AX129" i="1" s="1" a="1"/>
  <c r="AG126" i="4"/>
  <c r="AH126" i="4" s="1"/>
  <c r="AI126" i="4" s="1" a="1"/>
  <c r="AJ125" i="4" a="1"/>
  <c r="AI127" i="1" s="1" a="1"/>
  <c r="X127" i="1" a="1"/>
  <c r="M130" i="1" a="1"/>
  <c r="AB129" i="1" a="1"/>
  <c r="R123" i="1" a="1"/>
  <c r="AL128" i="1" a="1"/>
  <c r="C127" i="4"/>
  <c r="D127" i="4" s="1"/>
  <c r="E127" i="4" s="1" a="1"/>
  <c r="F126" i="4" a="1"/>
  <c r="E128" i="1" s="1" a="1"/>
  <c r="AB130" i="1" l="1" a="1"/>
  <c r="S124" i="1" a="1"/>
  <c r="AC130" i="1" a="1"/>
  <c r="R124" i="1" a="1"/>
  <c r="AQ129" i="1" a="1"/>
  <c r="X128" i="1" a="1"/>
  <c r="D129" i="1" a="1"/>
  <c r="W128" i="1" a="1"/>
  <c r="AR129" i="1" a="1"/>
  <c r="H125" i="1" a="1"/>
  <c r="AH128" i="1" a="1"/>
  <c r="AL129" i="1" a="1"/>
  <c r="AG128" i="1" a="1"/>
  <c r="AM129" i="1" a="1"/>
  <c r="AL128" i="4"/>
  <c r="AM128" i="4" s="1"/>
  <c r="AN128" i="4" s="1" a="1"/>
  <c r="AO127" i="4" a="1"/>
  <c r="AN129" i="1" s="1" a="1"/>
  <c r="AV129" i="4"/>
  <c r="AW129" i="4" s="1"/>
  <c r="AX129" i="4" s="1" a="1"/>
  <c r="AY128" i="4" a="1"/>
  <c r="AX130" i="1" s="1" a="1"/>
  <c r="M130" i="4"/>
  <c r="N130" i="4" s="1"/>
  <c r="O130" i="4" s="1" a="1"/>
  <c r="P129" i="4" a="1"/>
  <c r="O131" i="1" s="1" a="1"/>
  <c r="AQ128" i="4"/>
  <c r="AT127" i="4" a="1"/>
  <c r="AS129" i="1" s="1" a="1"/>
  <c r="I125" i="1" a="1"/>
  <c r="H124" i="4"/>
  <c r="I124" i="4" s="1"/>
  <c r="J124" i="4" s="1" a="1"/>
  <c r="K123" i="4" a="1"/>
  <c r="J125" i="1" s="1" a="1"/>
  <c r="C128" i="4"/>
  <c r="D128" i="4" s="1"/>
  <c r="E128" i="4" s="1" a="1"/>
  <c r="F127" i="4" a="1"/>
  <c r="E129" i="1" s="1" a="1"/>
  <c r="R123" i="4"/>
  <c r="U122" i="4" a="1"/>
  <c r="T124" i="1" s="1" a="1"/>
  <c r="AG127" i="4"/>
  <c r="AH127" i="4" s="1"/>
  <c r="AI127" i="4" s="1" a="1"/>
  <c r="AJ126" i="4" a="1"/>
  <c r="AI128" i="1" s="1" a="1"/>
  <c r="AB129" i="4"/>
  <c r="AC129" i="4" s="1"/>
  <c r="AD129" i="4" s="1" a="1"/>
  <c r="AE128" i="4" a="1"/>
  <c r="AD130" i="1" s="1" a="1"/>
  <c r="AV130" i="1" a="1"/>
  <c r="M131" i="1" a="1"/>
  <c r="AW130" i="1" a="1"/>
  <c r="N131" i="1" a="1"/>
  <c r="C129" i="1" a="1"/>
  <c r="X126" i="4"/>
  <c r="Y126" i="4" s="1" a="1"/>
  <c r="W127" i="4" s="1"/>
  <c r="X127" i="4" s="1"/>
  <c r="Y127" i="4" s="1" a="1"/>
  <c r="I126" i="1" l="1" a="1"/>
  <c r="AB131" i="1" a="1"/>
  <c r="AC131" i="1" a="1"/>
  <c r="AL130" i="1" a="1"/>
  <c r="AM130" i="1" a="1"/>
  <c r="AR130" i="1" a="1"/>
  <c r="C130" i="1" a="1"/>
  <c r="H126" i="1" a="1"/>
  <c r="M132" i="1" a="1"/>
  <c r="AV131" i="1" a="1"/>
  <c r="D130" i="1" a="1"/>
  <c r="AW131" i="1" a="1"/>
  <c r="M131" i="4"/>
  <c r="N131" i="4" s="1"/>
  <c r="O131" i="4" s="1" a="1"/>
  <c r="P130" i="4" a="1"/>
  <c r="O132" i="1" s="1" a="1"/>
  <c r="AB130" i="4"/>
  <c r="AC130" i="4" s="1"/>
  <c r="AD130" i="4" s="1" a="1"/>
  <c r="AE129" i="4" a="1"/>
  <c r="AD131" i="1" s="1" a="1"/>
  <c r="AH129" i="1" a="1"/>
  <c r="AQ130" i="1" a="1"/>
  <c r="W128" i="4"/>
  <c r="X128" i="4" s="1"/>
  <c r="Y128" i="4" s="1" a="1"/>
  <c r="Z127" i="4" a="1"/>
  <c r="Y129" i="1" s="1" a="1"/>
  <c r="Z126" i="4" a="1"/>
  <c r="Y128" i="1" s="1" a="1"/>
  <c r="N132" i="1" a="1"/>
  <c r="S123" i="4"/>
  <c r="T123" i="4" s="1" a="1"/>
  <c r="C129" i="4"/>
  <c r="D129" i="4" s="1"/>
  <c r="E129" i="4" s="1" a="1"/>
  <c r="F128" i="4" a="1"/>
  <c r="E130" i="1" s="1" a="1"/>
  <c r="AG128" i="4"/>
  <c r="AH128" i="4" s="1"/>
  <c r="AI128" i="4" s="1" a="1"/>
  <c r="AJ127" i="4" a="1"/>
  <c r="AI129" i="1" s="1" a="1"/>
  <c r="R125" i="1" a="1"/>
  <c r="S125" i="1" a="1"/>
  <c r="AR128" i="4"/>
  <c r="AS128" i="4" s="1" a="1"/>
  <c r="AQ129" i="4" s="1"/>
  <c r="AR129" i="4" s="1"/>
  <c r="AS129" i="4" s="1" a="1"/>
  <c r="AV130" i="4"/>
  <c r="AW130" i="4" s="1"/>
  <c r="AX130" i="4" s="1" a="1"/>
  <c r="AY129" i="4" a="1"/>
  <c r="AX131" i="1" s="1" a="1"/>
  <c r="H125" i="4"/>
  <c r="I125" i="4" s="1"/>
  <c r="J125" i="4" s="1" a="1"/>
  <c r="K124" i="4" a="1"/>
  <c r="J126" i="1" s="1" a="1"/>
  <c r="AG129" i="1" a="1"/>
  <c r="AL129" i="4"/>
  <c r="AM129" i="4" s="1"/>
  <c r="AN129" i="4" s="1" a="1"/>
  <c r="AO128" i="4" a="1"/>
  <c r="AN130" i="1" s="1" a="1"/>
  <c r="AM131" i="1" l="1" a="1"/>
  <c r="H127" i="1" a="1"/>
  <c r="I127" i="1" a="1"/>
  <c r="AL131" i="1" a="1"/>
  <c r="D131" i="1" a="1"/>
  <c r="AG130" i="1" a="1"/>
  <c r="AH130" i="1" a="1"/>
  <c r="C131" i="1" a="1"/>
  <c r="M133" i="1" a="1"/>
  <c r="AB132" i="1" a="1"/>
  <c r="AC132" i="1" a="1"/>
  <c r="N133" i="1" a="1"/>
  <c r="AV132" i="1" a="1"/>
  <c r="AW132" i="1" a="1"/>
  <c r="AQ130" i="4"/>
  <c r="AR130" i="4" s="1"/>
  <c r="AS130" i="4" s="1" a="1"/>
  <c r="AT129" i="4" a="1"/>
  <c r="AS131" i="1" s="1" a="1"/>
  <c r="AL130" i="4"/>
  <c r="AM130" i="4" s="1"/>
  <c r="AN130" i="4" s="1" a="1"/>
  <c r="AO129" i="4" a="1"/>
  <c r="AN131" i="1" s="1" a="1"/>
  <c r="H126" i="4"/>
  <c r="I126" i="4" s="1"/>
  <c r="J126" i="4" s="1" a="1"/>
  <c r="K125" i="4" a="1"/>
  <c r="J127" i="1" s="1" a="1"/>
  <c r="C130" i="4"/>
  <c r="D130" i="4" s="1"/>
  <c r="E130" i="4" s="1" a="1"/>
  <c r="F129" i="4" a="1"/>
  <c r="E131" i="1" s="1" a="1"/>
  <c r="U123" i="4" a="1"/>
  <c r="T125" i="1" s="1" a="1"/>
  <c r="AV131" i="4"/>
  <c r="AW131" i="4" s="1"/>
  <c r="AX131" i="4" s="1" a="1"/>
  <c r="AY130" i="4" a="1"/>
  <c r="AX132" i="1" s="1" a="1"/>
  <c r="X129" i="1" a="1"/>
  <c r="W129" i="1" a="1"/>
  <c r="AG129" i="4"/>
  <c r="AH129" i="4" s="1"/>
  <c r="AI129" i="4" s="1" a="1"/>
  <c r="AJ128" i="4" a="1"/>
  <c r="AI130" i="1" s="1" a="1"/>
  <c r="AT128" i="4" a="1"/>
  <c r="AS130" i="1" s="1" a="1"/>
  <c r="X130" i="1" a="1"/>
  <c r="W130" i="1" a="1"/>
  <c r="W129" i="4"/>
  <c r="X129" i="4" s="1"/>
  <c r="Y129" i="4" s="1" a="1"/>
  <c r="Z128" i="4" a="1"/>
  <c r="Y130" i="1" s="1" a="1"/>
  <c r="AB131" i="4"/>
  <c r="AC131" i="4" s="1"/>
  <c r="AD131" i="4" s="1" a="1"/>
  <c r="AE130" i="4" a="1"/>
  <c r="AD132" i="1" s="1" a="1"/>
  <c r="R124" i="4"/>
  <c r="S124" i="4" s="1"/>
  <c r="T124" i="4" s="1" a="1"/>
  <c r="M132" i="4"/>
  <c r="N132" i="4" s="1"/>
  <c r="O132" i="4" s="1" a="1"/>
  <c r="P131" i="4" a="1"/>
  <c r="O133" i="1" s="1" a="1"/>
  <c r="D132" i="1" l="1" a="1"/>
  <c r="R126" i="1" a="1"/>
  <c r="W131" i="1" a="1"/>
  <c r="AQ132" i="1" a="1"/>
  <c r="AL132" i="1" a="1"/>
  <c r="AC133" i="1" a="1"/>
  <c r="AH131" i="1" a="1"/>
  <c r="AR131" i="1" a="1"/>
  <c r="AM132" i="1" a="1"/>
  <c r="X131" i="1" a="1"/>
  <c r="S126" i="1" a="1"/>
  <c r="I128" i="1" a="1"/>
  <c r="AW133" i="1" a="1"/>
  <c r="AR132" i="1" a="1"/>
  <c r="AB133" i="1" a="1"/>
  <c r="AV133" i="1" a="1"/>
  <c r="H128" i="1" a="1"/>
  <c r="R125" i="4"/>
  <c r="S125" i="4" s="1"/>
  <c r="T125" i="4" s="1" a="1"/>
  <c r="U124" i="4" a="1"/>
  <c r="T126" i="1" s="1" a="1"/>
  <c r="AB132" i="4"/>
  <c r="AC132" i="4" s="1"/>
  <c r="AD132" i="4" s="1" a="1"/>
  <c r="AE131" i="4" a="1"/>
  <c r="AD133" i="1" s="1" a="1"/>
  <c r="AQ131" i="1" a="1"/>
  <c r="C132" i="1" a="1"/>
  <c r="AG130" i="4"/>
  <c r="AH130" i="4" s="1"/>
  <c r="AI130" i="4" s="1" a="1"/>
  <c r="AJ129" i="4" a="1"/>
  <c r="AI131" i="1" s="1" a="1"/>
  <c r="H127" i="4"/>
  <c r="I127" i="4" s="1"/>
  <c r="J127" i="4" s="1" a="1"/>
  <c r="K126" i="4" a="1"/>
  <c r="J128" i="1" s="1" a="1"/>
  <c r="M134" i="1" a="1"/>
  <c r="N134" i="1" a="1"/>
  <c r="M133" i="4"/>
  <c r="N133" i="4" s="1"/>
  <c r="O133" i="4" s="1" a="1"/>
  <c r="P132" i="4" a="1"/>
  <c r="O134" i="1" s="1" a="1"/>
  <c r="AL131" i="4"/>
  <c r="AM131" i="4" s="1"/>
  <c r="AN131" i="4" s="1" a="1"/>
  <c r="AO130" i="4" a="1"/>
  <c r="AN132" i="1" s="1" a="1"/>
  <c r="AV132" i="4"/>
  <c r="AW132" i="4" s="1"/>
  <c r="AX132" i="4" s="1" a="1"/>
  <c r="AY131" i="4" a="1"/>
  <c r="AX133" i="1" s="1" a="1"/>
  <c r="W130" i="4"/>
  <c r="X130" i="4" s="1"/>
  <c r="Y130" i="4" s="1" a="1"/>
  <c r="Z129" i="4" a="1"/>
  <c r="Y131" i="1" s="1" a="1"/>
  <c r="AG131" i="1" a="1"/>
  <c r="C131" i="4"/>
  <c r="D131" i="4" s="1"/>
  <c r="E131" i="4" s="1" a="1"/>
  <c r="F130" i="4" a="1"/>
  <c r="E132" i="1" s="1" a="1"/>
  <c r="AQ131" i="4"/>
  <c r="AR131" i="4" s="1"/>
  <c r="AS131" i="4" s="1" a="1"/>
  <c r="AT130" i="4" a="1"/>
  <c r="AS132" i="1" s="1" a="1"/>
  <c r="AV134" i="1" l="1" a="1"/>
  <c r="AQ133" i="1" a="1"/>
  <c r="AM133" i="1" a="1"/>
  <c r="AL133" i="1" a="1"/>
  <c r="AW134" i="1" a="1"/>
  <c r="AG132" i="1" a="1"/>
  <c r="D133" i="1" a="1"/>
  <c r="C133" i="1" a="1"/>
  <c r="H128" i="4"/>
  <c r="I128" i="4" s="1"/>
  <c r="J128" i="4" s="1" a="1"/>
  <c r="K127" i="4" a="1"/>
  <c r="J129" i="1" s="1" a="1"/>
  <c r="AH132" i="1" a="1"/>
  <c r="AV133" i="4"/>
  <c r="AY132" i="4" a="1"/>
  <c r="AX134" i="1" s="1" a="1"/>
  <c r="AR133" i="1" a="1"/>
  <c r="AG131" i="4"/>
  <c r="AH131" i="4" s="1"/>
  <c r="AI131" i="4" s="1" a="1"/>
  <c r="AJ130" i="4" a="1"/>
  <c r="AI132" i="1" s="1" a="1"/>
  <c r="AL132" i="4"/>
  <c r="AM132" i="4" s="1"/>
  <c r="AN132" i="4" s="1" a="1"/>
  <c r="AO131" i="4" a="1"/>
  <c r="AN133" i="1" s="1" a="1"/>
  <c r="AB134" i="1" a="1"/>
  <c r="AQ132" i="4"/>
  <c r="AR132" i="4" s="1"/>
  <c r="AS132" i="4" s="1" a="1"/>
  <c r="AT131" i="4" a="1"/>
  <c r="AS133" i="1" s="1" a="1"/>
  <c r="M135" i="1" a="1"/>
  <c r="N135" i="1" a="1"/>
  <c r="AC134" i="1" a="1"/>
  <c r="AB133" i="4"/>
  <c r="AC133" i="4" s="1"/>
  <c r="AD133" i="4" s="1" a="1"/>
  <c r="AE132" i="4" a="1"/>
  <c r="AD134" i="1" s="1" a="1"/>
  <c r="H129" i="1" a="1"/>
  <c r="C132" i="4"/>
  <c r="D132" i="4" s="1"/>
  <c r="E132" i="4" s="1" a="1"/>
  <c r="F131" i="4" a="1"/>
  <c r="E133" i="1" s="1" a="1"/>
  <c r="M134" i="4"/>
  <c r="N134" i="4" s="1"/>
  <c r="O134" i="4" s="1" a="1"/>
  <c r="P133" i="4" a="1"/>
  <c r="O135" i="1" s="1" a="1"/>
  <c r="W132" i="1" a="1"/>
  <c r="R127" i="1" a="1"/>
  <c r="X132" i="1" a="1"/>
  <c r="S127" i="1" a="1"/>
  <c r="W131" i="4"/>
  <c r="X131" i="4" s="1"/>
  <c r="Y131" i="4" s="1" a="1"/>
  <c r="Z130" i="4" a="1"/>
  <c r="Y132" i="1" s="1" a="1"/>
  <c r="I129" i="1" a="1"/>
  <c r="R126" i="4"/>
  <c r="S126" i="4" s="1"/>
  <c r="T126" i="4" s="1" a="1"/>
  <c r="U125" i="4" a="1"/>
  <c r="T127" i="1" s="1" a="1"/>
  <c r="AL134" i="1" l="1" a="1"/>
  <c r="H130" i="1" a="1"/>
  <c r="AM134" i="1" a="1"/>
  <c r="M136" i="1" a="1"/>
  <c r="N136" i="1" a="1"/>
  <c r="AV135" i="1" a="1"/>
  <c r="C134" i="1" a="1"/>
  <c r="AG133" i="1" a="1"/>
  <c r="AW135" i="1" a="1"/>
  <c r="AQ134" i="1" a="1"/>
  <c r="I130" i="1" a="1"/>
  <c r="AB135" i="1" a="1"/>
  <c r="AR134" i="1" a="1"/>
  <c r="D134" i="1" a="1"/>
  <c r="R128" i="1" a="1"/>
  <c r="W132" i="4"/>
  <c r="X132" i="4" s="1"/>
  <c r="Y132" i="4" s="1" a="1"/>
  <c r="Z131" i="4" a="1"/>
  <c r="Y133" i="1" s="1" a="1"/>
  <c r="M135" i="4"/>
  <c r="N135" i="4" s="1"/>
  <c r="O135" i="4" s="1" a="1"/>
  <c r="P134" i="4" a="1"/>
  <c r="O136" i="1" s="1" a="1"/>
  <c r="AQ133" i="4"/>
  <c r="AT132" i="4" a="1"/>
  <c r="AS134" i="1" s="1" a="1"/>
  <c r="S128" i="1" a="1"/>
  <c r="C133" i="4"/>
  <c r="D133" i="4" s="1"/>
  <c r="E133" i="4" s="1" a="1"/>
  <c r="F132" i="4" a="1"/>
  <c r="E134" i="1" s="1" a="1"/>
  <c r="AB134" i="4"/>
  <c r="AC134" i="4" s="1"/>
  <c r="AD134" i="4" s="1" a="1"/>
  <c r="AE133" i="4" a="1"/>
  <c r="AD135" i="1" s="1" a="1"/>
  <c r="AG132" i="4"/>
  <c r="AH132" i="4" s="1"/>
  <c r="AI132" i="4" s="1" a="1"/>
  <c r="AJ131" i="4" a="1"/>
  <c r="AI133" i="1" s="1" a="1"/>
  <c r="R127" i="4"/>
  <c r="S127" i="4" s="1"/>
  <c r="T127" i="4" s="1" a="1"/>
  <c r="U126" i="4" a="1"/>
  <c r="T128" i="1" s="1" a="1"/>
  <c r="X133" i="1" a="1"/>
  <c r="AL133" i="4"/>
  <c r="AM133" i="4" s="1"/>
  <c r="AN133" i="4" s="1" a="1"/>
  <c r="AO132" i="4" a="1"/>
  <c r="AN134" i="1" s="1" a="1"/>
  <c r="H129" i="4"/>
  <c r="I129" i="4" s="1"/>
  <c r="J129" i="4" s="1" a="1"/>
  <c r="K128" i="4" a="1"/>
  <c r="J130" i="1" s="1" a="1"/>
  <c r="W133" i="1" a="1"/>
  <c r="AC135" i="1" a="1"/>
  <c r="AH133" i="1" a="1"/>
  <c r="AW133" i="4"/>
  <c r="AX133" i="4" s="1" a="1"/>
  <c r="AV134" i="4" s="1"/>
  <c r="AW134" i="4" s="1"/>
  <c r="AX134" i="4" s="1" a="1"/>
  <c r="AM135" i="1" l="1" a="1"/>
  <c r="AV135" i="4"/>
  <c r="AW135" i="4" s="1"/>
  <c r="AX135" i="4" s="1" a="1"/>
  <c r="AY134" i="4" a="1"/>
  <c r="AX136" i="1" s="1" a="1"/>
  <c r="AG133" i="4"/>
  <c r="AH133" i="4" s="1"/>
  <c r="AI133" i="4" s="1" a="1"/>
  <c r="AJ132" i="4" a="1"/>
  <c r="AI134" i="1" s="1" a="1"/>
  <c r="C135" i="1" a="1"/>
  <c r="H131" i="1" a="1"/>
  <c r="AL134" i="4"/>
  <c r="AM134" i="4" s="1"/>
  <c r="AN134" i="4" s="1" a="1"/>
  <c r="AO133" i="4" a="1"/>
  <c r="AN135" i="1" s="1" a="1"/>
  <c r="C134" i="4"/>
  <c r="F133" i="4" a="1"/>
  <c r="E135" i="1" s="1" a="1"/>
  <c r="H130" i="4"/>
  <c r="I130" i="4" s="1"/>
  <c r="J130" i="4" s="1" a="1"/>
  <c r="K129" i="4" a="1"/>
  <c r="J131" i="1" s="1" a="1"/>
  <c r="S129" i="1" a="1"/>
  <c r="R129" i="1" a="1"/>
  <c r="AQ135" i="1" a="1"/>
  <c r="AR135" i="1" a="1"/>
  <c r="R128" i="4"/>
  <c r="S128" i="4" s="1"/>
  <c r="T128" i="4" s="1" a="1"/>
  <c r="U127" i="4" a="1"/>
  <c r="T129" i="1" s="1" a="1"/>
  <c r="AG134" i="1" a="1"/>
  <c r="AR133" i="4"/>
  <c r="AS133" i="4" s="1" a="1"/>
  <c r="AQ134" i="4" s="1"/>
  <c r="AR134" i="4" s="1"/>
  <c r="AS134" i="4" s="1" a="1"/>
  <c r="AH134" i="1" a="1"/>
  <c r="M137" i="1" a="1"/>
  <c r="N137" i="1" a="1"/>
  <c r="AC136" i="1" a="1"/>
  <c r="M136" i="4"/>
  <c r="N136" i="4" s="1"/>
  <c r="O136" i="4" s="1" a="1"/>
  <c r="P135" i="4" a="1"/>
  <c r="O137" i="1" s="1" a="1"/>
  <c r="AB136" i="1" a="1"/>
  <c r="W134" i="1" a="1"/>
  <c r="X134" i="1" a="1"/>
  <c r="AY133" i="4" a="1"/>
  <c r="AX135" i="1" s="1" a="1"/>
  <c r="I131" i="1" a="1"/>
  <c r="AB135" i="4"/>
  <c r="AC135" i="4" s="1"/>
  <c r="AD135" i="4" s="1" a="1"/>
  <c r="AE134" i="4" a="1"/>
  <c r="AD136" i="1" s="1" a="1"/>
  <c r="AL135" i="1" a="1"/>
  <c r="D135" i="1" a="1"/>
  <c r="W133" i="4"/>
  <c r="X133" i="4" s="1"/>
  <c r="Y133" i="4" s="1" a="1"/>
  <c r="Z132" i="4" a="1"/>
  <c r="Y134" i="1" s="1" a="1"/>
  <c r="AW137" i="1" l="1" a="1"/>
  <c r="AG135" i="1" a="1"/>
  <c r="AH135" i="1" a="1"/>
  <c r="H132" i="1" a="1"/>
  <c r="X135" i="1" a="1"/>
  <c r="AV137" i="1" a="1"/>
  <c r="W135" i="1" a="1"/>
  <c r="N138" i="1" a="1"/>
  <c r="M138" i="1" a="1"/>
  <c r="I132" i="1" a="1"/>
  <c r="D136" i="1" a="1"/>
  <c r="AC137" i="1" a="1"/>
  <c r="AB137" i="1" a="1"/>
  <c r="C136" i="1" a="1"/>
  <c r="AQ135" i="4"/>
  <c r="AR135" i="4" s="1"/>
  <c r="AS135" i="4" s="1" a="1"/>
  <c r="AT134" i="4" a="1"/>
  <c r="AS136" i="1" s="1" a="1"/>
  <c r="AT133" i="4" a="1"/>
  <c r="AS135" i="1" s="1" a="1"/>
  <c r="W134" i="4"/>
  <c r="X134" i="4" s="1"/>
  <c r="Y134" i="4" s="1" a="1"/>
  <c r="Z133" i="4" a="1"/>
  <c r="Y135" i="1" s="1" a="1"/>
  <c r="H131" i="4"/>
  <c r="I131" i="4" s="1"/>
  <c r="J131" i="4" s="1" a="1"/>
  <c r="K130" i="4" a="1"/>
  <c r="J132" i="1" s="1" a="1"/>
  <c r="AW136" i="1" a="1"/>
  <c r="D134" i="4"/>
  <c r="E134" i="4" s="1" a="1"/>
  <c r="C135" i="4" s="1"/>
  <c r="D135" i="4" s="1"/>
  <c r="E135" i="4" s="1" a="1"/>
  <c r="AV136" i="1" a="1"/>
  <c r="S130" i="1" a="1"/>
  <c r="AL136" i="1" a="1"/>
  <c r="AL135" i="4"/>
  <c r="AM135" i="4" s="1"/>
  <c r="AN135" i="4" s="1" a="1"/>
  <c r="AO134" i="4" a="1"/>
  <c r="AN136" i="1" s="1" a="1"/>
  <c r="R130" i="1" a="1"/>
  <c r="AM136" i="1" a="1"/>
  <c r="R129" i="4"/>
  <c r="S129" i="4" s="1"/>
  <c r="T129" i="4" s="1" a="1"/>
  <c r="U128" i="4" a="1"/>
  <c r="T130" i="1" s="1" a="1"/>
  <c r="M137" i="4"/>
  <c r="N137" i="4" s="1"/>
  <c r="O137" i="4" s="1" a="1"/>
  <c r="P136" i="4" a="1"/>
  <c r="O138" i="1" s="1" a="1"/>
  <c r="AG134" i="4"/>
  <c r="AH134" i="4" s="1"/>
  <c r="AI134" i="4" s="1" a="1"/>
  <c r="AJ133" i="4" a="1"/>
  <c r="AI135" i="1" s="1" a="1"/>
  <c r="AB136" i="4"/>
  <c r="AC136" i="4" s="1"/>
  <c r="AD136" i="4" s="1" a="1"/>
  <c r="AE135" i="4" a="1"/>
  <c r="AD137" i="1" s="1" a="1"/>
  <c r="AV136" i="4"/>
  <c r="AW136" i="4" s="1"/>
  <c r="AX136" i="4" s="1" a="1"/>
  <c r="AY135" i="4" a="1"/>
  <c r="AX137" i="1" s="1" a="1"/>
  <c r="AG136" i="1" l="1" a="1"/>
  <c r="AQ136" i="1" a="1"/>
  <c r="AR137" i="1" a="1"/>
  <c r="AQ137" i="1" a="1"/>
  <c r="AR136" i="1" a="1"/>
  <c r="AH136" i="1" a="1"/>
  <c r="X136" i="1" a="1"/>
  <c r="W136" i="1" a="1"/>
  <c r="AM137" i="1" a="1"/>
  <c r="M139" i="1" a="1"/>
  <c r="AC138" i="1" a="1"/>
  <c r="AB138" i="1" a="1"/>
  <c r="N139" i="1" a="1"/>
  <c r="AL137" i="1" a="1"/>
  <c r="AV137" i="4"/>
  <c r="AW137" i="4" s="1"/>
  <c r="AX137" i="4" s="1" a="1"/>
  <c r="AY136" i="4" a="1"/>
  <c r="AX138" i="1" s="1" a="1"/>
  <c r="C136" i="4"/>
  <c r="D136" i="4" s="1"/>
  <c r="E136" i="4" s="1" a="1"/>
  <c r="F135" i="4" a="1"/>
  <c r="E137" i="1" s="1" a="1"/>
  <c r="M138" i="4"/>
  <c r="N138" i="4" s="1"/>
  <c r="O138" i="4" s="1" a="1"/>
  <c r="P137" i="4" a="1"/>
  <c r="O139" i="1" s="1" a="1"/>
  <c r="R130" i="4"/>
  <c r="S130" i="4" s="1"/>
  <c r="T130" i="4" s="1" a="1"/>
  <c r="U129" i="4" a="1"/>
  <c r="T131" i="1" s="1" a="1"/>
  <c r="AB137" i="4"/>
  <c r="AC137" i="4" s="1"/>
  <c r="AD137" i="4" s="1" a="1"/>
  <c r="AE136" i="4" a="1"/>
  <c r="AD138" i="1" s="1" a="1"/>
  <c r="AL136" i="4"/>
  <c r="AO135" i="4" a="1"/>
  <c r="AN137" i="1" s="1" a="1"/>
  <c r="AW138" i="1" a="1"/>
  <c r="R131" i="1" a="1"/>
  <c r="H133" i="1" a="1"/>
  <c r="AV138" i="1" a="1"/>
  <c r="S131" i="1" a="1"/>
  <c r="I133" i="1" a="1"/>
  <c r="H132" i="4"/>
  <c r="I132" i="4" s="1"/>
  <c r="J132" i="4" s="1" a="1"/>
  <c r="K131" i="4" a="1"/>
  <c r="J133" i="1" s="1" a="1"/>
  <c r="W135" i="4"/>
  <c r="X135" i="4" s="1"/>
  <c r="Y135" i="4" s="1" a="1"/>
  <c r="Z134" i="4" a="1"/>
  <c r="Y136" i="1" s="1" a="1"/>
  <c r="AG135" i="4"/>
  <c r="AH135" i="4" s="1"/>
  <c r="AI135" i="4" s="1" a="1"/>
  <c r="AJ134" i="4" a="1"/>
  <c r="AI136" i="1" s="1" a="1"/>
  <c r="F134" i="4" a="1"/>
  <c r="E136" i="1" s="1" a="1"/>
  <c r="AQ136" i="4"/>
  <c r="AR136" i="4" s="1"/>
  <c r="AS136" i="4" s="1" a="1"/>
  <c r="AT135" i="4" a="1"/>
  <c r="AS137" i="1" s="1" a="1"/>
  <c r="X137" i="1" l="1" a="1"/>
  <c r="W137" i="1" a="1"/>
  <c r="M140" i="1" a="1"/>
  <c r="N140" i="1" a="1"/>
  <c r="AW139" i="1" a="1"/>
  <c r="AM138" i="1" a="1"/>
  <c r="AB139" i="1" a="1"/>
  <c r="AV139" i="1" a="1"/>
  <c r="AC139" i="1" a="1"/>
  <c r="H134" i="1" a="1"/>
  <c r="I134" i="1" a="1"/>
  <c r="R132" i="1" a="1"/>
  <c r="AG137" i="1" a="1"/>
  <c r="AL138" i="1" a="1"/>
  <c r="D138" i="1" a="1"/>
  <c r="AH137" i="1" a="1"/>
  <c r="C138" i="1" a="1"/>
  <c r="D137" i="1" a="1"/>
  <c r="M139" i="4"/>
  <c r="N139" i="4" s="1"/>
  <c r="O139" i="4" s="1" a="1"/>
  <c r="P138" i="4" a="1"/>
  <c r="O140" i="1" s="1" a="1"/>
  <c r="AG136" i="4"/>
  <c r="AH136" i="4" s="1"/>
  <c r="AI136" i="4" s="1" a="1"/>
  <c r="AJ135" i="4" a="1"/>
  <c r="AI137" i="1" s="1" a="1"/>
  <c r="AM136" i="4"/>
  <c r="AN136" i="4" s="1" a="1"/>
  <c r="AL137" i="4" s="1"/>
  <c r="W136" i="4"/>
  <c r="X136" i="4" s="1"/>
  <c r="Y136" i="4" s="1" a="1"/>
  <c r="Z135" i="4" a="1"/>
  <c r="Y137" i="1" s="1" a="1"/>
  <c r="AR138" i="1" a="1"/>
  <c r="AQ138" i="1" a="1"/>
  <c r="S132" i="1" a="1"/>
  <c r="H133" i="4"/>
  <c r="I133" i="4" s="1"/>
  <c r="J133" i="4" s="1" a="1"/>
  <c r="K132" i="4" a="1"/>
  <c r="J134" i="1" s="1" a="1"/>
  <c r="AQ137" i="4"/>
  <c r="AR137" i="4" s="1"/>
  <c r="AS137" i="4" s="1" a="1"/>
  <c r="AT136" i="4" a="1"/>
  <c r="AS138" i="1" s="1" a="1"/>
  <c r="C137" i="1" a="1"/>
  <c r="R131" i="4"/>
  <c r="S131" i="4" s="1"/>
  <c r="T131" i="4" s="1" a="1"/>
  <c r="U130" i="4" a="1"/>
  <c r="T132" i="1" s="1" a="1"/>
  <c r="C137" i="4"/>
  <c r="D137" i="4" s="1"/>
  <c r="E137" i="4" s="1" a="1"/>
  <c r="F136" i="4" a="1"/>
  <c r="E138" i="1" s="1" a="1"/>
  <c r="AB138" i="4"/>
  <c r="AC138" i="4" s="1"/>
  <c r="AD138" i="4" s="1" a="1"/>
  <c r="AE137" i="4" a="1"/>
  <c r="AD139" i="1" s="1" a="1"/>
  <c r="AV138" i="4"/>
  <c r="AW138" i="4" s="1"/>
  <c r="AX138" i="4" s="1" a="1"/>
  <c r="AY137" i="4" a="1"/>
  <c r="AX139" i="1" s="1" a="1"/>
  <c r="AB140" i="1" l="1" a="1"/>
  <c r="AC140" i="1" a="1"/>
  <c r="I135" i="1" a="1"/>
  <c r="H135" i="1" a="1"/>
  <c r="N141" i="1" a="1"/>
  <c r="M141" i="1" a="1"/>
  <c r="S133" i="1" a="1"/>
  <c r="AG138" i="1" a="1"/>
  <c r="AH138" i="1" a="1"/>
  <c r="AR139" i="1" a="1"/>
  <c r="AW140" i="1" a="1"/>
  <c r="AQ139" i="1" a="1"/>
  <c r="C139" i="1" a="1"/>
  <c r="AV140" i="1" a="1"/>
  <c r="D139" i="1" a="1"/>
  <c r="W138" i="1" a="1"/>
  <c r="W137" i="4"/>
  <c r="X137" i="4" s="1"/>
  <c r="Y137" i="4" s="1" a="1"/>
  <c r="Z136" i="4" a="1"/>
  <c r="Y138" i="1" s="1" a="1"/>
  <c r="AM137" i="4"/>
  <c r="AN137" i="4" s="1" a="1"/>
  <c r="AL138" i="4" s="1"/>
  <c r="AM138" i="4" s="1"/>
  <c r="AN138" i="4" s="1" a="1"/>
  <c r="AQ138" i="4"/>
  <c r="AR138" i="4" s="1"/>
  <c r="AS138" i="4" s="1" a="1"/>
  <c r="AT137" i="4" a="1"/>
  <c r="AS139" i="1" s="1" a="1"/>
  <c r="AG137" i="4"/>
  <c r="AH137" i="4" s="1"/>
  <c r="AI137" i="4" s="1" a="1"/>
  <c r="AJ136" i="4" a="1"/>
  <c r="AI138" i="1" s="1" a="1"/>
  <c r="AB139" i="4"/>
  <c r="AC139" i="4" s="1"/>
  <c r="AD139" i="4" s="1" a="1"/>
  <c r="AE138" i="4" a="1"/>
  <c r="AD140" i="1" s="1" a="1"/>
  <c r="H134" i="4"/>
  <c r="K133" i="4" a="1"/>
  <c r="J135" i="1" s="1" a="1"/>
  <c r="M140" i="4"/>
  <c r="N140" i="4" s="1"/>
  <c r="O140" i="4" s="1" a="1"/>
  <c r="P139" i="4" a="1"/>
  <c r="O141" i="1" s="1" a="1"/>
  <c r="R132" i="4"/>
  <c r="S132" i="4" s="1"/>
  <c r="T132" i="4" s="1" a="1"/>
  <c r="U131" i="4" a="1"/>
  <c r="T133" i="1" s="1" a="1"/>
  <c r="AO136" i="4" a="1"/>
  <c r="AN138" i="1" s="1" a="1"/>
  <c r="AV139" i="4"/>
  <c r="AW139" i="4" s="1"/>
  <c r="AX139" i="4" s="1" a="1"/>
  <c r="AY138" i="4" a="1"/>
  <c r="AX140" i="1" s="1" a="1"/>
  <c r="C138" i="4"/>
  <c r="F137" i="4" a="1"/>
  <c r="E139" i="1" s="1" a="1"/>
  <c r="R133" i="1" a="1"/>
  <c r="X138" i="1" a="1"/>
  <c r="AB141" i="1" l="1" a="1"/>
  <c r="AC141" i="1" a="1"/>
  <c r="I136" i="1" a="1"/>
  <c r="AV141" i="1" a="1"/>
  <c r="W139" i="1" a="1"/>
  <c r="C140" i="1" a="1"/>
  <c r="H136" i="1" a="1"/>
  <c r="AW141" i="1" a="1"/>
  <c r="M142" i="1" a="1"/>
  <c r="AR140" i="1" a="1"/>
  <c r="N142" i="1" a="1"/>
  <c r="D140" i="1" a="1"/>
  <c r="X139" i="1" a="1"/>
  <c r="AQ140" i="1" a="1"/>
  <c r="R133" i="4"/>
  <c r="S133" i="4" s="1"/>
  <c r="T133" i="4" s="1" a="1"/>
  <c r="U132" i="4" a="1"/>
  <c r="T134" i="1" s="1" a="1"/>
  <c r="M141" i="4"/>
  <c r="N141" i="4" s="1"/>
  <c r="O141" i="4" s="1" a="1"/>
  <c r="P140" i="4" a="1"/>
  <c r="O142" i="1" s="1" a="1"/>
  <c r="I134" i="4"/>
  <c r="J134" i="4" s="1" a="1"/>
  <c r="H135" i="4" s="1"/>
  <c r="I135" i="4" s="1"/>
  <c r="J135" i="4" s="1" a="1"/>
  <c r="AL139" i="1" a="1"/>
  <c r="AM139" i="1" a="1"/>
  <c r="AQ139" i="4"/>
  <c r="AR139" i="4" s="1"/>
  <c r="AS139" i="4" s="1" a="1"/>
  <c r="AT138" i="4" a="1"/>
  <c r="AS140" i="1" s="1" a="1"/>
  <c r="AO137" i="4" a="1"/>
  <c r="AN139" i="1" s="1" a="1"/>
  <c r="AB140" i="4"/>
  <c r="AC140" i="4" s="1"/>
  <c r="AD140" i="4" s="1" a="1"/>
  <c r="AE139" i="4" a="1"/>
  <c r="AD141" i="1" s="1" a="1"/>
  <c r="R134" i="1" a="1"/>
  <c r="AH139" i="1" a="1"/>
  <c r="D138" i="4"/>
  <c r="E138" i="4" s="1" a="1"/>
  <c r="C139" i="4" s="1"/>
  <c r="D139" i="4" s="1"/>
  <c r="E139" i="4" s="1" a="1"/>
  <c r="S134" i="1" a="1"/>
  <c r="AG139" i="1" a="1"/>
  <c r="AG138" i="4"/>
  <c r="AH138" i="4" s="1"/>
  <c r="AI138" i="4" s="1" a="1"/>
  <c r="AJ137" i="4" a="1"/>
  <c r="AI139" i="1" s="1" a="1"/>
  <c r="AL139" i="4"/>
  <c r="AM139" i="4" s="1"/>
  <c r="AN139" i="4" s="1" a="1"/>
  <c r="AO138" i="4" a="1"/>
  <c r="AN140" i="1" s="1" a="1"/>
  <c r="AV140" i="4"/>
  <c r="AW140" i="4" s="1"/>
  <c r="AX140" i="4" s="1" a="1"/>
  <c r="AY139" i="4" a="1"/>
  <c r="AX141" i="1" s="1" a="1"/>
  <c r="W138" i="4"/>
  <c r="X138" i="4" s="1"/>
  <c r="Y138" i="4" s="1" a="1"/>
  <c r="Z137" i="4" a="1"/>
  <c r="Y139" i="1" s="1" a="1"/>
  <c r="AQ141" i="1" l="1" a="1"/>
  <c r="AM140" i="1" a="1"/>
  <c r="AB142" i="1" a="1"/>
  <c r="AL141" i="1" a="1"/>
  <c r="AL140" i="1" a="1"/>
  <c r="AC142" i="1" a="1"/>
  <c r="AW142" i="1" a="1"/>
  <c r="X140" i="1" a="1"/>
  <c r="AV142" i="1" a="1"/>
  <c r="R135" i="1" a="1"/>
  <c r="AM141" i="1" a="1"/>
  <c r="S135" i="1" a="1"/>
  <c r="M143" i="1" a="1"/>
  <c r="N143" i="1" a="1"/>
  <c r="C140" i="4"/>
  <c r="D140" i="4" s="1"/>
  <c r="E140" i="4" s="1" a="1"/>
  <c r="F139" i="4" a="1"/>
  <c r="E141" i="1" s="1" a="1"/>
  <c r="W139" i="4"/>
  <c r="X139" i="4" s="1"/>
  <c r="Y139" i="4" s="1" a="1"/>
  <c r="Z138" i="4" a="1"/>
  <c r="Y140" i="1" s="1" a="1"/>
  <c r="H136" i="4"/>
  <c r="I136" i="4" s="1"/>
  <c r="J136" i="4" s="1" a="1"/>
  <c r="K135" i="4" a="1"/>
  <c r="J137" i="1" s="1" a="1"/>
  <c r="K134" i="4" a="1"/>
  <c r="J136" i="1" s="1" a="1"/>
  <c r="AV141" i="4"/>
  <c r="AW141" i="4" s="1"/>
  <c r="AX141" i="4" s="1" a="1"/>
  <c r="AY140" i="4" a="1"/>
  <c r="AX142" i="1" s="1" a="1"/>
  <c r="AH140" i="1" a="1"/>
  <c r="AG140" i="1" a="1"/>
  <c r="AR141" i="1" a="1"/>
  <c r="AL140" i="4"/>
  <c r="AM140" i="4" s="1"/>
  <c r="AN140" i="4" s="1" a="1"/>
  <c r="AO139" i="4" a="1"/>
  <c r="AN141" i="1" s="1" a="1"/>
  <c r="AG139" i="4"/>
  <c r="AH139" i="4" s="1"/>
  <c r="AI139" i="4" s="1" a="1"/>
  <c r="AJ138" i="4" a="1"/>
  <c r="AI140" i="1" s="1" a="1"/>
  <c r="W140" i="1" a="1"/>
  <c r="AQ140" i="4"/>
  <c r="AR140" i="4" s="1"/>
  <c r="AS140" i="4" s="1" a="1"/>
  <c r="AT139" i="4" a="1"/>
  <c r="AS141" i="1" s="1" a="1"/>
  <c r="F138" i="4" a="1"/>
  <c r="E140" i="1" s="1" a="1"/>
  <c r="M142" i="4"/>
  <c r="N142" i="4" s="1"/>
  <c r="O142" i="4" s="1" a="1"/>
  <c r="P141" i="4" a="1"/>
  <c r="O143" i="1" s="1" a="1"/>
  <c r="AB141" i="4"/>
  <c r="AC141" i="4" s="1"/>
  <c r="AD141" i="4" s="1" a="1"/>
  <c r="AE140" i="4" a="1"/>
  <c r="AD142" i="1" s="1" a="1"/>
  <c r="R134" i="4"/>
  <c r="S134" i="4" s="1"/>
  <c r="T134" i="4" s="1" a="1"/>
  <c r="U133" i="4" a="1"/>
  <c r="T135" i="1" s="1" a="1"/>
  <c r="S136" i="1" l="1" a="1"/>
  <c r="R136" i="1" a="1"/>
  <c r="AH141" i="1" a="1"/>
  <c r="D141" i="1" a="1"/>
  <c r="C141" i="1" a="1"/>
  <c r="AQ142" i="1" a="1"/>
  <c r="AW143" i="1" a="1"/>
  <c r="AC143" i="1" a="1"/>
  <c r="AQ141" i="4"/>
  <c r="AR141" i="4" s="1"/>
  <c r="AS141" i="4" s="1" a="1"/>
  <c r="AT140" i="4" a="1"/>
  <c r="AS142" i="1" s="1" a="1"/>
  <c r="AV142" i="4"/>
  <c r="AY141" i="4" a="1"/>
  <c r="AX143" i="1" s="1" a="1"/>
  <c r="R135" i="4"/>
  <c r="S135" i="4" s="1"/>
  <c r="T135" i="4" s="1" a="1"/>
  <c r="U134" i="4" a="1"/>
  <c r="T136" i="1" s="1" a="1"/>
  <c r="I137" i="1" a="1"/>
  <c r="AB143" i="1" a="1"/>
  <c r="AG141" i="1" a="1"/>
  <c r="H137" i="1" a="1"/>
  <c r="H138" i="1" a="1"/>
  <c r="AB142" i="4"/>
  <c r="AC142" i="4" s="1"/>
  <c r="AD142" i="4" s="1" a="1"/>
  <c r="AE141" i="4" a="1"/>
  <c r="AD143" i="1" s="1" a="1"/>
  <c r="AG140" i="4"/>
  <c r="AH140" i="4" s="1"/>
  <c r="AI140" i="4" s="1" a="1"/>
  <c r="AJ139" i="4" a="1"/>
  <c r="AI141" i="1" s="1" a="1"/>
  <c r="I138" i="1" a="1"/>
  <c r="AM142" i="1" a="1"/>
  <c r="N144" i="1" a="1"/>
  <c r="AL142" i="1" a="1"/>
  <c r="H137" i="4"/>
  <c r="I137" i="4" s="1"/>
  <c r="J137" i="4" s="1" a="1"/>
  <c r="K136" i="4" a="1"/>
  <c r="J138" i="1" s="1" a="1"/>
  <c r="W141" i="1" a="1"/>
  <c r="M143" i="4"/>
  <c r="N143" i="4" s="1"/>
  <c r="O143" i="4" s="1" a="1"/>
  <c r="P142" i="4" a="1"/>
  <c r="O144" i="1" s="1" a="1"/>
  <c r="AL141" i="4"/>
  <c r="AM141" i="4" s="1"/>
  <c r="AN141" i="4" s="1" a="1"/>
  <c r="AO140" i="4" a="1"/>
  <c r="AN142" i="1" s="1" a="1"/>
  <c r="X141" i="1" a="1"/>
  <c r="W140" i="4"/>
  <c r="X140" i="4" s="1"/>
  <c r="Y140" i="4" s="1" a="1"/>
  <c r="Z139" i="4" a="1"/>
  <c r="Y141" i="1" s="1" a="1"/>
  <c r="M144" i="1" a="1"/>
  <c r="D142" i="1" a="1"/>
  <c r="AR142" i="1" a="1"/>
  <c r="AV143" i="1" a="1"/>
  <c r="C142" i="1" a="1"/>
  <c r="C141" i="4"/>
  <c r="D141" i="4" s="1"/>
  <c r="E141" i="4" s="1" a="1"/>
  <c r="F140" i="4" a="1"/>
  <c r="E142" i="1" s="1" a="1"/>
  <c r="AL143" i="1" l="1" a="1"/>
  <c r="AB144" i="1" a="1"/>
  <c r="N145" i="1" a="1"/>
  <c r="C143" i="1" a="1"/>
  <c r="M145" i="1" a="1"/>
  <c r="AQ143" i="1" a="1"/>
  <c r="AR143" i="1" a="1"/>
  <c r="AC144" i="1" a="1"/>
  <c r="D143" i="1" a="1"/>
  <c r="AM143" i="1" a="1"/>
  <c r="AW144" i="1" a="1"/>
  <c r="S137" i="1" a="1"/>
  <c r="AV144" i="1" a="1"/>
  <c r="AH142" i="1" a="1"/>
  <c r="AG142" i="1" a="1"/>
  <c r="AL142" i="4"/>
  <c r="AM142" i="4" s="1"/>
  <c r="AN142" i="4" s="1" a="1"/>
  <c r="AO141" i="4" a="1"/>
  <c r="AN143" i="1" s="1" a="1"/>
  <c r="AG141" i="4"/>
  <c r="AH141" i="4" s="1"/>
  <c r="AI141" i="4" s="1" a="1"/>
  <c r="AJ140" i="4" a="1"/>
  <c r="AI142" i="1" s="1" a="1"/>
  <c r="I139" i="1" a="1"/>
  <c r="R137" i="1" a="1"/>
  <c r="W142" i="1" a="1"/>
  <c r="X142" i="1" a="1"/>
  <c r="H138" i="4"/>
  <c r="I138" i="4" s="1"/>
  <c r="J138" i="4" s="1" a="1"/>
  <c r="K137" i="4" a="1"/>
  <c r="J139" i="1" s="1" a="1"/>
  <c r="W141" i="4"/>
  <c r="X141" i="4" s="1"/>
  <c r="Y141" i="4" s="1" a="1"/>
  <c r="Z140" i="4" a="1"/>
  <c r="Y142" i="1" s="1" a="1"/>
  <c r="R136" i="4"/>
  <c r="S136" i="4" s="1"/>
  <c r="T136" i="4" s="1" a="1"/>
  <c r="U135" i="4" a="1"/>
  <c r="T137" i="1" s="1" a="1"/>
  <c r="C142" i="4"/>
  <c r="D142" i="4" s="1"/>
  <c r="E142" i="4" s="1" a="1"/>
  <c r="F141" i="4" a="1"/>
  <c r="E143" i="1" s="1" a="1"/>
  <c r="AW142" i="4"/>
  <c r="AX142" i="4" s="1" a="1"/>
  <c r="AV143" i="4" s="1"/>
  <c r="AW143" i="4" s="1"/>
  <c r="AX143" i="4" s="1" a="1"/>
  <c r="M144" i="4"/>
  <c r="N144" i="4" s="1"/>
  <c r="O144" i="4" s="1" a="1"/>
  <c r="P143" i="4" a="1"/>
  <c r="O145" i="1" s="1" a="1"/>
  <c r="AB143" i="4"/>
  <c r="AC143" i="4" s="1"/>
  <c r="AD143" i="4" s="1" a="1"/>
  <c r="AE142" i="4" a="1"/>
  <c r="AD144" i="1" s="1" a="1"/>
  <c r="H139" i="1" a="1"/>
  <c r="AQ142" i="4"/>
  <c r="AR142" i="4" s="1"/>
  <c r="AS142" i="4" s="1" a="1"/>
  <c r="AT141" i="4" a="1"/>
  <c r="AS143" i="1" s="1" a="1"/>
  <c r="AB145" i="1" l="1" a="1"/>
  <c r="X143" i="1" a="1"/>
  <c r="M146" i="1" a="1"/>
  <c r="W143" i="1" a="1"/>
  <c r="AL144" i="1" a="1"/>
  <c r="AH143" i="1" a="1"/>
  <c r="AM144" i="1" a="1"/>
  <c r="N146" i="1" a="1"/>
  <c r="AG143" i="1" a="1"/>
  <c r="C144" i="1" a="1"/>
  <c r="H140" i="1" a="1"/>
  <c r="AQ144" i="1" a="1"/>
  <c r="D144" i="1" a="1"/>
  <c r="AR144" i="1" a="1"/>
  <c r="AC145" i="1" a="1"/>
  <c r="AV144" i="4"/>
  <c r="AW144" i="4" s="1"/>
  <c r="AX144" i="4" s="1" a="1"/>
  <c r="AY143" i="4" a="1"/>
  <c r="AX145" i="1" s="1" a="1"/>
  <c r="C143" i="4"/>
  <c r="D143" i="4" s="1"/>
  <c r="E143" i="4" s="1" a="1"/>
  <c r="F142" i="4" a="1"/>
  <c r="E144" i="1" s="1" a="1"/>
  <c r="R138" i="1" a="1"/>
  <c r="AG142" i="4"/>
  <c r="AH142" i="4" s="1"/>
  <c r="AI142" i="4" s="1" a="1"/>
  <c r="AJ141" i="4" a="1"/>
  <c r="AI143" i="1" s="1" a="1"/>
  <c r="I140" i="1" a="1"/>
  <c r="AQ143" i="4"/>
  <c r="AT142" i="4" a="1"/>
  <c r="AS144" i="1" s="1" a="1"/>
  <c r="S138" i="1" a="1"/>
  <c r="M145" i="4"/>
  <c r="N145" i="4" s="1"/>
  <c r="O145" i="4" s="1" a="1"/>
  <c r="P144" i="4" a="1"/>
  <c r="O146" i="1" s="1" a="1"/>
  <c r="AY142" i="4" a="1"/>
  <c r="AX144" i="1" s="1" a="1"/>
  <c r="H139" i="4"/>
  <c r="I139" i="4" s="1"/>
  <c r="J139" i="4" s="1" a="1"/>
  <c r="K138" i="4" a="1"/>
  <c r="J140" i="1" s="1" a="1"/>
  <c r="R137" i="4"/>
  <c r="S137" i="4" s="1"/>
  <c r="T137" i="4" s="1" a="1"/>
  <c r="U136" i="4" a="1"/>
  <c r="T138" i="1" s="1" a="1"/>
  <c r="AB144" i="4"/>
  <c r="AC144" i="4" s="1"/>
  <c r="AD144" i="4" s="1" a="1"/>
  <c r="AE143" i="4" a="1"/>
  <c r="AD145" i="1" s="1" a="1"/>
  <c r="W142" i="4"/>
  <c r="X142" i="4" s="1"/>
  <c r="Y142" i="4" s="1" a="1"/>
  <c r="Z141" i="4" a="1"/>
  <c r="Y143" i="1" s="1" a="1"/>
  <c r="AL143" i="4"/>
  <c r="AM143" i="4" s="1"/>
  <c r="AN143" i="4" s="1" a="1"/>
  <c r="AO142" i="4" a="1"/>
  <c r="AN144" i="1" s="1" a="1"/>
  <c r="AG144" i="1" l="1" a="1"/>
  <c r="AB146" i="1" a="1"/>
  <c r="X144" i="1" a="1"/>
  <c r="AC146" i="1" a="1"/>
  <c r="S139" i="1" a="1"/>
  <c r="AV145" i="1" a="1"/>
  <c r="M147" i="1" a="1"/>
  <c r="AV146" i="1" a="1"/>
  <c r="W144" i="1" a="1"/>
  <c r="AQ145" i="1" a="1"/>
  <c r="AR145" i="1" a="1"/>
  <c r="AW145" i="1" a="1"/>
  <c r="AW146" i="1" a="1"/>
  <c r="C145" i="1" a="1"/>
  <c r="D145" i="1" a="1"/>
  <c r="N147" i="1" a="1"/>
  <c r="W143" i="4"/>
  <c r="X143" i="4" s="1"/>
  <c r="Y143" i="4" s="1" a="1"/>
  <c r="Z142" i="4" a="1"/>
  <c r="Y144" i="1" s="1" a="1"/>
  <c r="AL144" i="4"/>
  <c r="AM144" i="4" s="1"/>
  <c r="AN144" i="4" s="1" a="1"/>
  <c r="AO143" i="4" a="1"/>
  <c r="AN145" i="1" s="1" a="1"/>
  <c r="AG143" i="4"/>
  <c r="AH143" i="4" s="1"/>
  <c r="AI143" i="4" s="1" a="1"/>
  <c r="AJ142" i="4" a="1"/>
  <c r="AI144" i="1" s="1" a="1"/>
  <c r="C144" i="4"/>
  <c r="D144" i="4" s="1"/>
  <c r="E144" i="4" s="1" a="1"/>
  <c r="F143" i="4" a="1"/>
  <c r="E145" i="1" s="1" a="1"/>
  <c r="M146" i="4"/>
  <c r="N146" i="4" s="1"/>
  <c r="O146" i="4" s="1" a="1"/>
  <c r="P145" i="4" a="1"/>
  <c r="O147" i="1" s="1" a="1"/>
  <c r="AB145" i="4"/>
  <c r="AC145" i="4" s="1"/>
  <c r="AD145" i="4" s="1" a="1"/>
  <c r="AE144" i="4" a="1"/>
  <c r="AD146" i="1" s="1" a="1"/>
  <c r="R138" i="4"/>
  <c r="S138" i="4" s="1"/>
  <c r="T138" i="4" s="1" a="1"/>
  <c r="U137" i="4" a="1"/>
  <c r="T139" i="1" s="1" a="1"/>
  <c r="AR143" i="4"/>
  <c r="AS143" i="4" s="1" a="1"/>
  <c r="AQ144" i="4" s="1"/>
  <c r="AR144" i="4" s="1"/>
  <c r="AS144" i="4" s="1" a="1"/>
  <c r="AM145" i="1" a="1"/>
  <c r="H141" i="1" a="1"/>
  <c r="AL145" i="1" a="1"/>
  <c r="I141" i="1" a="1"/>
  <c r="AH144" i="1" a="1"/>
  <c r="H140" i="4"/>
  <c r="I140" i="4" s="1"/>
  <c r="J140" i="4" s="1" a="1"/>
  <c r="K139" i="4" a="1"/>
  <c r="J141" i="1" s="1" a="1"/>
  <c r="R139" i="1" a="1"/>
  <c r="AV145" i="4"/>
  <c r="AW145" i="4" s="1"/>
  <c r="AX145" i="4" s="1" a="1"/>
  <c r="AY144" i="4" a="1"/>
  <c r="AX146" i="1" s="1" a="1"/>
  <c r="AC147" i="1" l="1" a="1"/>
  <c r="AB147" i="1" a="1"/>
  <c r="S140" i="1" a="1"/>
  <c r="AW147" i="1" a="1"/>
  <c r="M148" i="1" a="1"/>
  <c r="D146" i="1" a="1"/>
  <c r="AM146" i="1" a="1"/>
  <c r="R140" i="1" a="1"/>
  <c r="H142" i="1" a="1"/>
  <c r="N148" i="1" a="1"/>
  <c r="I142" i="1" a="1"/>
  <c r="AL146" i="1" a="1"/>
  <c r="AH145" i="1" a="1"/>
  <c r="AV147" i="1" a="1"/>
  <c r="X145" i="1" a="1"/>
  <c r="AG145" i="1" a="1"/>
  <c r="W145" i="1" a="1"/>
  <c r="AQ145" i="4"/>
  <c r="AR145" i="4" s="1"/>
  <c r="AS145" i="4" s="1" a="1"/>
  <c r="AT144" i="4" a="1"/>
  <c r="AS146" i="1" s="1" a="1"/>
  <c r="AG144" i="4"/>
  <c r="AH144" i="4" s="1"/>
  <c r="AI144" i="4" s="1" a="1"/>
  <c r="AJ143" i="4" a="1"/>
  <c r="AI145" i="1" s="1" a="1"/>
  <c r="AL145" i="4"/>
  <c r="AM145" i="4" s="1"/>
  <c r="AN145" i="4" s="1" a="1"/>
  <c r="AO144" i="4" a="1"/>
  <c r="AN146" i="1" s="1" a="1"/>
  <c r="C146" i="1" a="1"/>
  <c r="H141" i="4"/>
  <c r="I141" i="4" s="1"/>
  <c r="J141" i="4" s="1" a="1"/>
  <c r="K140" i="4" a="1"/>
  <c r="J142" i="1" s="1" a="1"/>
  <c r="AV146" i="4"/>
  <c r="AW146" i="4" s="1"/>
  <c r="AX146" i="4" s="1" a="1"/>
  <c r="AY145" i="4" a="1"/>
  <c r="AX147" i="1" s="1" a="1"/>
  <c r="AB146" i="4"/>
  <c r="AC146" i="4" s="1"/>
  <c r="AD146" i="4" s="1" a="1"/>
  <c r="AE145" i="4" a="1"/>
  <c r="AD147" i="1" s="1" a="1"/>
  <c r="AT143" i="4" a="1"/>
  <c r="AS145" i="1" s="1" a="1"/>
  <c r="C145" i="4"/>
  <c r="D145" i="4" s="1"/>
  <c r="E145" i="4" s="1" a="1"/>
  <c r="F144" i="4" a="1"/>
  <c r="E146" i="1" s="1" a="1"/>
  <c r="R139" i="4"/>
  <c r="S139" i="4" s="1"/>
  <c r="T139" i="4" s="1" a="1"/>
  <c r="U138" i="4" a="1"/>
  <c r="T140" i="1" s="1" a="1"/>
  <c r="M147" i="4"/>
  <c r="N147" i="4" s="1"/>
  <c r="O147" i="4" s="1" a="1"/>
  <c r="P146" i="4" a="1"/>
  <c r="O148" i="1" s="1" a="1"/>
  <c r="W144" i="4"/>
  <c r="X144" i="4" s="1"/>
  <c r="Y144" i="4" s="1" a="1"/>
  <c r="Z143" i="4" a="1"/>
  <c r="Y145" i="1" s="1" a="1"/>
  <c r="R141" i="1" l="1" a="1"/>
  <c r="AC148" i="1" a="1"/>
  <c r="X146" i="1" a="1"/>
  <c r="AB148" i="1" a="1"/>
  <c r="AW148" i="1" a="1"/>
  <c r="W146" i="1" a="1"/>
  <c r="AV148" i="1" a="1"/>
  <c r="AQ147" i="1" a="1"/>
  <c r="AQ146" i="1" a="1"/>
  <c r="AH146" i="1" a="1"/>
  <c r="AR146" i="1" a="1"/>
  <c r="AG146" i="1" a="1"/>
  <c r="AL147" i="1" a="1"/>
  <c r="AM147" i="1" a="1"/>
  <c r="AR147" i="1" a="1"/>
  <c r="M149" i="1" a="1"/>
  <c r="N149" i="1" a="1"/>
  <c r="D147" i="1" a="1"/>
  <c r="R140" i="4"/>
  <c r="S140" i="4" s="1"/>
  <c r="T140" i="4" s="1" a="1"/>
  <c r="U139" i="4" a="1"/>
  <c r="T141" i="1" s="1" a="1"/>
  <c r="H143" i="1" a="1"/>
  <c r="C147" i="1" a="1"/>
  <c r="I143" i="1" a="1"/>
  <c r="H142" i="4"/>
  <c r="I142" i="4" s="1"/>
  <c r="J142" i="4" s="1" a="1"/>
  <c r="K141" i="4" a="1"/>
  <c r="J143" i="1" s="1" a="1"/>
  <c r="AL146" i="4"/>
  <c r="AM146" i="4" s="1"/>
  <c r="AN146" i="4" s="1" a="1"/>
  <c r="AO145" i="4" a="1"/>
  <c r="AN147" i="1" s="1" a="1"/>
  <c r="AG145" i="4"/>
  <c r="AH145" i="4" s="1"/>
  <c r="AI145" i="4" s="1" a="1"/>
  <c r="AJ144" i="4" a="1"/>
  <c r="AI146" i="1" s="1" a="1"/>
  <c r="C146" i="4"/>
  <c r="D146" i="4" s="1"/>
  <c r="E146" i="4" s="1" a="1"/>
  <c r="F145" i="4" a="1"/>
  <c r="E147" i="1" s="1" a="1"/>
  <c r="W145" i="4"/>
  <c r="X145" i="4" s="1"/>
  <c r="Y145" i="4" s="1" a="1"/>
  <c r="Z144" i="4" a="1"/>
  <c r="Y146" i="1" s="1" a="1"/>
  <c r="AB147" i="4"/>
  <c r="AC147" i="4" s="1"/>
  <c r="AD147" i="4" s="1" a="1"/>
  <c r="AE146" i="4" a="1"/>
  <c r="AD148" i="1" s="1" a="1"/>
  <c r="M148" i="4"/>
  <c r="P147" i="4" a="1"/>
  <c r="O149" i="1" s="1" a="1"/>
  <c r="S141" i="1" a="1"/>
  <c r="AV147" i="4"/>
  <c r="AW147" i="4" s="1"/>
  <c r="AX147" i="4" s="1" a="1"/>
  <c r="AY146" i="4" a="1"/>
  <c r="AX148" i="1" s="1" a="1"/>
  <c r="AQ146" i="4"/>
  <c r="AR146" i="4" s="1"/>
  <c r="AS146" i="4" s="1" a="1"/>
  <c r="AT145" i="4" a="1"/>
  <c r="AS147" i="1" s="1" a="1"/>
  <c r="AG147" i="1" l="1" a="1"/>
  <c r="N150" i="1" a="1"/>
  <c r="M150" i="1" a="1"/>
  <c r="AR148" i="1" a="1"/>
  <c r="H144" i="1" a="1"/>
  <c r="AV149" i="1" a="1"/>
  <c r="AW149" i="1" a="1"/>
  <c r="S142" i="1" a="1"/>
  <c r="R142" i="1" a="1"/>
  <c r="W147" i="1" a="1"/>
  <c r="D148" i="1" a="1"/>
  <c r="X147" i="1" a="1"/>
  <c r="AQ148" i="1" a="1"/>
  <c r="C148" i="1" a="1"/>
  <c r="AH147" i="1" a="1"/>
  <c r="I144" i="1" a="1"/>
  <c r="AB148" i="4"/>
  <c r="AC148" i="4" s="1"/>
  <c r="AD148" i="4" s="1" a="1"/>
  <c r="AE147" i="4" a="1"/>
  <c r="AD149" i="1" s="1" a="1"/>
  <c r="H143" i="4"/>
  <c r="I143" i="4" s="1"/>
  <c r="J143" i="4" s="1" a="1"/>
  <c r="K142" i="4" a="1"/>
  <c r="J144" i="1" s="1" a="1"/>
  <c r="N148" i="4"/>
  <c r="O148" i="4" s="1" a="1"/>
  <c r="M149" i="4" s="1"/>
  <c r="N149" i="4" s="1"/>
  <c r="O149" i="4" s="1" a="1"/>
  <c r="AG146" i="4"/>
  <c r="AH146" i="4" s="1"/>
  <c r="AI146" i="4" s="1" a="1"/>
  <c r="AJ145" i="4" a="1"/>
  <c r="AI147" i="1" s="1" a="1"/>
  <c r="AL147" i="4"/>
  <c r="AM147" i="4" s="1"/>
  <c r="AN147" i="4" s="1" a="1"/>
  <c r="AO146" i="4" a="1"/>
  <c r="AN148" i="1" s="1" a="1"/>
  <c r="AQ147" i="4"/>
  <c r="AR147" i="4" s="1"/>
  <c r="AS147" i="4" s="1" a="1"/>
  <c r="AT146" i="4" a="1"/>
  <c r="AS148" i="1" s="1" a="1"/>
  <c r="W146" i="4"/>
  <c r="X146" i="4" s="1"/>
  <c r="Y146" i="4" s="1" a="1"/>
  <c r="Z145" i="4" a="1"/>
  <c r="Y147" i="1" s="1" a="1"/>
  <c r="AV148" i="4"/>
  <c r="AW148" i="4" s="1"/>
  <c r="AX148" i="4" s="1" a="1"/>
  <c r="AY147" i="4" a="1"/>
  <c r="AX149" i="1" s="1" a="1"/>
  <c r="AB149" i="1" a="1"/>
  <c r="AL148" i="1" a="1"/>
  <c r="AC149" i="1" a="1"/>
  <c r="AM148" i="1" a="1"/>
  <c r="C147" i="4"/>
  <c r="F146" i="4" a="1"/>
  <c r="E148" i="1" s="1" a="1"/>
  <c r="R141" i="4"/>
  <c r="S141" i="4" s="1"/>
  <c r="T141" i="4" s="1" a="1"/>
  <c r="U140" i="4" a="1"/>
  <c r="T142" i="1" s="1" a="1"/>
  <c r="AQ149" i="1" l="1" a="1"/>
  <c r="C149" i="1" a="1"/>
  <c r="AW150" i="1" a="1"/>
  <c r="D149" i="1" a="1"/>
  <c r="M150" i="4"/>
  <c r="N150" i="4" s="1"/>
  <c r="O150" i="4" s="1" a="1"/>
  <c r="P149" i="4" a="1"/>
  <c r="O151" i="1" s="1" a="1"/>
  <c r="AL148" i="4"/>
  <c r="AO147" i="4" a="1"/>
  <c r="AN149" i="1" s="1" a="1"/>
  <c r="AV150" i="1" a="1"/>
  <c r="AH148" i="1" a="1"/>
  <c r="R142" i="4"/>
  <c r="S142" i="4" s="1"/>
  <c r="T142" i="4" s="1" a="1"/>
  <c r="U141" i="4" a="1"/>
  <c r="T143" i="1" s="1" a="1"/>
  <c r="AG148" i="1" a="1"/>
  <c r="AG147" i="4"/>
  <c r="AH147" i="4" s="1"/>
  <c r="AI147" i="4" s="1" a="1"/>
  <c r="AJ146" i="4" a="1"/>
  <c r="AI148" i="1" s="1" a="1"/>
  <c r="AV149" i="4"/>
  <c r="AW149" i="4" s="1"/>
  <c r="AX149" i="4" s="1" a="1"/>
  <c r="AY148" i="4" a="1"/>
  <c r="AX150" i="1" s="1" a="1"/>
  <c r="R143" i="1" a="1"/>
  <c r="W148" i="1" a="1"/>
  <c r="S143" i="1" a="1"/>
  <c r="X148" i="1" a="1"/>
  <c r="P148" i="4" a="1"/>
  <c r="O150" i="1" s="1" a="1"/>
  <c r="I145" i="1" a="1"/>
  <c r="W147" i="4"/>
  <c r="X147" i="4" s="1"/>
  <c r="Y147" i="4" s="1" a="1"/>
  <c r="Z146" i="4" a="1"/>
  <c r="Y148" i="1" s="1" a="1"/>
  <c r="H145" i="1" a="1"/>
  <c r="H144" i="4"/>
  <c r="I144" i="4" s="1"/>
  <c r="J144" i="4" s="1" a="1"/>
  <c r="K143" i="4" a="1"/>
  <c r="J145" i="1" s="1" a="1"/>
  <c r="AC150" i="1" a="1"/>
  <c r="AR149" i="1" a="1"/>
  <c r="D147" i="4"/>
  <c r="E147" i="4" s="1" a="1"/>
  <c r="C148" i="4" s="1"/>
  <c r="AQ148" i="4"/>
  <c r="AR148" i="4" s="1"/>
  <c r="AS148" i="4" s="1" a="1"/>
  <c r="AT147" i="4" a="1"/>
  <c r="AS149" i="1" s="1" a="1"/>
  <c r="AB150" i="1" a="1"/>
  <c r="AL149" i="1" a="1"/>
  <c r="AM149" i="1" a="1"/>
  <c r="AB149" i="4"/>
  <c r="AC149" i="4" s="1"/>
  <c r="AD149" i="4" s="1" a="1"/>
  <c r="AE148" i="4" a="1"/>
  <c r="AD150" i="1" s="1" a="1"/>
  <c r="W149" i="1" l="1" a="1"/>
  <c r="X149" i="1" a="1"/>
  <c r="AB151" i="1" a="1"/>
  <c r="AW151" i="1" a="1"/>
  <c r="AG149" i="1" a="1"/>
  <c r="AH149" i="1" a="1"/>
  <c r="AR150" i="1" a="1"/>
  <c r="D148" i="4"/>
  <c r="E148" i="4" s="1" a="1"/>
  <c r="C149" i="4" s="1"/>
  <c r="D149" i="4" s="1"/>
  <c r="E149" i="4" s="1" a="1"/>
  <c r="AG148" i="4"/>
  <c r="AH148" i="4" s="1"/>
  <c r="AI148" i="4" s="1" a="1"/>
  <c r="AJ147" i="4" a="1"/>
  <c r="AI149" i="1" s="1" a="1"/>
  <c r="AQ150" i="1" a="1"/>
  <c r="W148" i="4"/>
  <c r="X148" i="4" s="1"/>
  <c r="Y148" i="4" s="1" a="1"/>
  <c r="Z147" i="4" a="1"/>
  <c r="Y149" i="1" s="1" a="1"/>
  <c r="N151" i="1" a="1"/>
  <c r="S144" i="1" a="1"/>
  <c r="AQ149" i="4"/>
  <c r="AR149" i="4" s="1"/>
  <c r="AS149" i="4" s="1" a="1"/>
  <c r="AT148" i="4" a="1"/>
  <c r="AS150" i="1" s="1" a="1"/>
  <c r="M151" i="1" a="1"/>
  <c r="R144" i="1" a="1"/>
  <c r="R143" i="4"/>
  <c r="S143" i="4" s="1"/>
  <c r="T143" i="4" s="1" a="1"/>
  <c r="U142" i="4" a="1"/>
  <c r="T144" i="1" s="1" a="1"/>
  <c r="AL150" i="1" a="1"/>
  <c r="I146" i="1" a="1"/>
  <c r="AC151" i="1" a="1"/>
  <c r="H146" i="1" a="1"/>
  <c r="AV151" i="1" a="1"/>
  <c r="AM150" i="1" a="1"/>
  <c r="H145" i="4"/>
  <c r="I145" i="4" s="1"/>
  <c r="J145" i="4" s="1" a="1"/>
  <c r="K144" i="4" a="1"/>
  <c r="J146" i="1" s="1" a="1"/>
  <c r="AM148" i="4"/>
  <c r="AN148" i="4" s="1" a="1"/>
  <c r="AL149" i="4" s="1"/>
  <c r="AM149" i="4" s="1"/>
  <c r="AN149" i="4" s="1" a="1"/>
  <c r="AV150" i="4"/>
  <c r="AW150" i="4" s="1"/>
  <c r="AX150" i="4" s="1" a="1"/>
  <c r="AY149" i="4" a="1"/>
  <c r="AX151" i="1" s="1" a="1"/>
  <c r="N152" i="1" a="1"/>
  <c r="F147" i="4" a="1"/>
  <c r="E149" i="1" s="1" a="1"/>
  <c r="M152" i="1" a="1"/>
  <c r="AB150" i="4"/>
  <c r="AC150" i="4" s="1"/>
  <c r="AD150" i="4" s="1" a="1"/>
  <c r="AE149" i="4" a="1"/>
  <c r="AD151" i="1" s="1" a="1"/>
  <c r="M151" i="4"/>
  <c r="N151" i="4" s="1"/>
  <c r="O151" i="4" s="1" a="1"/>
  <c r="P150" i="4" a="1"/>
  <c r="O152" i="1" s="1" a="1"/>
  <c r="AC152" i="1" l="1" a="1"/>
  <c r="M153" i="1" a="1"/>
  <c r="N153" i="1" a="1"/>
  <c r="X150" i="1" a="1"/>
  <c r="D150" i="1" a="1"/>
  <c r="C150" i="4"/>
  <c r="D150" i="4" s="1"/>
  <c r="E150" i="4" s="1" a="1"/>
  <c r="F149" i="4" a="1"/>
  <c r="E151" i="1" s="1" a="1"/>
  <c r="AB151" i="4"/>
  <c r="AC151" i="4" s="1"/>
  <c r="AD151" i="4" s="1" a="1"/>
  <c r="AE150" i="4" a="1"/>
  <c r="AD152" i="1" s="1" a="1"/>
  <c r="AR151" i="1" a="1"/>
  <c r="AB152" i="1" a="1"/>
  <c r="W150" i="1" a="1"/>
  <c r="H146" i="4"/>
  <c r="I146" i="4" s="1"/>
  <c r="J146" i="4" s="1" a="1"/>
  <c r="K145" i="4" a="1"/>
  <c r="J147" i="1" s="1" a="1"/>
  <c r="AV151" i="4"/>
  <c r="AY150" i="4" a="1"/>
  <c r="AX152" i="1" s="1" a="1"/>
  <c r="H147" i="1" a="1"/>
  <c r="AQ150" i="4"/>
  <c r="AR150" i="4" s="1"/>
  <c r="AS150" i="4" s="1" a="1"/>
  <c r="AT149" i="4" a="1"/>
  <c r="AS151" i="1" s="1" a="1"/>
  <c r="C150" i="1" a="1"/>
  <c r="W149" i="4"/>
  <c r="X149" i="4" s="1"/>
  <c r="Y149" i="4" s="1" a="1"/>
  <c r="Z148" i="4" a="1"/>
  <c r="Y150" i="1" s="1" a="1"/>
  <c r="AW152" i="1" a="1"/>
  <c r="S145" i="1" a="1"/>
  <c r="AV152" i="1" a="1"/>
  <c r="R145" i="1" a="1"/>
  <c r="AH150" i="1" a="1"/>
  <c r="AG150" i="1" a="1"/>
  <c r="R144" i="4"/>
  <c r="S144" i="4" s="1"/>
  <c r="T144" i="4" s="1" a="1"/>
  <c r="U143" i="4" a="1"/>
  <c r="T145" i="1" s="1" a="1"/>
  <c r="AG149" i="4"/>
  <c r="AH149" i="4" s="1"/>
  <c r="AI149" i="4" s="1" a="1"/>
  <c r="AJ148" i="4" a="1"/>
  <c r="AI150" i="1" s="1" a="1"/>
  <c r="AL150" i="4"/>
  <c r="AM150" i="4" s="1"/>
  <c r="AN150" i="4" s="1" a="1"/>
  <c r="AO149" i="4" a="1"/>
  <c r="AN151" i="1" s="1" a="1"/>
  <c r="AO148" i="4" a="1"/>
  <c r="AN150" i="1" s="1" a="1"/>
  <c r="M152" i="4"/>
  <c r="N152" i="4" s="1"/>
  <c r="O152" i="4" s="1" a="1"/>
  <c r="P151" i="4" a="1"/>
  <c r="O153" i="1" s="1" a="1"/>
  <c r="I147" i="1" a="1"/>
  <c r="AQ151" i="1" a="1"/>
  <c r="F148" i="4" a="1"/>
  <c r="E150" i="1" s="1" a="1"/>
  <c r="AM151" i="1" l="1" a="1"/>
  <c r="AH151" i="1" a="1"/>
  <c r="X151" i="1" a="1"/>
  <c r="R146" i="1" a="1"/>
  <c r="AG151" i="1" a="1"/>
  <c r="D152" i="1" a="1"/>
  <c r="N154" i="1" a="1"/>
  <c r="M154" i="1" a="1"/>
  <c r="D151" i="1" a="1"/>
  <c r="AR152" i="1" a="1"/>
  <c r="AV153" i="1" a="1"/>
  <c r="AW153" i="1" a="1"/>
  <c r="C151" i="1" a="1"/>
  <c r="AB153" i="1" a="1"/>
  <c r="C152" i="1" a="1"/>
  <c r="AQ152" i="1" a="1"/>
  <c r="S146" i="1" a="1"/>
  <c r="W151" i="1" a="1"/>
  <c r="AL151" i="1" a="1"/>
  <c r="AC153" i="1" a="1"/>
  <c r="AL151" i="4"/>
  <c r="AM151" i="4" s="1"/>
  <c r="AN151" i="4" s="1" a="1"/>
  <c r="AO150" i="4" a="1"/>
  <c r="AN152" i="1" s="1" a="1"/>
  <c r="H147" i="4"/>
  <c r="I147" i="4" s="1"/>
  <c r="J147" i="4" s="1" a="1"/>
  <c r="K146" i="4" a="1"/>
  <c r="J148" i="1" s="1" a="1"/>
  <c r="W150" i="4"/>
  <c r="X150" i="4" s="1"/>
  <c r="Y150" i="4" s="1" a="1"/>
  <c r="Z149" i="4" a="1"/>
  <c r="Y151" i="1" s="1" a="1"/>
  <c r="AG150" i="4"/>
  <c r="AH150" i="4" s="1"/>
  <c r="AI150" i="4" s="1" a="1"/>
  <c r="AJ149" i="4" a="1"/>
  <c r="AI151" i="1" s="1" a="1"/>
  <c r="AQ151" i="4"/>
  <c r="AR151" i="4" s="1"/>
  <c r="AS151" i="4" s="1" a="1"/>
  <c r="AT150" i="4" a="1"/>
  <c r="AS152" i="1" s="1" a="1"/>
  <c r="AB152" i="4"/>
  <c r="AC152" i="4" s="1"/>
  <c r="AD152" i="4" s="1" a="1"/>
  <c r="AE151" i="4" a="1"/>
  <c r="AD153" i="1" s="1" a="1"/>
  <c r="C151" i="4"/>
  <c r="D151" i="4" s="1"/>
  <c r="E151" i="4" s="1" a="1"/>
  <c r="F150" i="4" a="1"/>
  <c r="E152" i="1" s="1" a="1"/>
  <c r="AW151" i="4"/>
  <c r="AX151" i="4" s="1" a="1"/>
  <c r="AV152" i="4" s="1"/>
  <c r="AW152" i="4" s="1"/>
  <c r="AX152" i="4" s="1" a="1"/>
  <c r="R145" i="4"/>
  <c r="S145" i="4" s="1"/>
  <c r="T145" i="4" s="1" a="1"/>
  <c r="U144" i="4" a="1"/>
  <c r="T146" i="1" s="1" a="1"/>
  <c r="M153" i="4"/>
  <c r="N153" i="4" s="1"/>
  <c r="O153" i="4" s="1" a="1"/>
  <c r="P152" i="4" a="1"/>
  <c r="O154" i="1" s="1" a="1"/>
  <c r="AM152" i="1" a="1"/>
  <c r="I148" i="1" a="1"/>
  <c r="AL152" i="1" a="1"/>
  <c r="H148" i="1" a="1"/>
  <c r="AG152" i="1" l="1" a="1"/>
  <c r="I149" i="1" a="1"/>
  <c r="X152" i="1" a="1"/>
  <c r="AV153" i="4"/>
  <c r="AW153" i="4" s="1"/>
  <c r="AX153" i="4" s="1" a="1"/>
  <c r="AY152" i="4" a="1"/>
  <c r="AX154" i="1" s="1" a="1"/>
  <c r="AH152" i="1" a="1"/>
  <c r="AY151" i="4" a="1"/>
  <c r="AX153" i="1" s="1" a="1"/>
  <c r="AG151" i="4"/>
  <c r="AH151" i="4" s="1"/>
  <c r="AI151" i="4" s="1" a="1"/>
  <c r="AJ150" i="4" a="1"/>
  <c r="AI152" i="1" s="1" a="1"/>
  <c r="C153" i="1" a="1"/>
  <c r="D153" i="1" a="1"/>
  <c r="W152" i="1" a="1"/>
  <c r="W151" i="4"/>
  <c r="X151" i="4" s="1"/>
  <c r="Y151" i="4" s="1" a="1"/>
  <c r="Z150" i="4" a="1"/>
  <c r="Y152" i="1" s="1" a="1"/>
  <c r="C152" i="4"/>
  <c r="D152" i="4" s="1"/>
  <c r="E152" i="4" s="1" a="1"/>
  <c r="F151" i="4" a="1"/>
  <c r="E153" i="1" s="1" a="1"/>
  <c r="AC154" i="1" a="1"/>
  <c r="H149" i="1" a="1"/>
  <c r="R146" i="4"/>
  <c r="U145" i="4" a="1"/>
  <c r="T147" i="1" s="1" a="1"/>
  <c r="AB154" i="1" a="1"/>
  <c r="N155" i="1" a="1"/>
  <c r="M155" i="1" a="1"/>
  <c r="AB153" i="4"/>
  <c r="AC153" i="4" s="1"/>
  <c r="AD153" i="4" s="1" a="1"/>
  <c r="AE152" i="4" a="1"/>
  <c r="AD154" i="1" s="1" a="1"/>
  <c r="H148" i="4"/>
  <c r="I148" i="4" s="1"/>
  <c r="J148" i="4" s="1" a="1"/>
  <c r="K147" i="4" a="1"/>
  <c r="J149" i="1" s="1" a="1"/>
  <c r="AQ153" i="1" a="1"/>
  <c r="AL153" i="1" a="1"/>
  <c r="M154" i="4"/>
  <c r="N154" i="4" s="1"/>
  <c r="O154" i="4" s="1" a="1"/>
  <c r="P153" i="4" a="1"/>
  <c r="O155" i="1" s="1" a="1"/>
  <c r="AR153" i="1" a="1"/>
  <c r="AM153" i="1" a="1"/>
  <c r="S147" i="1" a="1"/>
  <c r="R147" i="1" a="1"/>
  <c r="AQ152" i="4"/>
  <c r="AR152" i="4" s="1"/>
  <c r="AS152" i="4" s="1" a="1"/>
  <c r="AT151" i="4" a="1"/>
  <c r="AS153" i="1" s="1" a="1"/>
  <c r="AL152" i="4"/>
  <c r="AM152" i="4" s="1"/>
  <c r="AN152" i="4" s="1" a="1"/>
  <c r="AO151" i="4" a="1"/>
  <c r="AN153" i="1" s="1" a="1"/>
  <c r="AR154" i="1" l="1" a="1"/>
  <c r="AQ154" i="1" a="1"/>
  <c r="X153" i="1" a="1"/>
  <c r="AM154" i="1" a="1"/>
  <c r="AL154" i="1" a="1"/>
  <c r="C154" i="1" a="1"/>
  <c r="I150" i="1" a="1"/>
  <c r="M155" i="4"/>
  <c r="N155" i="4" s="1"/>
  <c r="O155" i="4" s="1" a="1"/>
  <c r="P154" i="4" a="1"/>
  <c r="O156" i="1" s="1" a="1"/>
  <c r="W152" i="4"/>
  <c r="X152" i="4" s="1"/>
  <c r="Y152" i="4" s="1" a="1"/>
  <c r="Z151" i="4" a="1"/>
  <c r="Y153" i="1" s="1" a="1"/>
  <c r="N156" i="1" a="1"/>
  <c r="M156" i="1" a="1"/>
  <c r="R148" i="1" a="1"/>
  <c r="S148" i="1" a="1"/>
  <c r="AH153" i="1" a="1"/>
  <c r="AG153" i="1" a="1"/>
  <c r="S146" i="4"/>
  <c r="T146" i="4" s="1" a="1"/>
  <c r="AG152" i="4"/>
  <c r="AH152" i="4" s="1"/>
  <c r="AI152" i="4" s="1" a="1"/>
  <c r="AJ151" i="4" a="1"/>
  <c r="AI153" i="1" s="1" a="1"/>
  <c r="AV154" i="1" a="1"/>
  <c r="AL153" i="4"/>
  <c r="AM153" i="4" s="1"/>
  <c r="AN153" i="4" s="1" a="1"/>
  <c r="AO152" i="4" a="1"/>
  <c r="AN154" i="1" s="1" a="1"/>
  <c r="H150" i="1" a="1"/>
  <c r="D154" i="1" a="1"/>
  <c r="AW154" i="1" a="1"/>
  <c r="H149" i="4"/>
  <c r="K148" i="4" a="1"/>
  <c r="J150" i="1" s="1" a="1"/>
  <c r="C153" i="4"/>
  <c r="D153" i="4" s="1"/>
  <c r="E153" i="4" s="1" a="1"/>
  <c r="F152" i="4" a="1"/>
  <c r="E154" i="1" s="1" a="1"/>
  <c r="AW155" i="1" a="1"/>
  <c r="AB155" i="1" a="1"/>
  <c r="AQ153" i="4"/>
  <c r="AR153" i="4" s="1"/>
  <c r="AS153" i="4" s="1" a="1"/>
  <c r="AT152" i="4" a="1"/>
  <c r="AS154" i="1" s="1" a="1"/>
  <c r="AC155" i="1" a="1"/>
  <c r="W153" i="1" a="1"/>
  <c r="AV155" i="1" a="1"/>
  <c r="AB154" i="4"/>
  <c r="AC154" i="4" s="1"/>
  <c r="AD154" i="4" s="1" a="1"/>
  <c r="AE153" i="4" a="1"/>
  <c r="AD155" i="1" s="1" a="1"/>
  <c r="AV154" i="4"/>
  <c r="AW154" i="4" s="1"/>
  <c r="AX154" i="4" s="1" a="1"/>
  <c r="AY153" i="4" a="1"/>
  <c r="AX155" i="1" s="1" a="1"/>
  <c r="AG154" i="1" l="1" a="1"/>
  <c r="AV156" i="1" a="1"/>
  <c r="AM155" i="1" a="1"/>
  <c r="D155" i="1" a="1"/>
  <c r="N157" i="1" a="1"/>
  <c r="AW156" i="1" a="1"/>
  <c r="C155" i="1" a="1"/>
  <c r="AQ155" i="1" a="1"/>
  <c r="AH154" i="1" a="1"/>
  <c r="H151" i="1" a="1"/>
  <c r="M157" i="1" a="1"/>
  <c r="I151" i="1" a="1"/>
  <c r="X154" i="1" a="1"/>
  <c r="AC156" i="1" a="1"/>
  <c r="AR155" i="1" a="1"/>
  <c r="AL155" i="1" a="1"/>
  <c r="W154" i="1" a="1"/>
  <c r="AB156" i="1" a="1"/>
  <c r="U146" i="4" a="1"/>
  <c r="T148" i="1" s="1" a="1"/>
  <c r="I149" i="4"/>
  <c r="J149" i="4" s="1" a="1"/>
  <c r="H150" i="4" s="1"/>
  <c r="R147" i="4"/>
  <c r="S147" i="4" s="1"/>
  <c r="T147" i="4" s="1" a="1"/>
  <c r="C154" i="4"/>
  <c r="D154" i="4" s="1"/>
  <c r="E154" i="4" s="1" a="1"/>
  <c r="F153" i="4" a="1"/>
  <c r="E155" i="1" s="1" a="1"/>
  <c r="AL154" i="4"/>
  <c r="AM154" i="4" s="1"/>
  <c r="AN154" i="4" s="1" a="1"/>
  <c r="AO153" i="4" a="1"/>
  <c r="AN155" i="1" s="1" a="1"/>
  <c r="W153" i="4"/>
  <c r="X153" i="4" s="1"/>
  <c r="Y153" i="4" s="1" a="1"/>
  <c r="Z152" i="4" a="1"/>
  <c r="Y154" i="1" s="1" a="1"/>
  <c r="AB155" i="4"/>
  <c r="AC155" i="4" s="1"/>
  <c r="AD155" i="4" s="1" a="1"/>
  <c r="AE154" i="4" a="1"/>
  <c r="AD156" i="1" s="1" a="1"/>
  <c r="AQ154" i="4"/>
  <c r="AR154" i="4" s="1"/>
  <c r="AS154" i="4" s="1" a="1"/>
  <c r="AT153" i="4" a="1"/>
  <c r="AS155" i="1" s="1" a="1"/>
  <c r="AV155" i="4"/>
  <c r="AW155" i="4" s="1"/>
  <c r="AX155" i="4" s="1" a="1"/>
  <c r="AY154" i="4" a="1"/>
  <c r="AX156" i="1" s="1" a="1"/>
  <c r="AG153" i="4"/>
  <c r="AH153" i="4" s="1"/>
  <c r="AI153" i="4" s="1" a="1"/>
  <c r="AJ152" i="4" a="1"/>
  <c r="AI154" i="1" s="1" a="1"/>
  <c r="M156" i="4"/>
  <c r="N156" i="4" s="1"/>
  <c r="O156" i="4" s="1" a="1"/>
  <c r="P155" i="4" a="1"/>
  <c r="O157" i="1" s="1" a="1"/>
  <c r="AQ156" i="1" l="1" a="1"/>
  <c r="AR156" i="1" a="1"/>
  <c r="AL156" i="1" a="1"/>
  <c r="AW157" i="1" a="1"/>
  <c r="C156" i="1" a="1"/>
  <c r="AV157" i="1" a="1"/>
  <c r="D156" i="1" a="1"/>
  <c r="I150" i="4"/>
  <c r="J150" i="4" s="1" a="1"/>
  <c r="H151" i="4" s="1"/>
  <c r="I151" i="4" s="1"/>
  <c r="J151" i="4" s="1" a="1"/>
  <c r="AG154" i="4"/>
  <c r="AH154" i="4" s="1"/>
  <c r="AI154" i="4" s="1" a="1"/>
  <c r="AJ153" i="4" a="1"/>
  <c r="AI155" i="1" s="1" a="1"/>
  <c r="W154" i="4"/>
  <c r="X154" i="4" s="1"/>
  <c r="Y154" i="4" s="1" a="1"/>
  <c r="Z153" i="4" a="1"/>
  <c r="Y155" i="1" s="1" a="1"/>
  <c r="AL155" i="4"/>
  <c r="AM155" i="4" s="1"/>
  <c r="AN155" i="4" s="1" a="1"/>
  <c r="AO154" i="4" a="1"/>
  <c r="AN156" i="1" s="1" a="1"/>
  <c r="AM156" i="1" a="1"/>
  <c r="AV156" i="4"/>
  <c r="AW156" i="4" s="1"/>
  <c r="AX156" i="4" s="1" a="1"/>
  <c r="AY155" i="4" a="1"/>
  <c r="AX157" i="1" s="1" a="1"/>
  <c r="C155" i="4"/>
  <c r="D155" i="4" s="1"/>
  <c r="E155" i="4" s="1" a="1"/>
  <c r="F154" i="4" a="1"/>
  <c r="E156" i="1" s="1" a="1"/>
  <c r="AQ155" i="4"/>
  <c r="AR155" i="4" s="1"/>
  <c r="AS155" i="4" s="1" a="1"/>
  <c r="AT154" i="4" a="1"/>
  <c r="AS156" i="1" s="1" a="1"/>
  <c r="N158" i="1" a="1"/>
  <c r="AB157" i="1" a="1"/>
  <c r="R148" i="4"/>
  <c r="U147" i="4" a="1"/>
  <c r="T149" i="1" s="1" a="1"/>
  <c r="M158" i="1" a="1"/>
  <c r="AC157" i="1" a="1"/>
  <c r="K149" i="4" a="1"/>
  <c r="J151" i="1" s="1" a="1"/>
  <c r="AB156" i="4"/>
  <c r="AC156" i="4" s="1"/>
  <c r="AD156" i="4" s="1" a="1"/>
  <c r="AE155" i="4" a="1"/>
  <c r="AD157" i="1" s="1" a="1"/>
  <c r="R149" i="1" a="1"/>
  <c r="M157" i="4"/>
  <c r="N157" i="4" s="1"/>
  <c r="O157" i="4" s="1" a="1"/>
  <c r="P156" i="4" a="1"/>
  <c r="O158" i="1" s="1" a="1"/>
  <c r="AG155" i="1" a="1"/>
  <c r="X155" i="1" a="1"/>
  <c r="S149" i="1" a="1"/>
  <c r="AH155" i="1" a="1"/>
  <c r="W155" i="1" a="1"/>
  <c r="AQ157" i="1" l="1" a="1"/>
  <c r="AR157" i="1" a="1"/>
  <c r="AG156" i="1" a="1"/>
  <c r="W156" i="1" a="1"/>
  <c r="X156" i="1" a="1"/>
  <c r="AW158" i="1" a="1"/>
  <c r="D157" i="1" a="1"/>
  <c r="AB158" i="1" a="1"/>
  <c r="AC158" i="1" a="1"/>
  <c r="N159" i="1" a="1"/>
  <c r="AH156" i="1" a="1"/>
  <c r="H152" i="1" a="1"/>
  <c r="C157" i="1" a="1"/>
  <c r="I152" i="1" a="1"/>
  <c r="AV158" i="1" a="1"/>
  <c r="W155" i="4"/>
  <c r="X155" i="4" s="1"/>
  <c r="Y155" i="4" s="1" a="1"/>
  <c r="Z154" i="4" a="1"/>
  <c r="Y156" i="1" s="1" a="1"/>
  <c r="H152" i="4"/>
  <c r="I152" i="4" s="1"/>
  <c r="J152" i="4" s="1" a="1"/>
  <c r="K151" i="4" a="1"/>
  <c r="J153" i="1" s="1" a="1"/>
  <c r="R150" i="1" a="1"/>
  <c r="S150" i="1" a="1"/>
  <c r="AV157" i="4"/>
  <c r="AW157" i="4" s="1"/>
  <c r="AX157" i="4" s="1" a="1"/>
  <c r="AY156" i="4" a="1"/>
  <c r="AX158" i="1" s="1" a="1"/>
  <c r="M159" i="1" a="1"/>
  <c r="S148" i="4"/>
  <c r="T148" i="4" s="1" a="1"/>
  <c r="AM157" i="1" a="1"/>
  <c r="M158" i="4"/>
  <c r="N158" i="4" s="1"/>
  <c r="O158" i="4" s="1" a="1"/>
  <c r="P157" i="4" a="1"/>
  <c r="O159" i="1" s="1" a="1"/>
  <c r="AB157" i="4"/>
  <c r="AC157" i="4" s="1"/>
  <c r="AD157" i="4" s="1" a="1"/>
  <c r="AE156" i="4" a="1"/>
  <c r="AD158" i="1" s="1" a="1"/>
  <c r="AL157" i="1" a="1"/>
  <c r="AL156" i="4"/>
  <c r="AM156" i="4" s="1"/>
  <c r="AN156" i="4" s="1" a="1"/>
  <c r="AO155" i="4" a="1"/>
  <c r="AN157" i="1" s="1" a="1"/>
  <c r="AQ156" i="4"/>
  <c r="AR156" i="4" s="1"/>
  <c r="AS156" i="4" s="1" a="1"/>
  <c r="AT155" i="4" a="1"/>
  <c r="AS157" i="1" s="1" a="1"/>
  <c r="C156" i="4"/>
  <c r="D156" i="4" s="1"/>
  <c r="E156" i="4" s="1" a="1"/>
  <c r="F155" i="4" a="1"/>
  <c r="E157" i="1" s="1" a="1"/>
  <c r="AG155" i="4"/>
  <c r="AJ154" i="4" a="1"/>
  <c r="AI156" i="1" s="1" a="1"/>
  <c r="K150" i="4" a="1"/>
  <c r="J152" i="1" s="1" a="1"/>
  <c r="AH157" i="1" l="1" a="1"/>
  <c r="AG157" i="1" a="1"/>
  <c r="AB159" i="1" a="1"/>
  <c r="AC159" i="1" a="1"/>
  <c r="X157" i="1" a="1"/>
  <c r="W157" i="1" a="1"/>
  <c r="D158" i="1" a="1"/>
  <c r="AQ158" i="1" a="1"/>
  <c r="AR158" i="1" a="1"/>
  <c r="M160" i="1" a="1"/>
  <c r="H154" i="1" a="1"/>
  <c r="N160" i="1" a="1"/>
  <c r="I154" i="1" a="1"/>
  <c r="C158" i="1" a="1"/>
  <c r="AB158" i="4"/>
  <c r="AE157" i="4" a="1"/>
  <c r="AD159" i="1" s="1" a="1"/>
  <c r="C157" i="4"/>
  <c r="F156" i="4" a="1"/>
  <c r="E158" i="1" s="1" a="1"/>
  <c r="U148" i="4" a="1"/>
  <c r="T150" i="1" s="1" a="1"/>
  <c r="M159" i="4"/>
  <c r="N159" i="4" s="1"/>
  <c r="O159" i="4" s="1" a="1"/>
  <c r="P158" i="4" a="1"/>
  <c r="O160" i="1" s="1" a="1"/>
  <c r="AQ157" i="4"/>
  <c r="AR157" i="4" s="1"/>
  <c r="AS157" i="4" s="1" a="1"/>
  <c r="AT156" i="4" a="1"/>
  <c r="AS158" i="1" s="1" a="1"/>
  <c r="AM158" i="1" a="1"/>
  <c r="I153" i="1" a="1"/>
  <c r="AL158" i="1" a="1"/>
  <c r="AV159" i="1" a="1"/>
  <c r="AH155" i="4"/>
  <c r="AI155" i="4" s="1" a="1"/>
  <c r="AG156" i="4" s="1"/>
  <c r="AH156" i="4" s="1"/>
  <c r="AI156" i="4" s="1" a="1"/>
  <c r="H153" i="4"/>
  <c r="K152" i="4" a="1"/>
  <c r="J154" i="1" s="1" a="1"/>
  <c r="H153" i="1" a="1"/>
  <c r="AW159" i="1" a="1"/>
  <c r="AL157" i="4"/>
  <c r="AM157" i="4" s="1"/>
  <c r="AN157" i="4" s="1" a="1"/>
  <c r="AO156" i="4" a="1"/>
  <c r="AN158" i="1" s="1" a="1"/>
  <c r="AV158" i="4"/>
  <c r="AW158" i="4" s="1"/>
  <c r="AX158" i="4" s="1" a="1"/>
  <c r="AY157" i="4" a="1"/>
  <c r="AX159" i="1" s="1" a="1"/>
  <c r="R149" i="4"/>
  <c r="S149" i="4" s="1"/>
  <c r="T149" i="4" s="1" a="1"/>
  <c r="W156" i="4"/>
  <c r="X156" i="4" s="1"/>
  <c r="Y156" i="4" s="1" a="1"/>
  <c r="Z155" i="4" a="1"/>
  <c r="Y157" i="1" s="1" a="1"/>
  <c r="AR159" i="1" l="1" a="1"/>
  <c r="AV160" i="1" a="1"/>
  <c r="AQ159" i="1" a="1"/>
  <c r="AW160" i="1" a="1"/>
  <c r="AB160" i="1" a="1"/>
  <c r="D159" i="1" a="1"/>
  <c r="H155" i="1" a="1"/>
  <c r="AL159" i="1" a="1"/>
  <c r="AC160" i="1" a="1"/>
  <c r="AM159" i="1" a="1"/>
  <c r="W158" i="1" a="1"/>
  <c r="X158" i="1" a="1"/>
  <c r="C159" i="1" a="1"/>
  <c r="N161" i="1" a="1"/>
  <c r="M160" i="4"/>
  <c r="P159" i="4" a="1"/>
  <c r="O161" i="1" s="1" a="1"/>
  <c r="I153" i="4"/>
  <c r="J153" i="4" s="1" a="1"/>
  <c r="H154" i="4" s="1"/>
  <c r="I154" i="4" s="1"/>
  <c r="J154" i="4" s="1" a="1"/>
  <c r="S151" i="1" a="1"/>
  <c r="AG157" i="4"/>
  <c r="AH157" i="4" s="1"/>
  <c r="AI157" i="4" s="1" a="1"/>
  <c r="AJ156" i="4" a="1"/>
  <c r="AI158" i="1" s="1" a="1"/>
  <c r="AJ155" i="4" a="1"/>
  <c r="AI157" i="1" s="1" a="1"/>
  <c r="AV159" i="4"/>
  <c r="AY158" i="4" a="1"/>
  <c r="AX160" i="1" s="1" a="1"/>
  <c r="AL158" i="4"/>
  <c r="AM158" i="4" s="1"/>
  <c r="AN158" i="4" s="1" a="1"/>
  <c r="AO157" i="4" a="1"/>
  <c r="AN159" i="1" s="1" a="1"/>
  <c r="AQ158" i="4"/>
  <c r="AR158" i="4" s="1"/>
  <c r="AS158" i="4" s="1" a="1"/>
  <c r="AT157" i="4" a="1"/>
  <c r="AS159" i="1" s="1" a="1"/>
  <c r="R150" i="4"/>
  <c r="S150" i="4" s="1"/>
  <c r="T150" i="4" s="1" a="1"/>
  <c r="U149" i="4" a="1"/>
  <c r="T151" i="1" s="1" a="1"/>
  <c r="M161" i="1" a="1"/>
  <c r="I155" i="1" a="1"/>
  <c r="R151" i="1" a="1"/>
  <c r="W157" i="4"/>
  <c r="X157" i="4" s="1"/>
  <c r="Y157" i="4" s="1" a="1"/>
  <c r="Z156" i="4" a="1"/>
  <c r="Y158" i="1" s="1" a="1"/>
  <c r="D157" i="4"/>
  <c r="E157" i="4" s="1" a="1"/>
  <c r="C158" i="4" s="1"/>
  <c r="D158" i="4" s="1"/>
  <c r="E158" i="4" s="1" a="1"/>
  <c r="AC158" i="4"/>
  <c r="AD158" i="4" s="1" a="1"/>
  <c r="AB159" i="4" s="1"/>
  <c r="AC159" i="4" s="1"/>
  <c r="AD159" i="4" s="1" a="1"/>
  <c r="X159" i="1" l="1" a="1"/>
  <c r="AW161" i="1" a="1"/>
  <c r="AQ160" i="1" a="1"/>
  <c r="AE158" i="4" a="1"/>
  <c r="AD160" i="1" s="1" a="1"/>
  <c r="AW159" i="4"/>
  <c r="AX159" i="4" s="1" a="1"/>
  <c r="W158" i="4"/>
  <c r="X158" i="4" s="1"/>
  <c r="Y158" i="4" s="1" a="1"/>
  <c r="Z157" i="4" a="1"/>
  <c r="Y159" i="1" s="1" a="1"/>
  <c r="R152" i="1" a="1"/>
  <c r="AH158" i="1" a="1"/>
  <c r="S152" i="1" a="1"/>
  <c r="AG158" i="1" a="1"/>
  <c r="R151" i="4"/>
  <c r="S151" i="4" s="1"/>
  <c r="T151" i="4" s="1" a="1"/>
  <c r="U150" i="4" a="1"/>
  <c r="T152" i="1" s="1" a="1"/>
  <c r="AH159" i="1" a="1"/>
  <c r="AR160" i="1" a="1"/>
  <c r="AG159" i="1" a="1"/>
  <c r="AG158" i="4"/>
  <c r="AH158" i="4" s="1"/>
  <c r="AI158" i="4" s="1" a="1"/>
  <c r="AJ157" i="4" a="1"/>
  <c r="AI159" i="1" s="1" a="1"/>
  <c r="C159" i="4"/>
  <c r="D159" i="4" s="1"/>
  <c r="E159" i="4" s="1" a="1"/>
  <c r="F158" i="4" a="1"/>
  <c r="E160" i="1" s="1" a="1"/>
  <c r="AM160" i="1" a="1"/>
  <c r="AB160" i="4"/>
  <c r="AC160" i="4" s="1"/>
  <c r="AD160" i="4" s="1" a="1"/>
  <c r="AE159" i="4" a="1"/>
  <c r="AD161" i="1" s="1" a="1"/>
  <c r="AQ159" i="4"/>
  <c r="AR159" i="4" s="1"/>
  <c r="AS159" i="4" s="1" a="1"/>
  <c r="AT158" i="4" a="1"/>
  <c r="AS160" i="1" s="1" a="1"/>
  <c r="F157" i="4" a="1"/>
  <c r="E159" i="1" s="1" a="1"/>
  <c r="H155" i="4"/>
  <c r="K154" i="4" a="1"/>
  <c r="J156" i="1" s="1" a="1"/>
  <c r="W159" i="1" a="1"/>
  <c r="AL160" i="1" a="1"/>
  <c r="K153" i="4" a="1"/>
  <c r="J155" i="1" s="1" a="1"/>
  <c r="M162" i="1" a="1"/>
  <c r="AL159" i="4"/>
  <c r="AM159" i="4" s="1"/>
  <c r="AN159" i="4" s="1" a="1"/>
  <c r="AO158" i="4" a="1"/>
  <c r="AN160" i="1" s="1" a="1"/>
  <c r="N162" i="1" a="1"/>
  <c r="AV161" i="1" a="1"/>
  <c r="N160" i="4"/>
  <c r="O160" i="4" s="1" a="1"/>
  <c r="M161" i="4" s="1"/>
  <c r="N161" i="4" s="1"/>
  <c r="O161" i="4" s="1" a="1"/>
  <c r="AC161" i="1" l="1" a="1"/>
  <c r="C160" i="1" a="1"/>
  <c r="AH160" i="1" a="1"/>
  <c r="D160" i="1" a="1"/>
  <c r="H157" i="1" a="1"/>
  <c r="I157" i="1" a="1"/>
  <c r="AG160" i="1" a="1"/>
  <c r="AB161" i="1" a="1"/>
  <c r="D161" i="1" a="1"/>
  <c r="C161" i="1" a="1"/>
  <c r="W160" i="1" a="1"/>
  <c r="X160" i="1" a="1"/>
  <c r="AQ161" i="1" a="1"/>
  <c r="P160" i="4" a="1"/>
  <c r="O162" i="1" s="1" a="1"/>
  <c r="I155" i="4"/>
  <c r="J155" i="4" s="1" a="1"/>
  <c r="H156" i="4" s="1"/>
  <c r="AY159" i="4" a="1"/>
  <c r="AX161" i="1" s="1" a="1"/>
  <c r="AL160" i="4"/>
  <c r="AO159" i="4" a="1"/>
  <c r="AN161" i="1" s="1" a="1"/>
  <c r="AQ160" i="4"/>
  <c r="AR160" i="4" s="1"/>
  <c r="AS160" i="4" s="1" a="1"/>
  <c r="AT159" i="4" a="1"/>
  <c r="AS161" i="1" s="1" a="1"/>
  <c r="I156" i="1" a="1"/>
  <c r="AB162" i="1" a="1"/>
  <c r="R153" i="1" a="1"/>
  <c r="H156" i="1" a="1"/>
  <c r="AC162" i="1" a="1"/>
  <c r="S153" i="1" a="1"/>
  <c r="M162" i="4"/>
  <c r="N162" i="4" s="1"/>
  <c r="O162" i="4" s="1" a="1"/>
  <c r="P161" i="4" a="1"/>
  <c r="O163" i="1" s="1" a="1"/>
  <c r="AB161" i="4"/>
  <c r="AC161" i="4" s="1"/>
  <c r="AD161" i="4" s="1" a="1"/>
  <c r="AE160" i="4" a="1"/>
  <c r="AD162" i="1" s="1" a="1"/>
  <c r="R152" i="4"/>
  <c r="S152" i="4" s="1"/>
  <c r="T152" i="4" s="1" a="1"/>
  <c r="U151" i="4" a="1"/>
  <c r="T153" i="1" s="1" a="1"/>
  <c r="C160" i="4"/>
  <c r="F159" i="4" a="1"/>
  <c r="E161" i="1" s="1" a="1"/>
  <c r="AL161" i="1" a="1"/>
  <c r="W159" i="4"/>
  <c r="X159" i="4" s="1"/>
  <c r="Y159" i="4" s="1" a="1"/>
  <c r="Z158" i="4" a="1"/>
  <c r="Y160" i="1" s="1" a="1"/>
  <c r="AM161" i="1" a="1"/>
  <c r="AR161" i="1" a="1"/>
  <c r="AG159" i="4"/>
  <c r="AH159" i="4" s="1"/>
  <c r="AI159" i="4" s="1" a="1"/>
  <c r="AJ158" i="4" a="1"/>
  <c r="AI160" i="1" s="1" a="1"/>
  <c r="AV160" i="4"/>
  <c r="AW160" i="4" s="1"/>
  <c r="AX160" i="4" s="1" a="1"/>
  <c r="M164" i="1" l="1" a="1"/>
  <c r="X161" i="1" a="1"/>
  <c r="W161" i="1" a="1"/>
  <c r="C162" i="1" a="1"/>
  <c r="AW162" i="1" a="1"/>
  <c r="AV162" i="1" a="1"/>
  <c r="N164" i="1" a="1"/>
  <c r="M163" i="1" a="1"/>
  <c r="S154" i="1" a="1"/>
  <c r="AL162" i="1" a="1"/>
  <c r="N163" i="1" a="1"/>
  <c r="AG161" i="1" a="1"/>
  <c r="AM162" i="1" a="1"/>
  <c r="D162" i="1" a="1"/>
  <c r="AQ162" i="1" a="1"/>
  <c r="W160" i="4"/>
  <c r="X160" i="4" s="1"/>
  <c r="Y160" i="4" s="1" a="1"/>
  <c r="Z159" i="4" a="1"/>
  <c r="Y161" i="1" s="1" a="1"/>
  <c r="M163" i="4"/>
  <c r="N163" i="4" s="1"/>
  <c r="O163" i="4" s="1" a="1"/>
  <c r="P162" i="4" a="1"/>
  <c r="O164" i="1" s="1" a="1"/>
  <c r="I156" i="4"/>
  <c r="J156" i="4" s="1" a="1"/>
  <c r="H157" i="4" s="1"/>
  <c r="I157" i="4" s="1"/>
  <c r="J157" i="4" s="1" a="1"/>
  <c r="AR162" i="1" a="1"/>
  <c r="AB162" i="4"/>
  <c r="AE161" i="4" a="1"/>
  <c r="AD163" i="1" s="1" a="1"/>
  <c r="AM160" i="4"/>
  <c r="AN160" i="4" s="1" a="1"/>
  <c r="R153" i="4"/>
  <c r="U152" i="4" a="1"/>
  <c r="T154" i="1" s="1" a="1"/>
  <c r="AG160" i="4"/>
  <c r="AJ159" i="4" a="1"/>
  <c r="AI161" i="1" s="1" a="1"/>
  <c r="AB163" i="1" a="1"/>
  <c r="K155" i="4" a="1"/>
  <c r="J157" i="1" s="1" a="1"/>
  <c r="D160" i="4"/>
  <c r="E160" i="4" s="1" a="1"/>
  <c r="C161" i="4" s="1"/>
  <c r="AV161" i="4"/>
  <c r="AW161" i="4" s="1"/>
  <c r="AX161" i="4" s="1" a="1"/>
  <c r="AY160" i="4" a="1"/>
  <c r="AX162" i="1" s="1" a="1"/>
  <c r="AC163" i="1" a="1"/>
  <c r="AQ161" i="4"/>
  <c r="AR161" i="4" s="1"/>
  <c r="AS161" i="4" s="1" a="1"/>
  <c r="AT160" i="4" a="1"/>
  <c r="AS162" i="1" s="1" a="1"/>
  <c r="AH161" i="1" a="1"/>
  <c r="R154" i="1" a="1"/>
  <c r="AQ163" i="1" l="1" a="1"/>
  <c r="N165" i="1" a="1"/>
  <c r="AH162" i="1" a="1"/>
  <c r="M165" i="1" a="1"/>
  <c r="W162" i="1" a="1"/>
  <c r="AG162" i="1" a="1"/>
  <c r="X162" i="1" a="1"/>
  <c r="H158" i="1" a="1"/>
  <c r="AR163" i="1" a="1"/>
  <c r="AW163" i="1" a="1"/>
  <c r="R155" i="1" a="1"/>
  <c r="AV163" i="1" a="1"/>
  <c r="H158" i="4"/>
  <c r="I158" i="4" s="1"/>
  <c r="J158" i="4" s="1" a="1"/>
  <c r="K157" i="4" a="1"/>
  <c r="J159" i="1" s="1" a="1"/>
  <c r="AV162" i="4"/>
  <c r="AW162" i="4" s="1"/>
  <c r="AX162" i="4" s="1" a="1"/>
  <c r="AY161" i="4" a="1"/>
  <c r="AX163" i="1" s="1" a="1"/>
  <c r="AO160" i="4" a="1"/>
  <c r="AN162" i="1" s="1" a="1"/>
  <c r="AC162" i="4"/>
  <c r="AD162" i="4" s="1" a="1"/>
  <c r="AH160" i="4"/>
  <c r="AI160" i="4" s="1" a="1"/>
  <c r="AG161" i="4" s="1"/>
  <c r="AQ162" i="4"/>
  <c r="AR162" i="4" s="1"/>
  <c r="AS162" i="4" s="1" a="1"/>
  <c r="AT161" i="4" a="1"/>
  <c r="AS163" i="1" s="1" a="1"/>
  <c r="M164" i="4"/>
  <c r="N164" i="4" s="1"/>
  <c r="O164" i="4" s="1" a="1"/>
  <c r="P163" i="4" a="1"/>
  <c r="O165" i="1" s="1" a="1"/>
  <c r="S155" i="1" a="1"/>
  <c r="S153" i="4"/>
  <c r="T153" i="4" s="1" a="1"/>
  <c r="R154" i="4" s="1"/>
  <c r="S154" i="4" s="1"/>
  <c r="T154" i="4" s="1" a="1"/>
  <c r="D161" i="4"/>
  <c r="E161" i="4" s="1" a="1"/>
  <c r="C162" i="4" s="1"/>
  <c r="D162" i="4" s="1"/>
  <c r="E162" i="4" s="1" a="1"/>
  <c r="AC164" i="1" a="1"/>
  <c r="F160" i="4" a="1"/>
  <c r="E162" i="1" s="1" a="1"/>
  <c r="AB164" i="1" a="1"/>
  <c r="K156" i="4" a="1"/>
  <c r="J158" i="1" s="1" a="1"/>
  <c r="I158" i="1" a="1"/>
  <c r="AL161" i="4"/>
  <c r="AM161" i="4" s="1"/>
  <c r="AN161" i="4" s="1" a="1"/>
  <c r="W161" i="4"/>
  <c r="X161" i="4" s="1"/>
  <c r="Y161" i="4" s="1" a="1"/>
  <c r="Z160" i="4" a="1"/>
  <c r="Y162" i="1" s="1" a="1"/>
  <c r="X163" i="1" l="1" a="1"/>
  <c r="W163" i="1" a="1"/>
  <c r="H159" i="1" a="1"/>
  <c r="I159" i="1" a="1"/>
  <c r="AR164" i="1" a="1"/>
  <c r="AQ164" i="1" a="1"/>
  <c r="AW164" i="1" a="1"/>
  <c r="AV164" i="1" a="1"/>
  <c r="M166" i="1" a="1"/>
  <c r="N166" i="1" a="1"/>
  <c r="AM163" i="1" a="1"/>
  <c r="AL163" i="1" a="1"/>
  <c r="H160" i="1" a="1"/>
  <c r="I160" i="1" a="1"/>
  <c r="D163" i="1" a="1"/>
  <c r="R155" i="4"/>
  <c r="U154" i="4" a="1"/>
  <c r="T156" i="1" s="1" a="1"/>
  <c r="C163" i="4"/>
  <c r="D163" i="4" s="1"/>
  <c r="E163" i="4" s="1" a="1"/>
  <c r="F162" i="4" a="1"/>
  <c r="E164" i="1" s="1" a="1"/>
  <c r="F161" i="4" a="1"/>
  <c r="E163" i="1" s="1" a="1"/>
  <c r="W162" i="4"/>
  <c r="X162" i="4" s="1"/>
  <c r="Y162" i="4" s="1" a="1"/>
  <c r="Z161" i="4" a="1"/>
  <c r="Y163" i="1" s="1" a="1"/>
  <c r="AL162" i="4"/>
  <c r="AM162" i="4" s="1"/>
  <c r="AN162" i="4" s="1" a="1"/>
  <c r="AO161" i="4" a="1"/>
  <c r="AN163" i="1" s="1" a="1"/>
  <c r="M165" i="4"/>
  <c r="N165" i="4" s="1"/>
  <c r="O165" i="4" s="1" a="1"/>
  <c r="P164" i="4" a="1"/>
  <c r="O166" i="1" s="1" a="1"/>
  <c r="C163" i="1" a="1"/>
  <c r="AQ163" i="4"/>
  <c r="AR163" i="4" s="1"/>
  <c r="AS163" i="4" s="1" a="1"/>
  <c r="AT162" i="4" a="1"/>
  <c r="AS164" i="1" s="1" a="1"/>
  <c r="AV163" i="4"/>
  <c r="AW163" i="4" s="1"/>
  <c r="AX163" i="4" s="1" a="1"/>
  <c r="AY162" i="4" a="1"/>
  <c r="AX164" i="1" s="1" a="1"/>
  <c r="AH161" i="4"/>
  <c r="AI161" i="4" s="1" a="1"/>
  <c r="AG162" i="4" s="1"/>
  <c r="AJ160" i="4" a="1"/>
  <c r="AI162" i="1" s="1" a="1"/>
  <c r="AE162" i="4" a="1"/>
  <c r="AD164" i="1" s="1" a="1"/>
  <c r="AB163" i="4"/>
  <c r="AC163" i="4" s="1"/>
  <c r="AD163" i="4" s="1" a="1"/>
  <c r="U153" i="4" a="1"/>
  <c r="T155" i="1" s="1" a="1"/>
  <c r="H159" i="4"/>
  <c r="I159" i="4" s="1"/>
  <c r="J159" i="4" s="1" a="1"/>
  <c r="K158" i="4" a="1"/>
  <c r="J160" i="1" s="1" a="1"/>
  <c r="M167" i="1" l="1" a="1"/>
  <c r="AH163" i="1" a="1"/>
  <c r="AC165" i="1" a="1"/>
  <c r="AR165" i="1" a="1"/>
  <c r="AQ165" i="1" a="1"/>
  <c r="AB165" i="1" a="1"/>
  <c r="AG163" i="1" a="1"/>
  <c r="C165" i="1" a="1"/>
  <c r="S157" i="1" a="1"/>
  <c r="D165" i="1" a="1"/>
  <c r="R157" i="1" a="1"/>
  <c r="C164" i="1" a="1"/>
  <c r="AW165" i="1" a="1"/>
  <c r="D164" i="1" a="1"/>
  <c r="AL164" i="1" a="1"/>
  <c r="I161" i="1" a="1"/>
  <c r="N167" i="1" a="1"/>
  <c r="AM164" i="1" a="1"/>
  <c r="W163" i="4"/>
  <c r="X163" i="4" s="1"/>
  <c r="Y163" i="4" s="1" a="1"/>
  <c r="Z162" i="4" a="1"/>
  <c r="Y164" i="1" s="1" a="1"/>
  <c r="R156" i="1" a="1"/>
  <c r="AJ161" i="4" a="1"/>
  <c r="AI163" i="1" s="1" a="1"/>
  <c r="H161" i="1" a="1"/>
  <c r="AV165" i="1" a="1"/>
  <c r="AL163" i="4"/>
  <c r="AM163" i="4" s="1"/>
  <c r="AN163" i="4" s="1" a="1"/>
  <c r="AO162" i="4" a="1"/>
  <c r="AN164" i="1" s="1" a="1"/>
  <c r="S156" i="1" a="1"/>
  <c r="AQ164" i="4"/>
  <c r="AR164" i="4" s="1"/>
  <c r="AS164" i="4" s="1" a="1"/>
  <c r="AT163" i="4" a="1"/>
  <c r="AS165" i="1" s="1" a="1"/>
  <c r="W164" i="1" a="1"/>
  <c r="X164" i="1" a="1"/>
  <c r="AB164" i="4"/>
  <c r="AC164" i="4" s="1"/>
  <c r="AD164" i="4" s="1" a="1"/>
  <c r="AE163" i="4" a="1"/>
  <c r="AD165" i="1" s="1" a="1"/>
  <c r="C164" i="4"/>
  <c r="D164" i="4" s="1"/>
  <c r="E164" i="4" s="1" a="1"/>
  <c r="F163" i="4" a="1"/>
  <c r="E165" i="1" s="1" a="1"/>
  <c r="M166" i="4"/>
  <c r="N166" i="4" s="1"/>
  <c r="O166" i="4" s="1" a="1"/>
  <c r="P165" i="4" a="1"/>
  <c r="O167" i="1" s="1" a="1"/>
  <c r="H160" i="4"/>
  <c r="I160" i="4" s="1"/>
  <c r="J160" i="4" s="1" a="1"/>
  <c r="K159" i="4" a="1"/>
  <c r="J161" i="1" s="1" a="1"/>
  <c r="AV164" i="4"/>
  <c r="AW164" i="4" s="1"/>
  <c r="AX164" i="4" s="1" a="1"/>
  <c r="AY163" i="4" a="1"/>
  <c r="AX165" i="1" s="1" a="1"/>
  <c r="AH162" i="4"/>
  <c r="AI162" i="4" s="1" a="1"/>
  <c r="AG163" i="4" s="1"/>
  <c r="AH163" i="4" s="1"/>
  <c r="AI163" i="4" s="1" a="1"/>
  <c r="S155" i="4"/>
  <c r="T155" i="4" s="1" a="1"/>
  <c r="AW166" i="1" l="1" a="1"/>
  <c r="AV166" i="1" a="1"/>
  <c r="I162" i="1" a="1"/>
  <c r="AB166" i="1" a="1"/>
  <c r="H162" i="1" a="1"/>
  <c r="X165" i="1" a="1"/>
  <c r="AG164" i="1" a="1"/>
  <c r="AR166" i="1" a="1"/>
  <c r="AQ166" i="1" a="1"/>
  <c r="AC166" i="1" a="1"/>
  <c r="AH164" i="1" a="1"/>
  <c r="C166" i="1" a="1"/>
  <c r="W165" i="1" a="1"/>
  <c r="U155" i="4" a="1"/>
  <c r="T157" i="1" s="1" a="1"/>
  <c r="AL164" i="4"/>
  <c r="AO163" i="4" a="1"/>
  <c r="AN165" i="1" s="1" a="1"/>
  <c r="C165" i="4"/>
  <c r="D165" i="4" s="1"/>
  <c r="E165" i="4" s="1" a="1"/>
  <c r="F164" i="4" a="1"/>
  <c r="E166" i="1" s="1" a="1"/>
  <c r="AV165" i="4"/>
  <c r="AW165" i="4" s="1"/>
  <c r="AX165" i="4" s="1" a="1"/>
  <c r="AY164" i="4" a="1"/>
  <c r="AX166" i="1" s="1" a="1"/>
  <c r="N168" i="1" a="1"/>
  <c r="AQ165" i="4"/>
  <c r="AR165" i="4" s="1"/>
  <c r="AS165" i="4" s="1" a="1"/>
  <c r="AT164" i="4" a="1"/>
  <c r="AS166" i="1" s="1" a="1"/>
  <c r="AG164" i="4"/>
  <c r="AH164" i="4" s="1"/>
  <c r="AI164" i="4" s="1" a="1"/>
  <c r="AJ163" i="4" a="1"/>
  <c r="AI165" i="1" s="1" a="1"/>
  <c r="AJ162" i="4" a="1"/>
  <c r="AI164" i="1" s="1" a="1"/>
  <c r="AB165" i="4"/>
  <c r="AC165" i="4" s="1"/>
  <c r="AD165" i="4" s="1" a="1"/>
  <c r="AE164" i="4" a="1"/>
  <c r="AD166" i="1" s="1" a="1"/>
  <c r="M167" i="4"/>
  <c r="P166" i="4" a="1"/>
  <c r="O168" i="1" s="1" a="1"/>
  <c r="AL165" i="1" a="1"/>
  <c r="R156" i="4"/>
  <c r="D166" i="1" a="1"/>
  <c r="AM165" i="1" a="1"/>
  <c r="H161" i="4"/>
  <c r="I161" i="4" s="1"/>
  <c r="J161" i="4" s="1" a="1"/>
  <c r="K160" i="4" a="1"/>
  <c r="J162" i="1" s="1" a="1"/>
  <c r="M168" i="1" a="1"/>
  <c r="W164" i="4"/>
  <c r="Z163" i="4" a="1"/>
  <c r="Y165" i="1" s="1" a="1"/>
  <c r="X166" i="1" l="1" a="1"/>
  <c r="N167" i="4"/>
  <c r="O167" i="4" s="1" a="1"/>
  <c r="M168" i="4" s="1"/>
  <c r="N168" i="4" s="1"/>
  <c r="O168" i="4" s="1" a="1"/>
  <c r="W166" i="1" a="1"/>
  <c r="AB167" i="1" a="1"/>
  <c r="AV167" i="1" a="1"/>
  <c r="H162" i="4"/>
  <c r="I162" i="4" s="1"/>
  <c r="J162" i="4" s="1" a="1"/>
  <c r="K161" i="4" a="1"/>
  <c r="J163" i="1" s="1" a="1"/>
  <c r="AC167" i="1" a="1"/>
  <c r="AW167" i="1" a="1"/>
  <c r="AV166" i="4"/>
  <c r="AW166" i="4" s="1"/>
  <c r="AX166" i="4" s="1" a="1"/>
  <c r="AY165" i="4" a="1"/>
  <c r="AX167" i="1" s="1" a="1"/>
  <c r="AB166" i="4"/>
  <c r="AC166" i="4" s="1"/>
  <c r="AD166" i="4" s="1" a="1"/>
  <c r="AE165" i="4" a="1"/>
  <c r="AD167" i="1" s="1" a="1"/>
  <c r="H163" i="1" a="1"/>
  <c r="AH165" i="1" a="1"/>
  <c r="C167" i="1" a="1"/>
  <c r="X164" i="4"/>
  <c r="Y164" i="4" s="1" a="1"/>
  <c r="I163" i="1" a="1"/>
  <c r="AG165" i="1" a="1"/>
  <c r="D167" i="1" a="1"/>
  <c r="C166" i="4"/>
  <c r="D166" i="4" s="1"/>
  <c r="E166" i="4" s="1" a="1"/>
  <c r="F165" i="4" a="1"/>
  <c r="E167" i="1" s="1" a="1"/>
  <c r="AH166" i="1" a="1"/>
  <c r="AL166" i="1" a="1"/>
  <c r="AM166" i="1" a="1"/>
  <c r="AG165" i="4"/>
  <c r="AH165" i="4" s="1"/>
  <c r="AI165" i="4" s="1" a="1"/>
  <c r="AJ164" i="4" a="1"/>
  <c r="AI166" i="1" s="1" a="1"/>
  <c r="AQ167" i="1" a="1"/>
  <c r="AM164" i="4"/>
  <c r="AN164" i="4" s="1" a="1"/>
  <c r="AL165" i="4" s="1"/>
  <c r="AM165" i="4" s="1"/>
  <c r="AN165" i="4" s="1" a="1"/>
  <c r="AG166" i="1" a="1"/>
  <c r="S156" i="4"/>
  <c r="T156" i="4" s="1" a="1"/>
  <c r="N169" i="1" a="1"/>
  <c r="AR167" i="1" a="1"/>
  <c r="S158" i="1" a="1"/>
  <c r="M169" i="1" a="1"/>
  <c r="R158" i="1" a="1"/>
  <c r="AQ166" i="4"/>
  <c r="AR166" i="4" s="1"/>
  <c r="AS166" i="4" s="1" a="1"/>
  <c r="AT165" i="4" a="1"/>
  <c r="AS167" i="1" s="1" a="1"/>
  <c r="H164" i="1" l="1" a="1"/>
  <c r="AB168" i="1" a="1"/>
  <c r="AC168" i="1" a="1"/>
  <c r="AL166" i="4"/>
  <c r="AM166" i="4" s="1"/>
  <c r="AN166" i="4" s="1" a="1"/>
  <c r="AO165" i="4" a="1"/>
  <c r="AN167" i="1" s="1" a="1"/>
  <c r="AB167" i="4"/>
  <c r="AE166" i="4" a="1"/>
  <c r="AD168" i="1" s="1" a="1"/>
  <c r="AV168" i="1" a="1"/>
  <c r="AQ167" i="4"/>
  <c r="AT166" i="4" a="1"/>
  <c r="AS168" i="1" s="1" a="1"/>
  <c r="D168" i="1" a="1"/>
  <c r="C168" i="1" a="1"/>
  <c r="AW168" i="1" a="1"/>
  <c r="AV167" i="4"/>
  <c r="AY166" i="4" a="1"/>
  <c r="AX168" i="1" s="1" a="1"/>
  <c r="U156" i="4" a="1"/>
  <c r="T158" i="1" s="1" a="1"/>
  <c r="I164" i="1" a="1"/>
  <c r="AQ168" i="1" a="1"/>
  <c r="R157" i="4"/>
  <c r="S157" i="4" s="1"/>
  <c r="T157" i="4" s="1" a="1"/>
  <c r="Z164" i="4" a="1"/>
  <c r="Y166" i="1" s="1" a="1"/>
  <c r="C167" i="4"/>
  <c r="D167" i="4" s="1"/>
  <c r="E167" i="4" s="1" a="1"/>
  <c r="F166" i="4" a="1"/>
  <c r="E168" i="1" s="1" a="1"/>
  <c r="AO164" i="4" a="1"/>
  <c r="AN166" i="1" s="1" a="1"/>
  <c r="W165" i="4"/>
  <c r="X165" i="4" s="1"/>
  <c r="Y165" i="4" s="1" a="1"/>
  <c r="AH167" i="1" a="1"/>
  <c r="H163" i="4"/>
  <c r="I163" i="4" s="1"/>
  <c r="J163" i="4" s="1" a="1"/>
  <c r="K162" i="4" a="1"/>
  <c r="J164" i="1" s="1" a="1"/>
  <c r="AR168" i="1" a="1"/>
  <c r="AG167" i="1" a="1"/>
  <c r="AG166" i="4"/>
  <c r="AJ165" i="4" a="1"/>
  <c r="AI167" i="1" s="1" a="1"/>
  <c r="M169" i="4"/>
  <c r="N169" i="4" s="1"/>
  <c r="O169" i="4" s="1" a="1"/>
  <c r="P168" i="4" a="1"/>
  <c r="O170" i="1" s="1" a="1"/>
  <c r="P167" i="4" a="1"/>
  <c r="O169" i="1" s="1" a="1"/>
  <c r="AW169" i="1" l="1" a="1"/>
  <c r="AC169" i="1" a="1"/>
  <c r="AV169" i="1" a="1"/>
  <c r="AB169" i="1" a="1"/>
  <c r="AL168" i="1" a="1"/>
  <c r="M170" i="1" a="1"/>
  <c r="AM168" i="1" a="1"/>
  <c r="I165" i="1" a="1"/>
  <c r="AQ169" i="1" a="1"/>
  <c r="X167" i="1" a="1"/>
  <c r="R159" i="1" a="1"/>
  <c r="N170" i="1" a="1"/>
  <c r="H165" i="1" a="1"/>
  <c r="AG168" i="1" a="1"/>
  <c r="M171" i="1" a="1"/>
  <c r="AL167" i="1" a="1"/>
  <c r="N171" i="1" a="1"/>
  <c r="AM167" i="1" a="1"/>
  <c r="AH168" i="1" a="1"/>
  <c r="D169" i="1" a="1"/>
  <c r="S159" i="1" a="1"/>
  <c r="C168" i="4"/>
  <c r="D168" i="4" s="1"/>
  <c r="E168" i="4" s="1" a="1"/>
  <c r="F167" i="4" a="1"/>
  <c r="E169" i="1" s="1" a="1"/>
  <c r="AR167" i="4"/>
  <c r="AS167" i="4" s="1" a="1"/>
  <c r="AQ168" i="4" s="1"/>
  <c r="H164" i="4"/>
  <c r="I164" i="4" s="1"/>
  <c r="J164" i="4" s="1" a="1"/>
  <c r="K163" i="4" a="1"/>
  <c r="J165" i="1" s="1" a="1"/>
  <c r="W166" i="4"/>
  <c r="X166" i="4" s="1"/>
  <c r="Y166" i="4" s="1" a="1"/>
  <c r="Z165" i="4" a="1"/>
  <c r="Y167" i="1" s="1" a="1"/>
  <c r="AH166" i="4"/>
  <c r="AI166" i="4" s="1" a="1"/>
  <c r="AG167" i="4" s="1"/>
  <c r="W167" i="1" a="1"/>
  <c r="AR169" i="1" a="1"/>
  <c r="R158" i="4"/>
  <c r="S158" i="4" s="1"/>
  <c r="T158" i="4" s="1" a="1"/>
  <c r="U157" i="4" a="1"/>
  <c r="T159" i="1" s="1" a="1"/>
  <c r="AC167" i="4"/>
  <c r="AD167" i="4" s="1" a="1"/>
  <c r="AB168" i="4" s="1"/>
  <c r="AC168" i="4" s="1"/>
  <c r="AD168" i="4" s="1" a="1"/>
  <c r="M170" i="4"/>
  <c r="P169" i="4" a="1"/>
  <c r="O171" i="1" s="1" a="1"/>
  <c r="C169" i="1" a="1"/>
  <c r="AW167" i="4"/>
  <c r="AX167" i="4" s="1" a="1"/>
  <c r="AV168" i="4" s="1"/>
  <c r="AW168" i="4" s="1"/>
  <c r="AX168" i="4" s="1" a="1"/>
  <c r="AL167" i="4"/>
  <c r="AM167" i="4" s="1"/>
  <c r="AN167" i="4" s="1" a="1"/>
  <c r="AO166" i="4" a="1"/>
  <c r="AN168" i="1" s="1" a="1"/>
  <c r="D170" i="1" l="1" a="1"/>
  <c r="C170" i="1" a="1"/>
  <c r="AM169" i="1" a="1"/>
  <c r="AL169" i="1" a="1"/>
  <c r="I166" i="1" a="1"/>
  <c r="AV169" i="4"/>
  <c r="AW169" i="4" s="1"/>
  <c r="AX169" i="4" s="1" a="1"/>
  <c r="AY168" i="4" a="1"/>
  <c r="AX170" i="1" s="1" a="1"/>
  <c r="AB169" i="4"/>
  <c r="AC169" i="4" s="1"/>
  <c r="AD169" i="4" s="1" a="1"/>
  <c r="AE168" i="4" a="1"/>
  <c r="AD170" i="1" s="1" a="1"/>
  <c r="AJ166" i="4" a="1"/>
  <c r="AI168" i="1" s="1" a="1"/>
  <c r="X168" i="1" a="1"/>
  <c r="R159" i="4"/>
  <c r="S159" i="4" s="1"/>
  <c r="T159" i="4" s="1" a="1"/>
  <c r="U158" i="4" a="1"/>
  <c r="T160" i="1" s="1" a="1"/>
  <c r="AL168" i="4"/>
  <c r="AM168" i="4" s="1"/>
  <c r="AN168" i="4" s="1" a="1"/>
  <c r="AO167" i="4" a="1"/>
  <c r="AN169" i="1" s="1" a="1"/>
  <c r="N172" i="1" a="1"/>
  <c r="M172" i="1" a="1"/>
  <c r="W167" i="4"/>
  <c r="Z166" i="4" a="1"/>
  <c r="Y168" i="1" s="1" a="1"/>
  <c r="N170" i="4"/>
  <c r="O170" i="4" s="1" a="1"/>
  <c r="M171" i="4" s="1"/>
  <c r="N171" i="4" s="1"/>
  <c r="O171" i="4" s="1" a="1"/>
  <c r="AE167" i="4" a="1"/>
  <c r="AD169" i="1" s="1" a="1"/>
  <c r="H165" i="4"/>
  <c r="I165" i="4" s="1"/>
  <c r="J165" i="4" s="1" a="1"/>
  <c r="K164" i="4" a="1"/>
  <c r="J166" i="1" s="1" a="1"/>
  <c r="S160" i="1" a="1"/>
  <c r="AR168" i="4"/>
  <c r="AS168" i="4" s="1" a="1"/>
  <c r="AQ169" i="4" s="1"/>
  <c r="R160" i="1" a="1"/>
  <c r="AT167" i="4" a="1"/>
  <c r="AS169" i="1" s="1" a="1"/>
  <c r="H166" i="1" a="1"/>
  <c r="C169" i="4"/>
  <c r="D169" i="4" s="1"/>
  <c r="E169" i="4" s="1" a="1"/>
  <c r="F168" i="4" a="1"/>
  <c r="E170" i="1" s="1" a="1"/>
  <c r="AH167" i="4"/>
  <c r="AI167" i="4" s="1" a="1"/>
  <c r="AG168" i="4" s="1"/>
  <c r="AH168" i="4" s="1"/>
  <c r="AI168" i="4" s="1" a="1"/>
  <c r="AY167" i="4" a="1"/>
  <c r="AX169" i="1" s="1" a="1"/>
  <c r="W168" i="1" a="1"/>
  <c r="AV170" i="1" l="1" a="1"/>
  <c r="AW170" i="1" a="1"/>
  <c r="H167" i="1" a="1"/>
  <c r="AQ170" i="1" a="1"/>
  <c r="AL170" i="1" a="1"/>
  <c r="AB171" i="1" a="1"/>
  <c r="AC171" i="1" a="1"/>
  <c r="AW171" i="1" a="1"/>
  <c r="I167" i="1" a="1"/>
  <c r="AH169" i="1" a="1"/>
  <c r="AV171" i="1" a="1"/>
  <c r="AM170" i="1" a="1"/>
  <c r="W169" i="1" a="1"/>
  <c r="AG169" i="1" a="1"/>
  <c r="AR170" i="1" a="1"/>
  <c r="R161" i="1" a="1"/>
  <c r="X169" i="1" a="1"/>
  <c r="C171" i="1" a="1"/>
  <c r="AC170" i="1" a="1"/>
  <c r="D171" i="1" a="1"/>
  <c r="AB170" i="1" a="1"/>
  <c r="M172" i="4"/>
  <c r="N172" i="4" s="1"/>
  <c r="O172" i="4" s="1" a="1"/>
  <c r="P171" i="4" a="1"/>
  <c r="O173" i="1" s="1" a="1"/>
  <c r="P170" i="4" a="1"/>
  <c r="O172" i="1" s="1" a="1"/>
  <c r="AJ167" i="4" a="1"/>
  <c r="AI169" i="1" s="1" a="1"/>
  <c r="H166" i="4"/>
  <c r="I166" i="4" s="1"/>
  <c r="J166" i="4" s="1" a="1"/>
  <c r="K165" i="4" a="1"/>
  <c r="J167" i="1" s="1" a="1"/>
  <c r="S161" i="1" a="1"/>
  <c r="X167" i="4"/>
  <c r="Y167" i="4" s="1" a="1"/>
  <c r="R160" i="4"/>
  <c r="S160" i="4" s="1"/>
  <c r="T160" i="4" s="1" a="1"/>
  <c r="U159" i="4" a="1"/>
  <c r="T161" i="1" s="1" a="1"/>
  <c r="C170" i="4"/>
  <c r="D170" i="4" s="1"/>
  <c r="E170" i="4" s="1" a="1"/>
  <c r="F169" i="4" a="1"/>
  <c r="E171" i="1" s="1" a="1"/>
  <c r="AR169" i="4"/>
  <c r="AS169" i="4" s="1" a="1"/>
  <c r="AQ170" i="4" s="1"/>
  <c r="AR170" i="4" s="1"/>
  <c r="AS170" i="4" s="1" a="1"/>
  <c r="AT168" i="4" a="1"/>
  <c r="AS170" i="1" s="1" a="1"/>
  <c r="AB170" i="4"/>
  <c r="AC170" i="4" s="1"/>
  <c r="AD170" i="4" s="1" a="1"/>
  <c r="AE169" i="4" a="1"/>
  <c r="AD171" i="1" s="1" a="1"/>
  <c r="AG169" i="4"/>
  <c r="AH169" i="4" s="1"/>
  <c r="AI169" i="4" s="1" a="1"/>
  <c r="AJ168" i="4" a="1"/>
  <c r="AI170" i="1" s="1" a="1"/>
  <c r="AL169" i="4"/>
  <c r="AM169" i="4" s="1"/>
  <c r="AN169" i="4" s="1" a="1"/>
  <c r="AO168" i="4" a="1"/>
  <c r="AN170" i="1" s="1" a="1"/>
  <c r="AV170" i="4"/>
  <c r="AW170" i="4" s="1"/>
  <c r="AX170" i="4" s="1" a="1"/>
  <c r="AY169" i="4" a="1"/>
  <c r="AX171" i="1" s="1" a="1"/>
  <c r="AW172" i="1" l="1" a="1"/>
  <c r="AH170" i="1" a="1"/>
  <c r="AR171" i="1" a="1"/>
  <c r="AC172" i="1" a="1"/>
  <c r="AG171" i="1" a="1"/>
  <c r="AH171" i="1" a="1"/>
  <c r="AL171" i="1" a="1"/>
  <c r="I168" i="1" a="1"/>
  <c r="AM171" i="1" a="1"/>
  <c r="AQ171" i="4"/>
  <c r="AR171" i="4" s="1"/>
  <c r="AS171" i="4" s="1" a="1"/>
  <c r="AT170" i="4" a="1"/>
  <c r="AS172" i="1" s="1" a="1"/>
  <c r="Z167" i="4" a="1"/>
  <c r="Y169" i="1" s="1" a="1"/>
  <c r="AB171" i="4"/>
  <c r="AC171" i="4" s="1"/>
  <c r="AD171" i="4" s="1" a="1"/>
  <c r="AE170" i="4" a="1"/>
  <c r="AD172" i="1" s="1" a="1"/>
  <c r="AV172" i="1" a="1"/>
  <c r="AQ171" i="1" a="1"/>
  <c r="H168" i="1" a="1"/>
  <c r="AV171" i="4"/>
  <c r="AW171" i="4" s="1"/>
  <c r="AX171" i="4" s="1" a="1"/>
  <c r="AY170" i="4" a="1"/>
  <c r="AX172" i="1" s="1" a="1"/>
  <c r="H167" i="4"/>
  <c r="I167" i="4" s="1"/>
  <c r="J167" i="4" s="1" a="1"/>
  <c r="K166" i="4" a="1"/>
  <c r="J168" i="1" s="1" a="1"/>
  <c r="AG170" i="4"/>
  <c r="AH170" i="4" s="1"/>
  <c r="AI170" i="4" s="1" a="1"/>
  <c r="AJ169" i="4" a="1"/>
  <c r="AI171" i="1" s="1" a="1"/>
  <c r="AT169" i="4" a="1"/>
  <c r="AS171" i="1" s="1" a="1"/>
  <c r="AG170" i="1" a="1"/>
  <c r="C172" i="1" a="1"/>
  <c r="D172" i="1" a="1"/>
  <c r="M173" i="1" a="1"/>
  <c r="AL170" i="4"/>
  <c r="AM170" i="4" s="1"/>
  <c r="AN170" i="4" s="1" a="1"/>
  <c r="AO169" i="4" a="1"/>
  <c r="AN171" i="1" s="1" a="1"/>
  <c r="C171" i="4"/>
  <c r="D171" i="4" s="1"/>
  <c r="E171" i="4" s="1" a="1"/>
  <c r="F170" i="4" a="1"/>
  <c r="E172" i="1" s="1" a="1"/>
  <c r="N173" i="1" a="1"/>
  <c r="R162" i="1" a="1"/>
  <c r="S162" i="1" a="1"/>
  <c r="M174" i="1" a="1"/>
  <c r="N174" i="1" a="1"/>
  <c r="R161" i="4"/>
  <c r="S161" i="4" s="1"/>
  <c r="T161" i="4" s="1" a="1"/>
  <c r="U160" i="4" a="1"/>
  <c r="T162" i="1" s="1" a="1"/>
  <c r="AB172" i="1" a="1"/>
  <c r="W168" i="4"/>
  <c r="X168" i="4" s="1"/>
  <c r="Y168" i="4" s="1" a="1"/>
  <c r="M173" i="4"/>
  <c r="P172" i="4" a="1"/>
  <c r="O174" i="1" s="1" a="1"/>
  <c r="AQ172" i="1" l="1" a="1"/>
  <c r="D173" i="1" a="1"/>
  <c r="I169" i="1" a="1"/>
  <c r="AG172" i="1" a="1"/>
  <c r="AR172" i="1" a="1"/>
  <c r="AV173" i="1" a="1"/>
  <c r="AW173" i="1" a="1"/>
  <c r="AM172" i="1" a="1"/>
  <c r="AB173" i="1" a="1"/>
  <c r="M175" i="1" a="1"/>
  <c r="N175" i="1" a="1"/>
  <c r="AL172" i="1" a="1"/>
  <c r="R162" i="4"/>
  <c r="S162" i="4" s="1"/>
  <c r="T162" i="4" s="1" a="1"/>
  <c r="U161" i="4" a="1"/>
  <c r="T163" i="1" s="1" a="1"/>
  <c r="AV172" i="4"/>
  <c r="AW172" i="4" s="1"/>
  <c r="AX172" i="4" s="1" a="1"/>
  <c r="AY171" i="4" a="1"/>
  <c r="AX173" i="1" s="1" a="1"/>
  <c r="AC173" i="1" a="1"/>
  <c r="C173" i="1" a="1"/>
  <c r="AH172" i="1" a="1"/>
  <c r="S163" i="1" a="1"/>
  <c r="AB172" i="4"/>
  <c r="AE171" i="4" a="1"/>
  <c r="AD173" i="1" s="1" a="1"/>
  <c r="AG171" i="4"/>
  <c r="AH171" i="4" s="1"/>
  <c r="AI171" i="4" s="1" a="1"/>
  <c r="AJ170" i="4" a="1"/>
  <c r="AI172" i="1" s="1" a="1"/>
  <c r="W170" i="1" a="1"/>
  <c r="R163" i="1" a="1"/>
  <c r="C172" i="4"/>
  <c r="D172" i="4" s="1"/>
  <c r="E172" i="4" s="1" a="1"/>
  <c r="F171" i="4" a="1"/>
  <c r="E173" i="1" s="1" a="1"/>
  <c r="H169" i="1" a="1"/>
  <c r="X170" i="1" a="1"/>
  <c r="N173" i="4"/>
  <c r="O173" i="4" s="1" a="1"/>
  <c r="M174" i="4" s="1"/>
  <c r="N174" i="4" s="1"/>
  <c r="O174" i="4" s="1" a="1"/>
  <c r="W169" i="4"/>
  <c r="X169" i="4" s="1"/>
  <c r="Y169" i="4" s="1" a="1"/>
  <c r="Z168" i="4" a="1"/>
  <c r="Y170" i="1" s="1" a="1"/>
  <c r="AQ173" i="1" a="1"/>
  <c r="AL171" i="4"/>
  <c r="AO170" i="4" a="1"/>
  <c r="AN172" i="1" s="1" a="1"/>
  <c r="H168" i="4"/>
  <c r="I168" i="4" s="1"/>
  <c r="J168" i="4" s="1" a="1"/>
  <c r="K167" i="4" a="1"/>
  <c r="J169" i="1" s="1" a="1"/>
  <c r="AR173" i="1" a="1"/>
  <c r="AQ172" i="4"/>
  <c r="AR172" i="4" s="1"/>
  <c r="AS172" i="4" s="1" a="1"/>
  <c r="AT171" i="4" a="1"/>
  <c r="AS173" i="1" s="1" a="1"/>
  <c r="D174" i="1" l="1" a="1"/>
  <c r="W171" i="1" a="1"/>
  <c r="AM173" i="1" a="1"/>
  <c r="AL173" i="1" a="1"/>
  <c r="C174" i="1" a="1"/>
  <c r="X171" i="1" a="1"/>
  <c r="M175" i="4"/>
  <c r="N175" i="4" s="1"/>
  <c r="O175" i="4" s="1" a="1"/>
  <c r="P174" i="4" a="1"/>
  <c r="O176" i="1" s="1" a="1"/>
  <c r="H169" i="4"/>
  <c r="I169" i="4" s="1"/>
  <c r="J169" i="4" s="1" a="1"/>
  <c r="K168" i="4" a="1"/>
  <c r="J170" i="1" s="1" a="1"/>
  <c r="AG172" i="4"/>
  <c r="AH172" i="4" s="1"/>
  <c r="AI172" i="4" s="1" a="1"/>
  <c r="AJ171" i="4" a="1"/>
  <c r="AI173" i="1" s="1" a="1"/>
  <c r="AQ174" i="1" a="1"/>
  <c r="AB174" i="1" a="1"/>
  <c r="AR174" i="1" a="1"/>
  <c r="W170" i="4"/>
  <c r="Z169" i="4" a="1"/>
  <c r="Y171" i="1" s="1" a="1"/>
  <c r="AC174" i="1" a="1"/>
  <c r="AQ173" i="4"/>
  <c r="AR173" i="4" s="1"/>
  <c r="AS173" i="4" s="1" a="1"/>
  <c r="AT172" i="4" a="1"/>
  <c r="AS174" i="1" s="1" a="1"/>
  <c r="P173" i="4" a="1"/>
  <c r="O175" i="1" s="1" a="1"/>
  <c r="AC172" i="4"/>
  <c r="AD172" i="4" s="1" a="1"/>
  <c r="H170" i="1" a="1"/>
  <c r="AV174" i="1" a="1"/>
  <c r="C173" i="4"/>
  <c r="D173" i="4" s="1"/>
  <c r="E173" i="4" s="1" a="1"/>
  <c r="F172" i="4" a="1"/>
  <c r="E174" i="1" s="1" a="1"/>
  <c r="AW174" i="1" a="1"/>
  <c r="AV173" i="4"/>
  <c r="AW173" i="4" s="1"/>
  <c r="AX173" i="4" s="1" a="1"/>
  <c r="AY172" i="4" a="1"/>
  <c r="AX174" i="1" s="1" a="1"/>
  <c r="AM171" i="4"/>
  <c r="AN171" i="4" s="1" a="1"/>
  <c r="AL172" i="4" s="1"/>
  <c r="AM172" i="4" s="1"/>
  <c r="AN172" i="4" s="1" a="1"/>
  <c r="AH173" i="1" a="1"/>
  <c r="S164" i="1" a="1"/>
  <c r="I170" i="1" a="1"/>
  <c r="AG173" i="1" a="1"/>
  <c r="R164" i="1" a="1"/>
  <c r="R163" i="4"/>
  <c r="S163" i="4" s="1"/>
  <c r="T163" i="4" s="1" a="1"/>
  <c r="U162" i="4" a="1"/>
  <c r="T164" i="1" s="1" a="1"/>
  <c r="AR175" i="1" l="1" a="1"/>
  <c r="M176" i="1" a="1"/>
  <c r="C175" i="1" a="1"/>
  <c r="AQ175" i="1" a="1"/>
  <c r="AG174" i="1" a="1"/>
  <c r="W172" i="1" a="1"/>
  <c r="H171" i="1" a="1"/>
  <c r="I171" i="1" a="1"/>
  <c r="AV175" i="1" a="1"/>
  <c r="AW175" i="1" a="1"/>
  <c r="AL173" i="4"/>
  <c r="AM173" i="4" s="1"/>
  <c r="AN173" i="4" s="1" a="1"/>
  <c r="AO172" i="4" a="1"/>
  <c r="AN174" i="1" s="1" a="1"/>
  <c r="AE172" i="4" a="1"/>
  <c r="AD174" i="1" s="1" a="1"/>
  <c r="AH174" i="1" a="1"/>
  <c r="AG173" i="4"/>
  <c r="AH173" i="4" s="1"/>
  <c r="AI173" i="4" s="1" a="1"/>
  <c r="AJ172" i="4" a="1"/>
  <c r="AI174" i="1" s="1" a="1"/>
  <c r="X170" i="4"/>
  <c r="Y170" i="4" s="1" a="1"/>
  <c r="W171" i="4" s="1"/>
  <c r="N176" i="1" a="1"/>
  <c r="R164" i="4"/>
  <c r="S164" i="4" s="1"/>
  <c r="T164" i="4" s="1" a="1"/>
  <c r="U163" i="4" a="1"/>
  <c r="T165" i="1" s="1" a="1"/>
  <c r="AO171" i="4" a="1"/>
  <c r="AN173" i="1" s="1" a="1"/>
  <c r="C174" i="4"/>
  <c r="D174" i="4" s="1"/>
  <c r="E174" i="4" s="1" a="1"/>
  <c r="F173" i="4" a="1"/>
  <c r="E175" i="1" s="1" a="1"/>
  <c r="AB173" i="4"/>
  <c r="AC173" i="4" s="1"/>
  <c r="AD173" i="4" s="1" a="1"/>
  <c r="AV174" i="4"/>
  <c r="AW174" i="4" s="1"/>
  <c r="AX174" i="4" s="1" a="1"/>
  <c r="AY173" i="4" a="1"/>
  <c r="AX175" i="1" s="1" a="1"/>
  <c r="H170" i="4"/>
  <c r="I170" i="4" s="1"/>
  <c r="J170" i="4" s="1" a="1"/>
  <c r="K169" i="4" a="1"/>
  <c r="J171" i="1" s="1" a="1"/>
  <c r="M177" i="1" a="1"/>
  <c r="S165" i="1" a="1"/>
  <c r="AQ174" i="4"/>
  <c r="AR174" i="4" s="1"/>
  <c r="AS174" i="4" s="1" a="1"/>
  <c r="AT173" i="4" a="1"/>
  <c r="AS175" i="1" s="1" a="1"/>
  <c r="R165" i="1" a="1"/>
  <c r="D175" i="1" a="1"/>
  <c r="X172" i="1" a="1"/>
  <c r="N177" i="1" a="1"/>
  <c r="M176" i="4"/>
  <c r="N176" i="4" s="1"/>
  <c r="O176" i="4" s="1" a="1"/>
  <c r="P175" i="4" a="1"/>
  <c r="O177" i="1" s="1" a="1"/>
  <c r="C176" i="1" l="1" a="1"/>
  <c r="D176" i="1" a="1"/>
  <c r="M178" i="1" a="1"/>
  <c r="N178" i="1" a="1"/>
  <c r="AR176" i="1" a="1"/>
  <c r="AC175" i="1" a="1"/>
  <c r="X171" i="4"/>
  <c r="Y171" i="4" s="1" a="1"/>
  <c r="W172" i="4" s="1"/>
  <c r="X172" i="4" s="1"/>
  <c r="Y172" i="4" s="1" a="1"/>
  <c r="R165" i="4"/>
  <c r="S165" i="4" s="1"/>
  <c r="T165" i="4" s="1" a="1"/>
  <c r="U164" i="4" a="1"/>
  <c r="T166" i="1" s="1" a="1"/>
  <c r="AW176" i="1" a="1"/>
  <c r="M177" i="4"/>
  <c r="P176" i="4" a="1"/>
  <c r="O178" i="1" s="1" a="1"/>
  <c r="AV176" i="1" a="1"/>
  <c r="Z170" i="4" a="1"/>
  <c r="Y172" i="1" s="1" a="1"/>
  <c r="AV175" i="4"/>
  <c r="AY174" i="4" a="1"/>
  <c r="AX176" i="1" s="1" a="1"/>
  <c r="AH175" i="1" a="1"/>
  <c r="AB174" i="4"/>
  <c r="AC174" i="4" s="1"/>
  <c r="AD174" i="4" s="1" a="1"/>
  <c r="AE173" i="4" a="1"/>
  <c r="AD175" i="1" s="1" a="1"/>
  <c r="AG175" i="1" a="1"/>
  <c r="AG174" i="4"/>
  <c r="AH174" i="4" s="1"/>
  <c r="AI174" i="4" s="1" a="1"/>
  <c r="AJ173" i="4" a="1"/>
  <c r="AI175" i="1" s="1" a="1"/>
  <c r="AQ176" i="1" a="1"/>
  <c r="C175" i="4"/>
  <c r="D175" i="4" s="1"/>
  <c r="E175" i="4" s="1" a="1"/>
  <c r="F174" i="4" a="1"/>
  <c r="E176" i="1" s="1" a="1"/>
  <c r="AQ175" i="4"/>
  <c r="AR175" i="4" s="1"/>
  <c r="AS175" i="4" s="1" a="1"/>
  <c r="AT174" i="4" a="1"/>
  <c r="AS176" i="1" s="1" a="1"/>
  <c r="AL174" i="1" a="1"/>
  <c r="AB175" i="1" a="1"/>
  <c r="AM174" i="1" a="1"/>
  <c r="AL175" i="1" a="1"/>
  <c r="H171" i="4"/>
  <c r="I171" i="4" s="1"/>
  <c r="J171" i="4" s="1" a="1"/>
  <c r="K170" i="4" a="1"/>
  <c r="J172" i="1" s="1" a="1"/>
  <c r="H172" i="1" a="1"/>
  <c r="R166" i="1" a="1"/>
  <c r="AM175" i="1" a="1"/>
  <c r="I172" i="1" a="1"/>
  <c r="S166" i="1" a="1"/>
  <c r="AL174" i="4"/>
  <c r="AM174" i="4" s="1"/>
  <c r="AN174" i="4" s="1" a="1"/>
  <c r="AO173" i="4" a="1"/>
  <c r="AN175" i="1" s="1" a="1"/>
  <c r="AR177" i="1" l="1" a="1"/>
  <c r="AW177" i="1" a="1"/>
  <c r="AL176" i="1" a="1"/>
  <c r="AQ177" i="1" a="1"/>
  <c r="AM176" i="1" a="1"/>
  <c r="AV177" i="1" a="1"/>
  <c r="C177" i="1" a="1"/>
  <c r="AB176" i="1" a="1"/>
  <c r="R167" i="1" a="1"/>
  <c r="M179" i="1" a="1"/>
  <c r="AC176" i="1" a="1"/>
  <c r="S167" i="1" a="1"/>
  <c r="N179" i="1" a="1"/>
  <c r="AG176" i="1" a="1"/>
  <c r="D177" i="1" a="1"/>
  <c r="H172" i="4"/>
  <c r="I172" i="4" s="1"/>
  <c r="J172" i="4" s="1" a="1"/>
  <c r="K171" i="4" a="1"/>
  <c r="J173" i="1" s="1" a="1"/>
  <c r="AW175" i="4"/>
  <c r="AX175" i="4" s="1" a="1"/>
  <c r="AV176" i="4" s="1"/>
  <c r="AW176" i="4" s="1"/>
  <c r="AX176" i="4" s="1" a="1"/>
  <c r="AG175" i="4"/>
  <c r="AJ174" i="4" a="1"/>
  <c r="AI176" i="1" s="1" a="1"/>
  <c r="AB175" i="4"/>
  <c r="AC175" i="4" s="1"/>
  <c r="AD175" i="4" s="1" a="1"/>
  <c r="AE174" i="4" a="1"/>
  <c r="AD176" i="1" s="1" a="1"/>
  <c r="R166" i="4"/>
  <c r="S166" i="4" s="1"/>
  <c r="T166" i="4" s="1" a="1"/>
  <c r="U165" i="4" a="1"/>
  <c r="T167" i="1" s="1" a="1"/>
  <c r="C176" i="4"/>
  <c r="D176" i="4" s="1"/>
  <c r="E176" i="4" s="1" a="1"/>
  <c r="F175" i="4" a="1"/>
  <c r="E177" i="1" s="1" a="1"/>
  <c r="W173" i="1" a="1"/>
  <c r="H173" i="1" a="1"/>
  <c r="X173" i="1" a="1"/>
  <c r="I173" i="1" a="1"/>
  <c r="AH176" i="1" a="1"/>
  <c r="N177" i="4"/>
  <c r="O177" i="4" s="1" a="1"/>
  <c r="AL175" i="4"/>
  <c r="AM175" i="4" s="1"/>
  <c r="AN175" i="4" s="1" a="1"/>
  <c r="AO174" i="4" a="1"/>
  <c r="AN176" i="1" s="1" a="1"/>
  <c r="AQ176" i="4"/>
  <c r="AR176" i="4" s="1"/>
  <c r="AS176" i="4" s="1" a="1"/>
  <c r="AT175" i="4" a="1"/>
  <c r="AS177" i="1" s="1" a="1"/>
  <c r="W173" i="4"/>
  <c r="X173" i="4" s="1"/>
  <c r="Y173" i="4" s="1" a="1"/>
  <c r="Z172" i="4" a="1"/>
  <c r="Y174" i="1" s="1" a="1"/>
  <c r="Z171" i="4" a="1"/>
  <c r="Y173" i="1" s="1" a="1"/>
  <c r="S168" i="1" l="1" a="1"/>
  <c r="X174" i="1" a="1"/>
  <c r="AR178" i="1" a="1"/>
  <c r="AQ178" i="1" a="1"/>
  <c r="AH177" i="1" a="1"/>
  <c r="AG177" i="1" a="1"/>
  <c r="X175" i="1" a="1"/>
  <c r="H174" i="1" a="1"/>
  <c r="W174" i="1" a="1"/>
  <c r="C178" i="1" a="1"/>
  <c r="I174" i="1" a="1"/>
  <c r="W175" i="1" a="1"/>
  <c r="D178" i="1" a="1"/>
  <c r="AL177" i="1" a="1"/>
  <c r="P177" i="4" a="1"/>
  <c r="O179" i="1" s="1" a="1"/>
  <c r="W174" i="4"/>
  <c r="Z173" i="4" a="1"/>
  <c r="Y175" i="1" s="1" a="1"/>
  <c r="AB176" i="4"/>
  <c r="AE175" i="4" a="1"/>
  <c r="AD177" i="1" s="1" a="1"/>
  <c r="AH175" i="4"/>
  <c r="AI175" i="4" s="1" a="1"/>
  <c r="AV177" i="4"/>
  <c r="AW177" i="4" s="1"/>
  <c r="AX177" i="4" s="1" a="1"/>
  <c r="AY176" i="4" a="1"/>
  <c r="AX178" i="1" s="1" a="1"/>
  <c r="AY175" i="4" a="1"/>
  <c r="AX177" i="1" s="1" a="1"/>
  <c r="R167" i="4"/>
  <c r="S167" i="4" s="1"/>
  <c r="T167" i="4" s="1" a="1"/>
  <c r="U166" i="4" a="1"/>
  <c r="T168" i="1" s="1" a="1"/>
  <c r="AL176" i="4"/>
  <c r="AM176" i="4" s="1"/>
  <c r="AN176" i="4" s="1" a="1"/>
  <c r="AO175" i="4" a="1"/>
  <c r="AN177" i="1" s="1" a="1"/>
  <c r="AB177" i="1" a="1"/>
  <c r="C177" i="4"/>
  <c r="F176" i="4" a="1"/>
  <c r="E178" i="1" s="1" a="1"/>
  <c r="AQ177" i="4"/>
  <c r="AT176" i="4" a="1"/>
  <c r="AS178" i="1" s="1" a="1"/>
  <c r="M178" i="4"/>
  <c r="N178" i="4" s="1"/>
  <c r="O178" i="4" s="1" a="1"/>
  <c r="AC177" i="1" a="1"/>
  <c r="AM177" i="1" a="1"/>
  <c r="R168" i="1" a="1"/>
  <c r="H173" i="4"/>
  <c r="K172" i="4" a="1"/>
  <c r="J174" i="1" s="1" a="1"/>
  <c r="AW178" i="1" l="1" a="1"/>
  <c r="AV178" i="1" a="1"/>
  <c r="AL178" i="1" a="1"/>
  <c r="S169" i="1" a="1"/>
  <c r="X176" i="1" a="1"/>
  <c r="W176" i="1" a="1"/>
  <c r="M180" i="1" a="1"/>
  <c r="AR179" i="1" a="1"/>
  <c r="AQ179" i="1" a="1"/>
  <c r="I175" i="1" a="1"/>
  <c r="R169" i="1" a="1"/>
  <c r="N180" i="1" a="1"/>
  <c r="AB178" i="1" a="1"/>
  <c r="AC178" i="1" a="1"/>
  <c r="AM178" i="1" a="1"/>
  <c r="AJ175" i="4" a="1"/>
  <c r="AI177" i="1" s="1" a="1"/>
  <c r="AL177" i="4"/>
  <c r="AM177" i="4" s="1"/>
  <c r="AN177" i="4" s="1" a="1"/>
  <c r="AO176" i="4" a="1"/>
  <c r="AN178" i="1" s="1" a="1"/>
  <c r="R168" i="4"/>
  <c r="U167" i="4" a="1"/>
  <c r="T169" i="1" s="1" a="1"/>
  <c r="X174" i="4"/>
  <c r="Y174" i="4" s="1" a="1"/>
  <c r="W175" i="4" s="1"/>
  <c r="X175" i="4" s="1"/>
  <c r="Y175" i="4" s="1" a="1"/>
  <c r="AV179" i="1" a="1"/>
  <c r="D179" i="1" a="1"/>
  <c r="AW179" i="1" a="1"/>
  <c r="I173" i="4"/>
  <c r="J173" i="4" s="1" a="1"/>
  <c r="H174" i="4" s="1"/>
  <c r="I174" i="4" s="1"/>
  <c r="J174" i="4" s="1" a="1"/>
  <c r="D177" i="4"/>
  <c r="E177" i="4" s="1" a="1"/>
  <c r="C178" i="4" s="1"/>
  <c r="D178" i="4" s="1"/>
  <c r="E178" i="4" s="1" a="1"/>
  <c r="AV178" i="4"/>
  <c r="AW178" i="4" s="1"/>
  <c r="AX178" i="4" s="1" a="1"/>
  <c r="AY177" i="4" a="1"/>
  <c r="AX179" i="1" s="1" a="1"/>
  <c r="H175" i="1" a="1"/>
  <c r="AG176" i="4"/>
  <c r="AC176" i="4"/>
  <c r="AD176" i="4" s="1" a="1"/>
  <c r="AB177" i="4" s="1"/>
  <c r="M179" i="4"/>
  <c r="N179" i="4" s="1"/>
  <c r="O179" i="4" s="1" a="1"/>
  <c r="P178" i="4" a="1"/>
  <c r="O180" i="1" s="1" a="1"/>
  <c r="AR177" i="4"/>
  <c r="AS177" i="4" s="1" a="1"/>
  <c r="AQ178" i="4" s="1"/>
  <c r="C179" i="1" a="1"/>
  <c r="M181" i="1" l="1" a="1"/>
  <c r="AH178" i="1" a="1"/>
  <c r="AG178" i="1" a="1"/>
  <c r="AM179" i="1" a="1"/>
  <c r="W176" i="4"/>
  <c r="X176" i="4" s="1"/>
  <c r="Y176" i="4" s="1" a="1"/>
  <c r="Z175" i="4" a="1"/>
  <c r="Y177" i="1" s="1" a="1"/>
  <c r="H175" i="4"/>
  <c r="I175" i="4" s="1"/>
  <c r="J175" i="4" s="1" a="1"/>
  <c r="K174" i="4" a="1"/>
  <c r="J176" i="1" s="1" a="1"/>
  <c r="C179" i="4"/>
  <c r="F178" i="4" a="1"/>
  <c r="E180" i="1" s="1" a="1"/>
  <c r="AC177" i="4"/>
  <c r="AD177" i="4" s="1" a="1"/>
  <c r="AB178" i="4" s="1"/>
  <c r="AW180" i="1" a="1"/>
  <c r="AR178" i="4"/>
  <c r="AS178" i="4" s="1" a="1"/>
  <c r="AQ179" i="4" s="1"/>
  <c r="AR179" i="4" s="1"/>
  <c r="AS179" i="4" s="1" a="1"/>
  <c r="AT177" i="4" a="1"/>
  <c r="AS179" i="1" s="1" a="1"/>
  <c r="N181" i="1" a="1"/>
  <c r="AV179" i="4"/>
  <c r="AW179" i="4" s="1"/>
  <c r="AX179" i="4" s="1" a="1"/>
  <c r="AY178" i="4" a="1"/>
  <c r="AX180" i="1" s="1" a="1"/>
  <c r="M180" i="4"/>
  <c r="N180" i="4" s="1"/>
  <c r="O180" i="4" s="1" a="1"/>
  <c r="P179" i="4" a="1"/>
  <c r="O181" i="1" s="1" a="1"/>
  <c r="Z174" i="4" a="1"/>
  <c r="Y176" i="1" s="1" a="1"/>
  <c r="AE176" i="4" a="1"/>
  <c r="AD178" i="1" s="1" a="1"/>
  <c r="R170" i="1" a="1"/>
  <c r="AH176" i="4"/>
  <c r="AI176" i="4" s="1" a="1"/>
  <c r="AG177" i="4" s="1"/>
  <c r="S170" i="1" a="1"/>
  <c r="AV180" i="1" a="1"/>
  <c r="S168" i="4"/>
  <c r="T168" i="4" s="1" a="1"/>
  <c r="R169" i="4" s="1"/>
  <c r="S169" i="4" s="1"/>
  <c r="T169" i="4" s="1" a="1"/>
  <c r="AL179" i="1" a="1"/>
  <c r="AL178" i="4"/>
  <c r="AM178" i="4" s="1"/>
  <c r="AN178" i="4" s="1" a="1"/>
  <c r="AO177" i="4" a="1"/>
  <c r="AN179" i="1" s="1" a="1"/>
  <c r="F177" i="4" a="1"/>
  <c r="E179" i="1" s="1" a="1"/>
  <c r="K173" i="4" a="1"/>
  <c r="J175" i="1" s="1" a="1"/>
  <c r="X178" i="1" l="1" a="1"/>
  <c r="H177" i="1" a="1"/>
  <c r="D180" i="1" a="1"/>
  <c r="C180" i="1" a="1"/>
  <c r="AB179" i="1" a="1"/>
  <c r="AR180" i="1" a="1"/>
  <c r="AQ180" i="1" a="1"/>
  <c r="AC179" i="1" a="1"/>
  <c r="D181" i="1" a="1"/>
  <c r="I177" i="1" a="1"/>
  <c r="W178" i="1" a="1"/>
  <c r="AW181" i="1" a="1"/>
  <c r="N182" i="1" a="1"/>
  <c r="W177" i="1" a="1"/>
  <c r="C181" i="1" a="1"/>
  <c r="H176" i="1" a="1"/>
  <c r="AV181" i="1" a="1"/>
  <c r="I176" i="1" a="1"/>
  <c r="AC178" i="4"/>
  <c r="AD178" i="4" s="1" a="1"/>
  <c r="AB179" i="4" s="1"/>
  <c r="AC179" i="4" s="1"/>
  <c r="AD179" i="4" s="1" a="1"/>
  <c r="R170" i="4"/>
  <c r="S170" i="4" s="1"/>
  <c r="T170" i="4" s="1" a="1"/>
  <c r="U169" i="4" a="1"/>
  <c r="T171" i="1" s="1" a="1"/>
  <c r="AL179" i="4"/>
  <c r="AM179" i="4" s="1"/>
  <c r="AN179" i="4" s="1" a="1"/>
  <c r="AO178" i="4" a="1"/>
  <c r="AN180" i="1" s="1" a="1"/>
  <c r="M181" i="4"/>
  <c r="P180" i="4" a="1"/>
  <c r="O182" i="1" s="1" a="1"/>
  <c r="D179" i="4"/>
  <c r="E179" i="4" s="1" a="1"/>
  <c r="C180" i="4" s="1"/>
  <c r="D180" i="4" s="1"/>
  <c r="E180" i="4" s="1" a="1"/>
  <c r="X177" i="1" a="1"/>
  <c r="AT178" i="4" a="1"/>
  <c r="AS180" i="1" s="1" a="1"/>
  <c r="AM180" i="1" a="1"/>
  <c r="AL180" i="1" a="1"/>
  <c r="AV180" i="4"/>
  <c r="AW180" i="4" s="1"/>
  <c r="AX180" i="4" s="1" a="1"/>
  <c r="AY179" i="4" a="1"/>
  <c r="AX181" i="1" s="1" a="1"/>
  <c r="AJ176" i="4" a="1"/>
  <c r="AI178" i="1" s="1" a="1"/>
  <c r="M182" i="1" a="1"/>
  <c r="AE177" i="4" a="1"/>
  <c r="AD179" i="1" s="1" a="1"/>
  <c r="U168" i="4" a="1"/>
  <c r="T170" i="1" s="1" a="1"/>
  <c r="AH177" i="4"/>
  <c r="AI177" i="4" s="1" a="1"/>
  <c r="AG178" i="4" s="1"/>
  <c r="AH178" i="4" s="1"/>
  <c r="AI178" i="4" s="1" a="1"/>
  <c r="H176" i="4"/>
  <c r="I176" i="4" s="1"/>
  <c r="J176" i="4" s="1" a="1"/>
  <c r="K175" i="4" a="1"/>
  <c r="J177" i="1" s="1" a="1"/>
  <c r="AQ180" i="4"/>
  <c r="AR180" i="4" s="1"/>
  <c r="AS180" i="4" s="1" a="1"/>
  <c r="AT179" i="4" a="1"/>
  <c r="AS181" i="1" s="1" a="1"/>
  <c r="W177" i="4"/>
  <c r="X177" i="4" s="1"/>
  <c r="Y177" i="4" s="1" a="1"/>
  <c r="Z176" i="4" a="1"/>
  <c r="Y178" i="1" s="1" a="1"/>
  <c r="W179" i="1" l="1" a="1"/>
  <c r="AW182" i="1" a="1"/>
  <c r="R171" i="1" a="1"/>
  <c r="S172" i="1" a="1"/>
  <c r="H178" i="1" a="1"/>
  <c r="I178" i="1" a="1"/>
  <c r="AV182" i="1" a="1"/>
  <c r="AH179" i="1" a="1"/>
  <c r="X179" i="1" a="1"/>
  <c r="AQ181" i="1" a="1"/>
  <c r="AL181" i="1" a="1"/>
  <c r="AR181" i="1" a="1"/>
  <c r="R172" i="1" a="1"/>
  <c r="AM181" i="1" a="1"/>
  <c r="C181" i="4"/>
  <c r="D181" i="4" s="1"/>
  <c r="E181" i="4" s="1" a="1"/>
  <c r="F180" i="4" a="1"/>
  <c r="E182" i="1" s="1" a="1"/>
  <c r="AQ181" i="4"/>
  <c r="AR181" i="4" s="1"/>
  <c r="AS181" i="4" s="1" a="1"/>
  <c r="AT180" i="4" a="1"/>
  <c r="AS182" i="1" s="1" a="1"/>
  <c r="N181" i="4"/>
  <c r="O181" i="4" s="1" a="1"/>
  <c r="M182" i="4" s="1"/>
  <c r="N182" i="4" s="1"/>
  <c r="O182" i="4" s="1" a="1"/>
  <c r="AJ177" i="4" a="1"/>
  <c r="AI179" i="1" s="1" a="1"/>
  <c r="R171" i="4"/>
  <c r="S171" i="4" s="1"/>
  <c r="T171" i="4" s="1" a="1"/>
  <c r="U170" i="4" a="1"/>
  <c r="T172" i="1" s="1" a="1"/>
  <c r="AB180" i="4"/>
  <c r="AC180" i="4" s="1"/>
  <c r="AD180" i="4" s="1" a="1"/>
  <c r="AE179" i="4" a="1"/>
  <c r="AD181" i="1" s="1" a="1"/>
  <c r="AB180" i="1" a="1"/>
  <c r="AC180" i="1" a="1"/>
  <c r="H177" i="4"/>
  <c r="I177" i="4" s="1"/>
  <c r="J177" i="4" s="1" a="1"/>
  <c r="K176" i="4" a="1"/>
  <c r="J178" i="1" s="1" a="1"/>
  <c r="AV181" i="4"/>
  <c r="AW181" i="4" s="1"/>
  <c r="AX181" i="4" s="1" a="1"/>
  <c r="AY180" i="4" a="1"/>
  <c r="AX182" i="1" s="1" a="1"/>
  <c r="AL180" i="4"/>
  <c r="AM180" i="4" s="1"/>
  <c r="AN180" i="4" s="1" a="1"/>
  <c r="AO179" i="4" a="1"/>
  <c r="AN181" i="1" s="1" a="1"/>
  <c r="AG179" i="4"/>
  <c r="AH179" i="4" s="1"/>
  <c r="AI179" i="4" s="1" a="1"/>
  <c r="AJ178" i="4" a="1"/>
  <c r="AI180" i="1" s="1" a="1"/>
  <c r="S171" i="1" a="1"/>
  <c r="F179" i="4" a="1"/>
  <c r="E181" i="1" s="1" a="1"/>
  <c r="AQ182" i="1" a="1"/>
  <c r="M183" i="1" a="1"/>
  <c r="W178" i="4"/>
  <c r="X178" i="4" s="1"/>
  <c r="Y178" i="4" s="1" a="1"/>
  <c r="Z177" i="4" a="1"/>
  <c r="Y179" i="1" s="1" a="1"/>
  <c r="AR182" i="1" a="1"/>
  <c r="AG179" i="1" a="1"/>
  <c r="N183" i="1" a="1"/>
  <c r="AE178" i="4" a="1"/>
  <c r="AD180" i="1" s="1" a="1"/>
  <c r="AR183" i="1" l="1" a="1"/>
  <c r="AB181" i="1" a="1"/>
  <c r="D182" i="1" a="1"/>
  <c r="I179" i="1" a="1"/>
  <c r="C183" i="1" a="1"/>
  <c r="C182" i="1" a="1"/>
  <c r="AQ183" i="1" a="1"/>
  <c r="AG181" i="1" a="1"/>
  <c r="AC182" i="1" a="1"/>
  <c r="AH181" i="1" a="1"/>
  <c r="AM182" i="1" a="1"/>
  <c r="AL182" i="1" a="1"/>
  <c r="AG180" i="1" a="1"/>
  <c r="H179" i="1" a="1"/>
  <c r="D183" i="1" a="1"/>
  <c r="AB182" i="1" a="1"/>
  <c r="AV183" i="1" a="1"/>
  <c r="AC181" i="1" a="1"/>
  <c r="AW183" i="1" a="1"/>
  <c r="AV182" i="4"/>
  <c r="AW182" i="4" s="1"/>
  <c r="AX182" i="4" s="1" a="1"/>
  <c r="AY181" i="4" a="1"/>
  <c r="AX183" i="1" s="1" a="1"/>
  <c r="M183" i="4"/>
  <c r="N183" i="4" s="1"/>
  <c r="O183" i="4" s="1" a="1"/>
  <c r="P182" i="4" a="1"/>
  <c r="O184" i="1" s="1" a="1"/>
  <c r="H178" i="4"/>
  <c r="I178" i="4" s="1"/>
  <c r="J178" i="4" s="1" a="1"/>
  <c r="K177" i="4" a="1"/>
  <c r="J179" i="1" s="1" a="1"/>
  <c r="AQ182" i="4"/>
  <c r="AR182" i="4" s="1"/>
  <c r="AS182" i="4" s="1" a="1"/>
  <c r="AT181" i="4" a="1"/>
  <c r="AS183" i="1" s="1" a="1"/>
  <c r="AG180" i="4"/>
  <c r="AH180" i="4" s="1"/>
  <c r="AI180" i="4" s="1" a="1"/>
  <c r="AJ179" i="4" a="1"/>
  <c r="AI181" i="1" s="1" a="1"/>
  <c r="AB181" i="4"/>
  <c r="AC181" i="4" s="1"/>
  <c r="AD181" i="4" s="1" a="1"/>
  <c r="AE180" i="4" a="1"/>
  <c r="AD182" i="1" s="1" a="1"/>
  <c r="X180" i="1" a="1"/>
  <c r="W180" i="1" a="1"/>
  <c r="AL181" i="4"/>
  <c r="AM181" i="4" s="1"/>
  <c r="AN181" i="4" s="1" a="1"/>
  <c r="AO180" i="4" a="1"/>
  <c r="AN182" i="1" s="1" a="1"/>
  <c r="S173" i="1" a="1"/>
  <c r="R172" i="4"/>
  <c r="S172" i="4" s="1"/>
  <c r="T172" i="4" s="1" a="1"/>
  <c r="U171" i="4" a="1"/>
  <c r="T173" i="1" s="1" a="1"/>
  <c r="P181" i="4" a="1"/>
  <c r="O183" i="1" s="1" a="1"/>
  <c r="W179" i="4"/>
  <c r="X179" i="4" s="1"/>
  <c r="Y179" i="4" s="1" a="1"/>
  <c r="Z178" i="4" a="1"/>
  <c r="Y180" i="1" s="1" a="1"/>
  <c r="AH180" i="1" a="1"/>
  <c r="R173" i="1" a="1"/>
  <c r="C182" i="4"/>
  <c r="F181" i="4" a="1"/>
  <c r="E183" i="1" s="1" a="1"/>
  <c r="AW184" i="1" l="1" a="1"/>
  <c r="N184" i="1" a="1"/>
  <c r="M185" i="1" a="1"/>
  <c r="D184" i="1" a="1"/>
  <c r="C184" i="1" a="1"/>
  <c r="M184" i="1" a="1"/>
  <c r="AQ184" i="1" a="1"/>
  <c r="AB183" i="1" a="1"/>
  <c r="AH182" i="1" a="1"/>
  <c r="AC183" i="1" a="1"/>
  <c r="N185" i="1" a="1"/>
  <c r="W181" i="1" a="1"/>
  <c r="H180" i="1" a="1"/>
  <c r="AV184" i="1" a="1"/>
  <c r="X181" i="1" a="1"/>
  <c r="S174" i="1" a="1"/>
  <c r="AG182" i="1" a="1"/>
  <c r="R174" i="1" a="1"/>
  <c r="AL183" i="1" a="1"/>
  <c r="I180" i="1" a="1"/>
  <c r="D182" i="4"/>
  <c r="E182" i="4" s="1" a="1"/>
  <c r="C183" i="4" s="1"/>
  <c r="D183" i="4" s="1"/>
  <c r="E183" i="4" s="1" a="1"/>
  <c r="AQ183" i="4"/>
  <c r="AR183" i="4" s="1"/>
  <c r="AS183" i="4" s="1" a="1"/>
  <c r="AT182" i="4" a="1"/>
  <c r="AS184" i="1" s="1" a="1"/>
  <c r="AL182" i="4"/>
  <c r="AO181" i="4" a="1"/>
  <c r="AN183" i="1" s="1" a="1"/>
  <c r="W180" i="4"/>
  <c r="Z179" i="4" a="1"/>
  <c r="Y181" i="1" s="1" a="1"/>
  <c r="AG181" i="4"/>
  <c r="AH181" i="4" s="1"/>
  <c r="AI181" i="4" s="1" a="1"/>
  <c r="AJ180" i="4" a="1"/>
  <c r="AI182" i="1" s="1" a="1"/>
  <c r="AV183" i="4"/>
  <c r="AW183" i="4" s="1"/>
  <c r="AX183" i="4" s="1" a="1"/>
  <c r="AY182" i="4" a="1"/>
  <c r="AX184" i="1" s="1" a="1"/>
  <c r="R173" i="4"/>
  <c r="S173" i="4" s="1"/>
  <c r="T173" i="4" s="1" a="1"/>
  <c r="U172" i="4" a="1"/>
  <c r="T174" i="1" s="1" a="1"/>
  <c r="AR184" i="1" a="1"/>
  <c r="H179" i="4"/>
  <c r="I179" i="4" s="1"/>
  <c r="J179" i="4" s="1" a="1"/>
  <c r="K178" i="4" a="1"/>
  <c r="J180" i="1" s="1" a="1"/>
  <c r="AB182" i="4"/>
  <c r="AC182" i="4" s="1"/>
  <c r="AD182" i="4" s="1" a="1"/>
  <c r="AE181" i="4" a="1"/>
  <c r="AD183" i="1" s="1" a="1"/>
  <c r="M184" i="4"/>
  <c r="P183" i="4" a="1"/>
  <c r="O185" i="1" s="1" a="1"/>
  <c r="AM183" i="1" a="1"/>
  <c r="AM184" i="1" l="1" a="1"/>
  <c r="AL184" i="1" a="1"/>
  <c r="AG183" i="1" a="1"/>
  <c r="M186" i="1" a="1"/>
  <c r="AH183" i="1" a="1"/>
  <c r="AB184" i="1" a="1"/>
  <c r="N186" i="1" a="1"/>
  <c r="AC184" i="1" a="1"/>
  <c r="AR185" i="1" a="1"/>
  <c r="AW185" i="1" a="1"/>
  <c r="AV185" i="1" a="1"/>
  <c r="AQ185" i="1" a="1"/>
  <c r="H180" i="4"/>
  <c r="I180" i="4" s="1"/>
  <c r="J180" i="4" s="1" a="1"/>
  <c r="K179" i="4" a="1"/>
  <c r="J181" i="1" s="1" a="1"/>
  <c r="X180" i="4"/>
  <c r="Y180" i="4" s="1" a="1"/>
  <c r="W181" i="4" s="1"/>
  <c r="X181" i="4" s="1"/>
  <c r="Y181" i="4" s="1" a="1"/>
  <c r="R175" i="1" a="1"/>
  <c r="S175" i="1" a="1"/>
  <c r="AQ184" i="4"/>
  <c r="AR184" i="4" s="1"/>
  <c r="AS184" i="4" s="1" a="1"/>
  <c r="AT183" i="4" a="1"/>
  <c r="AS185" i="1" s="1" a="1"/>
  <c r="C184" i="4"/>
  <c r="F183" i="4" a="1"/>
  <c r="E185" i="1" s="1" a="1"/>
  <c r="AB183" i="4"/>
  <c r="AC183" i="4" s="1"/>
  <c r="AD183" i="4" s="1" a="1"/>
  <c r="AE182" i="4" a="1"/>
  <c r="AD184" i="1" s="1" a="1"/>
  <c r="R174" i="4"/>
  <c r="S174" i="4" s="1"/>
  <c r="T174" i="4" s="1" a="1"/>
  <c r="U173" i="4" a="1"/>
  <c r="T175" i="1" s="1" a="1"/>
  <c r="AM182" i="4"/>
  <c r="AN182" i="4" s="1" a="1"/>
  <c r="AL183" i="4" s="1"/>
  <c r="AM183" i="4" s="1"/>
  <c r="AN183" i="4" s="1" a="1"/>
  <c r="AV184" i="4"/>
  <c r="AW184" i="4" s="1"/>
  <c r="AX184" i="4" s="1" a="1"/>
  <c r="AY183" i="4" a="1"/>
  <c r="AX185" i="1" s="1" a="1"/>
  <c r="H181" i="1" a="1"/>
  <c r="AG182" i="4"/>
  <c r="AH182" i="4" s="1"/>
  <c r="AI182" i="4" s="1" a="1"/>
  <c r="AJ181" i="4" a="1"/>
  <c r="AI183" i="1" s="1" a="1"/>
  <c r="I181" i="1" a="1"/>
  <c r="X182" i="1" a="1"/>
  <c r="W182" i="1" a="1"/>
  <c r="N184" i="4"/>
  <c r="O184" i="4" s="1" a="1"/>
  <c r="M185" i="4" s="1"/>
  <c r="F182" i="4" a="1"/>
  <c r="E184" i="1" s="1" a="1"/>
  <c r="S176" i="1" l="1" a="1"/>
  <c r="C186" i="1" a="1"/>
  <c r="R176" i="1" a="1"/>
  <c r="AH184" i="1" a="1"/>
  <c r="N185" i="4"/>
  <c r="O185" i="4" s="1" a="1"/>
  <c r="M186" i="4" s="1"/>
  <c r="N186" i="4" s="1"/>
  <c r="O186" i="4" s="1" a="1"/>
  <c r="W182" i="4"/>
  <c r="X182" i="4" s="1"/>
  <c r="Y182" i="4" s="1" a="1"/>
  <c r="Z181" i="4" a="1"/>
  <c r="Y183" i="1" s="1" a="1"/>
  <c r="AL184" i="4"/>
  <c r="AM184" i="4" s="1"/>
  <c r="AN184" i="4" s="1" a="1"/>
  <c r="AO183" i="4" a="1"/>
  <c r="AN185" i="1" s="1" a="1"/>
  <c r="AG183" i="4"/>
  <c r="AH183" i="4" s="1"/>
  <c r="AI183" i="4" s="1" a="1"/>
  <c r="AJ182" i="4" a="1"/>
  <c r="AI184" i="1" s="1" a="1"/>
  <c r="D186" i="1" a="1"/>
  <c r="AV186" i="1" a="1"/>
  <c r="AW186" i="1" a="1"/>
  <c r="D184" i="4"/>
  <c r="E184" i="4" s="1" a="1"/>
  <c r="C185" i="4" s="1"/>
  <c r="D185" i="4" s="1"/>
  <c r="E185" i="4" s="1" a="1"/>
  <c r="AQ186" i="1" a="1"/>
  <c r="C185" i="1" a="1"/>
  <c r="AV185" i="4"/>
  <c r="AY184" i="4" a="1"/>
  <c r="AX186" i="1" s="1" a="1"/>
  <c r="AR186" i="1" a="1"/>
  <c r="D185" i="1" a="1"/>
  <c r="AO182" i="4" a="1"/>
  <c r="AN184" i="1" s="1" a="1"/>
  <c r="AQ185" i="4"/>
  <c r="AR185" i="4" s="1"/>
  <c r="AS185" i="4" s="1" a="1"/>
  <c r="AT184" i="4" a="1"/>
  <c r="AS186" i="1" s="1" a="1"/>
  <c r="Z180" i="4" a="1"/>
  <c r="Y182" i="1" s="1" a="1"/>
  <c r="P184" i="4" a="1"/>
  <c r="O186" i="1" s="1" a="1"/>
  <c r="AC185" i="1" a="1"/>
  <c r="I182" i="1" a="1"/>
  <c r="R175" i="4"/>
  <c r="S175" i="4" s="1"/>
  <c r="T175" i="4" s="1" a="1"/>
  <c r="U174" i="4" a="1"/>
  <c r="T176" i="1" s="1" a="1"/>
  <c r="AG184" i="1" a="1"/>
  <c r="AB185" i="1" a="1"/>
  <c r="H182" i="1" a="1"/>
  <c r="AB184" i="4"/>
  <c r="AC184" i="4" s="1"/>
  <c r="AD184" i="4" s="1" a="1"/>
  <c r="AE183" i="4" a="1"/>
  <c r="AD185" i="1" s="1" a="1"/>
  <c r="H181" i="4"/>
  <c r="I181" i="4" s="1"/>
  <c r="J181" i="4" s="1" a="1"/>
  <c r="K180" i="4" a="1"/>
  <c r="J182" i="1" s="1" a="1"/>
  <c r="AV187" i="1" l="1" a="1"/>
  <c r="AW187" i="1" a="1"/>
  <c r="I183" i="1" a="1"/>
  <c r="X184" i="1" a="1"/>
  <c r="AQ187" i="1" a="1"/>
  <c r="AM186" i="1" a="1"/>
  <c r="N187" i="1" a="1"/>
  <c r="H183" i="1" a="1"/>
  <c r="M187" i="1" a="1"/>
  <c r="AC186" i="1" a="1"/>
  <c r="AR187" i="1" a="1"/>
  <c r="AB186" i="1" a="1"/>
  <c r="W184" i="1" a="1"/>
  <c r="W183" i="1" a="1"/>
  <c r="AL186" i="1" a="1"/>
  <c r="X183" i="1" a="1"/>
  <c r="AG184" i="4"/>
  <c r="AJ183" i="4" a="1"/>
  <c r="AI185" i="1" s="1" a="1"/>
  <c r="AB185" i="4"/>
  <c r="AC185" i="4" s="1"/>
  <c r="AD185" i="4" s="1" a="1"/>
  <c r="AE184" i="4" a="1"/>
  <c r="AD186" i="1" s="1" a="1"/>
  <c r="M187" i="4"/>
  <c r="N187" i="4" s="1"/>
  <c r="O187" i="4" s="1" a="1"/>
  <c r="P186" i="4" a="1"/>
  <c r="O188" i="1" s="1" a="1"/>
  <c r="AW185" i="4"/>
  <c r="AX185" i="4" s="1" a="1"/>
  <c r="AV186" i="4" s="1"/>
  <c r="AW186" i="4" s="1"/>
  <c r="AX186" i="4" s="1" a="1"/>
  <c r="W183" i="4"/>
  <c r="X183" i="4" s="1"/>
  <c r="Y183" i="4" s="1" a="1"/>
  <c r="Z182" i="4" a="1"/>
  <c r="Y184" i="1" s="1" a="1"/>
  <c r="AQ186" i="4"/>
  <c r="AT185" i="4" a="1"/>
  <c r="AS187" i="1" s="1" a="1"/>
  <c r="S177" i="1" a="1"/>
  <c r="AL185" i="1" a="1"/>
  <c r="AG185" i="1" a="1"/>
  <c r="R176" i="4"/>
  <c r="S176" i="4" s="1"/>
  <c r="T176" i="4" s="1" a="1"/>
  <c r="U175" i="4" a="1"/>
  <c r="T177" i="1" s="1" a="1"/>
  <c r="H182" i="4"/>
  <c r="I182" i="4" s="1"/>
  <c r="J182" i="4" s="1" a="1"/>
  <c r="K181" i="4" a="1"/>
  <c r="J183" i="1" s="1" a="1"/>
  <c r="R177" i="1" a="1"/>
  <c r="AM185" i="1" a="1"/>
  <c r="AH185" i="1" a="1"/>
  <c r="AL185" i="4"/>
  <c r="AM185" i="4" s="1"/>
  <c r="AN185" i="4" s="1" a="1"/>
  <c r="AO184" i="4" a="1"/>
  <c r="AN186" i="1" s="1" a="1"/>
  <c r="C186" i="4"/>
  <c r="D186" i="4" s="1"/>
  <c r="E186" i="4" s="1" a="1"/>
  <c r="F185" i="4" a="1"/>
  <c r="E187" i="1" s="1" a="1"/>
  <c r="F184" i="4" a="1"/>
  <c r="E186" i="1" s="1" a="1"/>
  <c r="P185" i="4" a="1"/>
  <c r="O187" i="1" s="1" a="1"/>
  <c r="AL187" i="1" l="1" a="1"/>
  <c r="AM187" i="1" a="1"/>
  <c r="AQ188" i="1" a="1"/>
  <c r="AH186" i="1" a="1"/>
  <c r="M189" i="1" a="1"/>
  <c r="AG186" i="1" a="1"/>
  <c r="AC187" i="1" a="1"/>
  <c r="D188" i="1" a="1"/>
  <c r="AB187" i="1" a="1"/>
  <c r="AR188" i="1" a="1"/>
  <c r="N189" i="1" a="1"/>
  <c r="C188" i="1" a="1"/>
  <c r="W185" i="1" a="1"/>
  <c r="N188" i="1" a="1"/>
  <c r="R178" i="1" a="1"/>
  <c r="AV187" i="4"/>
  <c r="AW187" i="4" s="1"/>
  <c r="AX187" i="4" s="1" a="1"/>
  <c r="AY186" i="4" a="1"/>
  <c r="AX188" i="1" s="1" a="1"/>
  <c r="C187" i="4"/>
  <c r="D187" i="4" s="1"/>
  <c r="E187" i="4" s="1" a="1"/>
  <c r="F186" i="4" a="1"/>
  <c r="E188" i="1" s="1" a="1"/>
  <c r="AB186" i="4"/>
  <c r="AC186" i="4" s="1"/>
  <c r="AD186" i="4" s="1" a="1"/>
  <c r="AE185" i="4" a="1"/>
  <c r="AD187" i="1" s="1" a="1"/>
  <c r="AR186" i="4"/>
  <c r="AS186" i="4" s="1" a="1"/>
  <c r="AQ187" i="4" s="1"/>
  <c r="AR187" i="4" s="1"/>
  <c r="AS187" i="4" s="1" a="1"/>
  <c r="I184" i="1" a="1"/>
  <c r="AL186" i="4"/>
  <c r="AM186" i="4" s="1"/>
  <c r="AN186" i="4" s="1" a="1"/>
  <c r="AO185" i="4" a="1"/>
  <c r="AN187" i="1" s="1" a="1"/>
  <c r="C187" i="1" a="1"/>
  <c r="W184" i="4"/>
  <c r="X184" i="4" s="1"/>
  <c r="Y184" i="4" s="1" a="1"/>
  <c r="Z183" i="4" a="1"/>
  <c r="Y185" i="1" s="1" a="1"/>
  <c r="D187" i="1" a="1"/>
  <c r="H183" i="4"/>
  <c r="I183" i="4" s="1"/>
  <c r="J183" i="4" s="1" a="1"/>
  <c r="K182" i="4" a="1"/>
  <c r="J184" i="1" s="1" a="1"/>
  <c r="R177" i="4"/>
  <c r="S177" i="4" s="1"/>
  <c r="T177" i="4" s="1" a="1"/>
  <c r="U176" i="4" a="1"/>
  <c r="T178" i="1" s="1" a="1"/>
  <c r="M188" i="4"/>
  <c r="N188" i="4" s="1"/>
  <c r="O188" i="4" s="1" a="1"/>
  <c r="P187" i="4" a="1"/>
  <c r="O189" i="1" s="1" a="1"/>
  <c r="S178" i="1" a="1"/>
  <c r="AY185" i="4" a="1"/>
  <c r="AX187" i="1" s="1" a="1"/>
  <c r="M188" i="1" a="1"/>
  <c r="H184" i="1" a="1"/>
  <c r="X185" i="1" a="1"/>
  <c r="AH184" i="4"/>
  <c r="AI184" i="4" s="1" a="1"/>
  <c r="AG185" i="4" s="1"/>
  <c r="AH185" i="4" s="1"/>
  <c r="AI185" i="4" s="1" a="1"/>
  <c r="AB188" i="1" l="1" a="1"/>
  <c r="M190" i="1" a="1"/>
  <c r="AM188" i="1" a="1"/>
  <c r="D189" i="1" a="1"/>
  <c r="AC188" i="1" a="1"/>
  <c r="C189" i="1" a="1"/>
  <c r="AV189" i="1" a="1"/>
  <c r="AW188" i="1" a="1"/>
  <c r="AW189" i="1" a="1"/>
  <c r="W186" i="1" a="1"/>
  <c r="AV188" i="1" a="1"/>
  <c r="I185" i="1" a="1"/>
  <c r="X186" i="1" a="1"/>
  <c r="N190" i="1" a="1"/>
  <c r="AQ188" i="4"/>
  <c r="AR188" i="4" s="1"/>
  <c r="AS188" i="4" s="1" a="1"/>
  <c r="AT187" i="4" a="1"/>
  <c r="AS189" i="1" s="1" a="1"/>
  <c r="AG186" i="4"/>
  <c r="AJ185" i="4" a="1"/>
  <c r="AI187" i="1" s="1" a="1"/>
  <c r="C188" i="4"/>
  <c r="F187" i="4" a="1"/>
  <c r="E189" i="1" s="1" a="1"/>
  <c r="M189" i="4"/>
  <c r="N189" i="4" s="1"/>
  <c r="O189" i="4" s="1" a="1"/>
  <c r="P188" i="4" a="1"/>
  <c r="O190" i="1" s="1" a="1"/>
  <c r="AL188" i="1" a="1"/>
  <c r="R179" i="1" a="1"/>
  <c r="S179" i="1" a="1"/>
  <c r="AL187" i="4"/>
  <c r="AM187" i="4" s="1"/>
  <c r="AN187" i="4" s="1" a="1"/>
  <c r="AO186" i="4" a="1"/>
  <c r="AN188" i="1" s="1" a="1"/>
  <c r="H184" i="4"/>
  <c r="K183" i="4" a="1"/>
  <c r="J185" i="1" s="1" a="1"/>
  <c r="AB187" i="4"/>
  <c r="AC187" i="4" s="1"/>
  <c r="AD187" i="4" s="1" a="1"/>
  <c r="AE186" i="4" a="1"/>
  <c r="AD188" i="1" s="1" a="1"/>
  <c r="R178" i="4"/>
  <c r="S178" i="4" s="1"/>
  <c r="T178" i="4" s="1" a="1"/>
  <c r="U177" i="4" a="1"/>
  <c r="T179" i="1" s="1" a="1"/>
  <c r="AJ184" i="4" a="1"/>
  <c r="AI186" i="1" s="1" a="1"/>
  <c r="H185" i="1" a="1"/>
  <c r="AT186" i="4" a="1"/>
  <c r="AS188" i="1" s="1" a="1"/>
  <c r="W185" i="4"/>
  <c r="X185" i="4" s="1"/>
  <c r="Y185" i="4" s="1" a="1"/>
  <c r="Z184" i="4" a="1"/>
  <c r="Y186" i="1" s="1" a="1"/>
  <c r="AV188" i="4"/>
  <c r="AW188" i="4" s="1"/>
  <c r="AX188" i="4" s="1" a="1"/>
  <c r="AY187" i="4" a="1"/>
  <c r="AX189" i="1" s="1" a="1"/>
  <c r="M191" i="1" l="1" a="1"/>
  <c r="AR189" i="1" a="1"/>
  <c r="AQ190" i="1" a="1"/>
  <c r="AQ189" i="1" a="1"/>
  <c r="R180" i="1" a="1"/>
  <c r="AR190" i="1" a="1"/>
  <c r="AG187" i="1" a="1"/>
  <c r="AH187" i="1" a="1"/>
  <c r="AL189" i="1" a="1"/>
  <c r="AV190" i="1" a="1"/>
  <c r="H186" i="1" a="1"/>
  <c r="AH188" i="1" a="1"/>
  <c r="AM189" i="1" a="1"/>
  <c r="I186" i="1" a="1"/>
  <c r="AG188" i="1" a="1"/>
  <c r="C190" i="1" a="1"/>
  <c r="AW190" i="1" a="1"/>
  <c r="D190" i="1" a="1"/>
  <c r="W186" i="4"/>
  <c r="X186" i="4" s="1"/>
  <c r="Y186" i="4" s="1" a="1"/>
  <c r="Z185" i="4" a="1"/>
  <c r="Y187" i="1" s="1" a="1"/>
  <c r="I184" i="4"/>
  <c r="J184" i="4" s="1" a="1"/>
  <c r="H185" i="4" s="1"/>
  <c r="I185" i="4" s="1"/>
  <c r="J185" i="4" s="1" a="1"/>
  <c r="AH186" i="4"/>
  <c r="AI186" i="4" s="1" a="1"/>
  <c r="AG187" i="4" s="1"/>
  <c r="AL188" i="4"/>
  <c r="AM188" i="4" s="1"/>
  <c r="AN188" i="4" s="1" a="1"/>
  <c r="AO187" i="4" a="1"/>
  <c r="AN189" i="1" s="1" a="1"/>
  <c r="S180" i="1" a="1"/>
  <c r="R179" i="4"/>
  <c r="U178" i="4" a="1"/>
  <c r="T180" i="1" s="1" a="1"/>
  <c r="N191" i="1" a="1"/>
  <c r="AB188" i="4"/>
  <c r="AC188" i="4" s="1"/>
  <c r="AD188" i="4" s="1" a="1"/>
  <c r="AE187" i="4" a="1"/>
  <c r="AD189" i="1" s="1" a="1"/>
  <c r="D188" i="4"/>
  <c r="E188" i="4" s="1" a="1"/>
  <c r="C189" i="4" s="1"/>
  <c r="D189" i="4" s="1"/>
  <c r="E189" i="4" s="1" a="1"/>
  <c r="AV189" i="4"/>
  <c r="AW189" i="4" s="1"/>
  <c r="AX189" i="4" s="1" a="1"/>
  <c r="AY188" i="4" a="1"/>
  <c r="AX190" i="1" s="1" a="1"/>
  <c r="AC189" i="1" a="1"/>
  <c r="W187" i="1" a="1"/>
  <c r="AB189" i="1" a="1"/>
  <c r="X187" i="1" a="1"/>
  <c r="M190" i="4"/>
  <c r="N190" i="4" s="1"/>
  <c r="O190" i="4" s="1" a="1"/>
  <c r="P189" i="4" a="1"/>
  <c r="O191" i="1" s="1" a="1"/>
  <c r="AQ189" i="4"/>
  <c r="AR189" i="4" s="1"/>
  <c r="AS189" i="4" s="1" a="1"/>
  <c r="AT188" i="4" a="1"/>
  <c r="AS190" i="1" s="1" a="1"/>
  <c r="AM190" i="1" l="1" a="1"/>
  <c r="AW191" i="1" a="1"/>
  <c r="AV191" i="1" a="1"/>
  <c r="AQ191" i="1" a="1"/>
  <c r="M192" i="1" a="1"/>
  <c r="N192" i="1" a="1"/>
  <c r="C190" i="4"/>
  <c r="D190" i="4" s="1"/>
  <c r="E190" i="4" s="1" a="1"/>
  <c r="F189" i="4" a="1"/>
  <c r="E191" i="1" s="1" a="1"/>
  <c r="AH187" i="4"/>
  <c r="AI187" i="4" s="1" a="1"/>
  <c r="AG188" i="4" s="1"/>
  <c r="AH188" i="4" s="1"/>
  <c r="AI188" i="4" s="1" a="1"/>
  <c r="S181" i="1" a="1"/>
  <c r="S179" i="4"/>
  <c r="T179" i="4" s="1" a="1"/>
  <c r="AL190" i="1" a="1"/>
  <c r="AV190" i="4"/>
  <c r="AW190" i="4" s="1"/>
  <c r="AX190" i="4" s="1" a="1"/>
  <c r="AY189" i="4" a="1"/>
  <c r="AX191" i="1" s="1" a="1"/>
  <c r="AL189" i="4"/>
  <c r="AM189" i="4" s="1"/>
  <c r="AN189" i="4" s="1" a="1"/>
  <c r="AO188" i="4" a="1"/>
  <c r="AN190" i="1" s="1" a="1"/>
  <c r="AR191" i="1" a="1"/>
  <c r="AJ186" i="4" a="1"/>
  <c r="AI188" i="1" s="1" a="1"/>
  <c r="F188" i="4" a="1"/>
  <c r="E190" i="1" s="1" a="1"/>
  <c r="AC190" i="1" a="1"/>
  <c r="H186" i="4"/>
  <c r="I186" i="4" s="1"/>
  <c r="J186" i="4" s="1" a="1"/>
  <c r="K185" i="4" a="1"/>
  <c r="J187" i="1" s="1" a="1"/>
  <c r="AQ190" i="4"/>
  <c r="AR190" i="4" s="1"/>
  <c r="AS190" i="4" s="1" a="1"/>
  <c r="AT189" i="4" a="1"/>
  <c r="AS191" i="1" s="1" a="1"/>
  <c r="AB190" i="1" a="1"/>
  <c r="K184" i="4" a="1"/>
  <c r="J186" i="1" s="1" a="1"/>
  <c r="W188" i="1" a="1"/>
  <c r="AB189" i="4"/>
  <c r="AC189" i="4" s="1"/>
  <c r="AD189" i="4" s="1" a="1"/>
  <c r="AE188" i="4" a="1"/>
  <c r="AD190" i="1" s="1" a="1"/>
  <c r="X188" i="1" a="1"/>
  <c r="M191" i="4"/>
  <c r="N191" i="4" s="1"/>
  <c r="O191" i="4" s="1" a="1"/>
  <c r="P190" i="4" a="1"/>
  <c r="O192" i="1" s="1" a="1"/>
  <c r="R181" i="1" a="1"/>
  <c r="W187" i="4"/>
  <c r="X187" i="4" s="1"/>
  <c r="Y187" i="4" s="1" a="1"/>
  <c r="Z186" i="4" a="1"/>
  <c r="Y188" i="1" s="1" a="1"/>
  <c r="C191" i="1" l="1" a="1"/>
  <c r="AH189" i="1" a="1"/>
  <c r="D191" i="1" a="1"/>
  <c r="D192" i="1" a="1"/>
  <c r="AC191" i="1" a="1"/>
  <c r="AB191" i="1" a="1"/>
  <c r="AR192" i="1" a="1"/>
  <c r="X189" i="1" a="1"/>
  <c r="M193" i="1" a="1"/>
  <c r="C192" i="1" a="1"/>
  <c r="AG189" i="1" a="1"/>
  <c r="I187" i="1" a="1"/>
  <c r="W189" i="1" a="1"/>
  <c r="H187" i="1" a="1"/>
  <c r="AM191" i="1" a="1"/>
  <c r="AL191" i="1" a="1"/>
  <c r="N193" i="1" a="1"/>
  <c r="AQ192" i="1" a="1"/>
  <c r="AG189" i="4"/>
  <c r="AH189" i="4" s="1"/>
  <c r="AI189" i="4" s="1" a="1"/>
  <c r="AJ188" i="4" a="1"/>
  <c r="AI190" i="1" s="1" a="1"/>
  <c r="W188" i="4"/>
  <c r="X188" i="4" s="1"/>
  <c r="Y188" i="4" s="1" a="1"/>
  <c r="Z187" i="4" a="1"/>
  <c r="Y189" i="1" s="1" a="1"/>
  <c r="H187" i="4"/>
  <c r="K186" i="4" a="1"/>
  <c r="J188" i="1" s="1" a="1"/>
  <c r="U179" i="4" a="1"/>
  <c r="T181" i="1" s="1" a="1"/>
  <c r="AQ191" i="4"/>
  <c r="AR191" i="4" s="1"/>
  <c r="AS191" i="4" s="1" a="1"/>
  <c r="AT190" i="4" a="1"/>
  <c r="AS192" i="1" s="1" a="1"/>
  <c r="AL190" i="4"/>
  <c r="AO189" i="4" a="1"/>
  <c r="AN191" i="1" s="1" a="1"/>
  <c r="H188" i="1" a="1"/>
  <c r="AV192" i="1" a="1"/>
  <c r="AV191" i="4"/>
  <c r="AW191" i="4" s="1"/>
  <c r="AX191" i="4" s="1" a="1"/>
  <c r="AY190" i="4" a="1"/>
  <c r="AX192" i="1" s="1" a="1"/>
  <c r="R180" i="4"/>
  <c r="S180" i="4" s="1"/>
  <c r="T180" i="4" s="1" a="1"/>
  <c r="AB190" i="4"/>
  <c r="AC190" i="4" s="1"/>
  <c r="AD190" i="4" s="1" a="1"/>
  <c r="AE189" i="4" a="1"/>
  <c r="AD191" i="1" s="1" a="1"/>
  <c r="AJ187" i="4" a="1"/>
  <c r="AI189" i="1" s="1" a="1"/>
  <c r="M192" i="4"/>
  <c r="N192" i="4" s="1"/>
  <c r="O192" i="4" s="1" a="1"/>
  <c r="P191" i="4" a="1"/>
  <c r="O193" i="1" s="1" a="1"/>
  <c r="I188" i="1" a="1"/>
  <c r="AW192" i="1" a="1"/>
  <c r="C191" i="4"/>
  <c r="F190" i="4" a="1"/>
  <c r="E192" i="1" s="1" a="1"/>
  <c r="N194" i="1" l="1" a="1"/>
  <c r="I189" i="1" a="1"/>
  <c r="AM192" i="1" a="1"/>
  <c r="AV193" i="1" a="1"/>
  <c r="AW193" i="1" a="1"/>
  <c r="AR193" i="1" a="1"/>
  <c r="AC192" i="1" a="1"/>
  <c r="AL192" i="1" a="1"/>
  <c r="AG190" i="1" a="1"/>
  <c r="AH191" i="1" a="1"/>
  <c r="AG191" i="1" a="1"/>
  <c r="AQ193" i="1" a="1"/>
  <c r="H189" i="1" a="1"/>
  <c r="AH190" i="1" a="1"/>
  <c r="AB192" i="1" a="1"/>
  <c r="W190" i="1" a="1"/>
  <c r="M194" i="1" a="1"/>
  <c r="X190" i="1" a="1"/>
  <c r="AV192" i="4"/>
  <c r="AW192" i="4" s="1"/>
  <c r="AX192" i="4" s="1" a="1"/>
  <c r="AY191" i="4" a="1"/>
  <c r="AX193" i="1" s="1" a="1"/>
  <c r="W189" i="4"/>
  <c r="X189" i="4" s="1"/>
  <c r="Y189" i="4" s="1" a="1"/>
  <c r="Z188" i="4" a="1"/>
  <c r="Y190" i="1" s="1" a="1"/>
  <c r="AM190" i="4"/>
  <c r="AN190" i="4" s="1" a="1"/>
  <c r="AL191" i="4" s="1"/>
  <c r="AQ192" i="4"/>
  <c r="AR192" i="4" s="1"/>
  <c r="AS192" i="4" s="1" a="1"/>
  <c r="AT191" i="4" a="1"/>
  <c r="AS193" i="1" s="1" a="1"/>
  <c r="D191" i="4"/>
  <c r="E191" i="4" s="1" a="1"/>
  <c r="C192" i="4" s="1"/>
  <c r="D192" i="4" s="1"/>
  <c r="E192" i="4" s="1" a="1"/>
  <c r="I187" i="4"/>
  <c r="J187" i="4" s="1" a="1"/>
  <c r="H188" i="4" s="1"/>
  <c r="I188" i="4" s="1"/>
  <c r="J188" i="4" s="1" a="1"/>
  <c r="M193" i="4"/>
  <c r="N193" i="4" s="1"/>
  <c r="O193" i="4" s="1" a="1"/>
  <c r="P192" i="4" a="1"/>
  <c r="O194" i="1" s="1" a="1"/>
  <c r="C193" i="1" a="1"/>
  <c r="AB191" i="4"/>
  <c r="AC191" i="4" s="1"/>
  <c r="AD191" i="4" s="1" a="1"/>
  <c r="AE190" i="4" a="1"/>
  <c r="AD192" i="1" s="1" a="1"/>
  <c r="R182" i="1" a="1"/>
  <c r="D193" i="1" a="1"/>
  <c r="R181" i="4"/>
  <c r="S181" i="4" s="1"/>
  <c r="T181" i="4" s="1" a="1"/>
  <c r="U180" i="4" a="1"/>
  <c r="T182" i="1" s="1" a="1"/>
  <c r="S182" i="1" a="1"/>
  <c r="AG190" i="4"/>
  <c r="AH190" i="4" s="1"/>
  <c r="AI190" i="4" s="1" a="1"/>
  <c r="AJ189" i="4" a="1"/>
  <c r="AI191" i="1" s="1" a="1"/>
  <c r="N195" i="1" l="1" a="1"/>
  <c r="X191" i="1" a="1"/>
  <c r="W191" i="1" a="1"/>
  <c r="AW194" i="1" a="1"/>
  <c r="M195" i="1" a="1"/>
  <c r="AH192" i="1" a="1"/>
  <c r="AV194" i="1" a="1"/>
  <c r="AC193" i="1" a="1"/>
  <c r="AG192" i="1" a="1"/>
  <c r="AB193" i="1" a="1"/>
  <c r="C193" i="4"/>
  <c r="D193" i="4" s="1"/>
  <c r="E193" i="4" s="1" a="1"/>
  <c r="F192" i="4" a="1"/>
  <c r="E194" i="1" s="1" a="1"/>
  <c r="AQ193" i="4"/>
  <c r="AR193" i="4" s="1"/>
  <c r="AS193" i="4" s="1" a="1"/>
  <c r="AT192" i="4" a="1"/>
  <c r="AS194" i="1" s="1" a="1"/>
  <c r="AM191" i="4"/>
  <c r="AN191" i="4" s="1" a="1"/>
  <c r="AL192" i="4" s="1"/>
  <c r="AM192" i="4" s="1"/>
  <c r="AN192" i="4" s="1" a="1"/>
  <c r="AO190" i="4" a="1"/>
  <c r="AN192" i="1" s="1" a="1"/>
  <c r="K187" i="4" a="1"/>
  <c r="J189" i="1" s="1" a="1"/>
  <c r="R183" i="1" a="1"/>
  <c r="R182" i="4"/>
  <c r="U181" i="4" a="1"/>
  <c r="T183" i="1" s="1" a="1"/>
  <c r="AQ194" i="1" a="1"/>
  <c r="AB192" i="4"/>
  <c r="AC192" i="4" s="1"/>
  <c r="AD192" i="4" s="1" a="1"/>
  <c r="AE191" i="4" a="1"/>
  <c r="AD193" i="1" s="1" a="1"/>
  <c r="W190" i="4"/>
  <c r="X190" i="4" s="1"/>
  <c r="Y190" i="4" s="1" a="1"/>
  <c r="Z189" i="4" a="1"/>
  <c r="Y191" i="1" s="1" a="1"/>
  <c r="AG191" i="4"/>
  <c r="AH191" i="4" s="1"/>
  <c r="AI191" i="4" s="1" a="1"/>
  <c r="AJ190" i="4" a="1"/>
  <c r="AI192" i="1" s="1" a="1"/>
  <c r="F191" i="4" a="1"/>
  <c r="E193" i="1" s="1" a="1"/>
  <c r="AR194" i="1" a="1"/>
  <c r="M194" i="4"/>
  <c r="N194" i="4" s="1"/>
  <c r="O194" i="4" s="1" a="1"/>
  <c r="P193" i="4" a="1"/>
  <c r="O195" i="1" s="1" a="1"/>
  <c r="H189" i="4"/>
  <c r="I189" i="4" s="1"/>
  <c r="J189" i="4" s="1" a="1"/>
  <c r="K188" i="4" a="1"/>
  <c r="J190" i="1" s="1" a="1"/>
  <c r="S183" i="1" a="1"/>
  <c r="AV193" i="4"/>
  <c r="AY192" i="4" a="1"/>
  <c r="AX194" i="1" s="1" a="1"/>
  <c r="AW195" i="1" l="1" a="1"/>
  <c r="AR195" i="1" a="1"/>
  <c r="AH193" i="1" a="1"/>
  <c r="AC194" i="1" a="1"/>
  <c r="N196" i="1" a="1"/>
  <c r="D194" i="1" a="1"/>
  <c r="C195" i="1" a="1"/>
  <c r="S184" i="1" a="1"/>
  <c r="R184" i="1" a="1"/>
  <c r="D195" i="1" a="1"/>
  <c r="AQ195" i="1" a="1"/>
  <c r="AV195" i="1" a="1"/>
  <c r="AB194" i="1" a="1"/>
  <c r="C194" i="1" a="1"/>
  <c r="AM193" i="1" a="1"/>
  <c r="M196" i="1" a="1"/>
  <c r="AG193" i="1" a="1"/>
  <c r="H190" i="1" a="1"/>
  <c r="W191" i="4"/>
  <c r="X191" i="4" s="1"/>
  <c r="Y191" i="4" s="1" a="1"/>
  <c r="Z190" i="4" a="1"/>
  <c r="Y192" i="1" s="1" a="1"/>
  <c r="AO191" i="4" a="1"/>
  <c r="AN193" i="1" s="1" a="1"/>
  <c r="AB193" i="4"/>
  <c r="AC193" i="4" s="1"/>
  <c r="AD193" i="4" s="1" a="1"/>
  <c r="AE192" i="4" a="1"/>
  <c r="AD194" i="1" s="1" a="1"/>
  <c r="S182" i="4"/>
  <c r="T182" i="4" s="1" a="1"/>
  <c r="AW193" i="4"/>
  <c r="AX193" i="4" s="1" a="1"/>
  <c r="AV194" i="4" s="1"/>
  <c r="AW194" i="4" s="1"/>
  <c r="AX194" i="4" s="1" a="1"/>
  <c r="I190" i="1" a="1"/>
  <c r="AL193" i="4"/>
  <c r="AO192" i="4" a="1"/>
  <c r="AN194" i="1" s="1" a="1"/>
  <c r="AQ194" i="4"/>
  <c r="AT193" i="4" a="1"/>
  <c r="AS195" i="1" s="1" a="1"/>
  <c r="H191" i="1" a="1"/>
  <c r="X192" i="1" a="1"/>
  <c r="H190" i="4"/>
  <c r="I190" i="4" s="1"/>
  <c r="J190" i="4" s="1" a="1"/>
  <c r="K189" i="4" a="1"/>
  <c r="J191" i="1" s="1" a="1"/>
  <c r="AG192" i="4"/>
  <c r="AH192" i="4" s="1"/>
  <c r="AI192" i="4" s="1" a="1"/>
  <c r="AJ191" i="4" a="1"/>
  <c r="AI193" i="1" s="1" a="1"/>
  <c r="I191" i="1" a="1"/>
  <c r="W192" i="1" a="1"/>
  <c r="AL193" i="1" a="1"/>
  <c r="M195" i="4"/>
  <c r="N195" i="4" s="1"/>
  <c r="O195" i="4" s="1" a="1"/>
  <c r="P194" i="4" a="1"/>
  <c r="O196" i="1" s="1" a="1"/>
  <c r="C194" i="4"/>
  <c r="D194" i="4" s="1"/>
  <c r="E194" i="4" s="1" a="1"/>
  <c r="F193" i="4" a="1"/>
  <c r="E195" i="1" s="1" a="1"/>
  <c r="X193" i="1" l="1" a="1"/>
  <c r="AM194" i="1" a="1"/>
  <c r="AL194" i="1" a="1"/>
  <c r="AM195" i="1" a="1"/>
  <c r="AR196" i="1" a="1"/>
  <c r="W193" i="1" a="1"/>
  <c r="AH194" i="1" a="1"/>
  <c r="M197" i="1" a="1"/>
  <c r="AL195" i="1" a="1"/>
  <c r="C196" i="1" a="1"/>
  <c r="AQ196" i="1" a="1"/>
  <c r="N197" i="1" a="1"/>
  <c r="AC195" i="1" a="1"/>
  <c r="U182" i="4" a="1"/>
  <c r="T184" i="1" s="1" a="1"/>
  <c r="C195" i="4"/>
  <c r="F194" i="4" a="1"/>
  <c r="E196" i="1" s="1" a="1"/>
  <c r="AB194" i="4"/>
  <c r="AC194" i="4" s="1"/>
  <c r="AD194" i="4" s="1" a="1"/>
  <c r="AE193" i="4" a="1"/>
  <c r="AD195" i="1" s="1" a="1"/>
  <c r="H191" i="4"/>
  <c r="I191" i="4" s="1"/>
  <c r="J191" i="4" s="1" a="1"/>
  <c r="K190" i="4" a="1"/>
  <c r="J192" i="1" s="1" a="1"/>
  <c r="AB195" i="1" a="1"/>
  <c r="AR194" i="4"/>
  <c r="AS194" i="4" s="1" a="1"/>
  <c r="AQ195" i="4" s="1"/>
  <c r="AR195" i="4" s="1"/>
  <c r="AS195" i="4" s="1" a="1"/>
  <c r="AG193" i="4"/>
  <c r="AJ192" i="4" a="1"/>
  <c r="AI194" i="1" s="1" a="1"/>
  <c r="AV195" i="4"/>
  <c r="AW195" i="4" s="1"/>
  <c r="AX195" i="4" s="1" a="1"/>
  <c r="AY194" i="4" a="1"/>
  <c r="AX196" i="1" s="1" a="1"/>
  <c r="H192" i="1" a="1"/>
  <c r="AY193" i="4" a="1"/>
  <c r="AX195" i="1" s="1" a="1"/>
  <c r="M196" i="4"/>
  <c r="N196" i="4" s="1"/>
  <c r="O196" i="4" s="1" a="1"/>
  <c r="P195" i="4" a="1"/>
  <c r="O197" i="1" s="1" a="1"/>
  <c r="D196" i="1" a="1"/>
  <c r="I192" i="1" a="1"/>
  <c r="R183" i="4"/>
  <c r="S183" i="4" s="1"/>
  <c r="T183" i="4" s="1" a="1"/>
  <c r="AG194" i="1" a="1"/>
  <c r="AM193" i="4"/>
  <c r="AN193" i="4" s="1" a="1"/>
  <c r="AL194" i="4" s="1"/>
  <c r="AM194" i="4" s="1"/>
  <c r="AN194" i="4" s="1" a="1"/>
  <c r="W192" i="4"/>
  <c r="X192" i="4" s="1"/>
  <c r="Y192" i="4" s="1" a="1"/>
  <c r="Z191" i="4" a="1"/>
  <c r="Y193" i="1" s="1" a="1"/>
  <c r="AW196" i="1" l="1" a="1"/>
  <c r="X194" i="1" a="1"/>
  <c r="N198" i="1" a="1"/>
  <c r="AH195" i="1" a="1"/>
  <c r="AG195" i="1" a="1"/>
  <c r="W194" i="1" a="1"/>
  <c r="AQ196" i="4"/>
  <c r="AR196" i="4" s="1"/>
  <c r="AS196" i="4" s="1" a="1"/>
  <c r="AT195" i="4" a="1"/>
  <c r="AS197" i="1" s="1" a="1"/>
  <c r="M197" i="4"/>
  <c r="P196" i="4" a="1"/>
  <c r="O198" i="1" s="1" a="1"/>
  <c r="I193" i="1" a="1"/>
  <c r="AV196" i="1" a="1"/>
  <c r="H193" i="1" a="1"/>
  <c r="H192" i="4"/>
  <c r="I192" i="4" s="1"/>
  <c r="J192" i="4" s="1" a="1"/>
  <c r="K191" i="4" a="1"/>
  <c r="J193" i="1" s="1" a="1"/>
  <c r="AC196" i="1" a="1"/>
  <c r="AV197" i="1" a="1"/>
  <c r="AB196" i="1" a="1"/>
  <c r="AW197" i="1" a="1"/>
  <c r="AB195" i="4"/>
  <c r="AE194" i="4" a="1"/>
  <c r="AD196" i="1" s="1" a="1"/>
  <c r="AO193" i="4" a="1"/>
  <c r="AN195" i="1" s="1" a="1"/>
  <c r="AV196" i="4"/>
  <c r="AY195" i="4" a="1"/>
  <c r="AX197" i="1" s="1" a="1"/>
  <c r="C197" i="1" a="1"/>
  <c r="W193" i="4"/>
  <c r="X193" i="4" s="1"/>
  <c r="Y193" i="4" s="1" a="1"/>
  <c r="Z192" i="4" a="1"/>
  <c r="Y194" i="1" s="1" a="1"/>
  <c r="D197" i="1" a="1"/>
  <c r="R184" i="4"/>
  <c r="S184" i="4" s="1"/>
  <c r="T184" i="4" s="1" a="1"/>
  <c r="U183" i="4" a="1"/>
  <c r="T185" i="1" s="1" a="1"/>
  <c r="D195" i="4"/>
  <c r="E195" i="4" s="1" a="1"/>
  <c r="C196" i="4" s="1"/>
  <c r="D196" i="4" s="1"/>
  <c r="E196" i="4" s="1" a="1"/>
  <c r="AH193" i="4"/>
  <c r="AI193" i="4" s="1" a="1"/>
  <c r="AG194" i="4" s="1"/>
  <c r="AH194" i="4" s="1"/>
  <c r="AI194" i="4" s="1" a="1"/>
  <c r="S185" i="1" a="1"/>
  <c r="AL195" i="4"/>
  <c r="AM195" i="4" s="1"/>
  <c r="AN195" i="4" s="1" a="1"/>
  <c r="AO194" i="4" a="1"/>
  <c r="AN196" i="1" s="1" a="1"/>
  <c r="M198" i="1" a="1"/>
  <c r="R185" i="1" a="1"/>
  <c r="AT194" i="4" a="1"/>
  <c r="AS196" i="1" s="1" a="1"/>
  <c r="AM196" i="1" l="1" a="1"/>
  <c r="AL196" i="1" a="1"/>
  <c r="AQ198" i="1" a="1"/>
  <c r="AR198" i="1" a="1"/>
  <c r="AB197" i="1" a="1"/>
  <c r="AC197" i="1" a="1"/>
  <c r="M199" i="1" a="1"/>
  <c r="N199" i="1" a="1"/>
  <c r="AQ197" i="1" a="1"/>
  <c r="X195" i="1" a="1"/>
  <c r="AR197" i="1" a="1"/>
  <c r="W195" i="1" a="1"/>
  <c r="AJ193" i="4" a="1"/>
  <c r="AI195" i="1" s="1" a="1"/>
  <c r="AW196" i="4"/>
  <c r="AX196" i="4" s="1" a="1"/>
  <c r="AV197" i="4" s="1"/>
  <c r="AW197" i="4" s="1"/>
  <c r="AX197" i="4" s="1" a="1"/>
  <c r="S186" i="1" a="1"/>
  <c r="AL197" i="1" a="1"/>
  <c r="W194" i="4"/>
  <c r="X194" i="4" s="1"/>
  <c r="Y194" i="4" s="1" a="1"/>
  <c r="Z193" i="4" a="1"/>
  <c r="Y195" i="1" s="1" a="1"/>
  <c r="H194" i="1" a="1"/>
  <c r="AL196" i="4"/>
  <c r="AM196" i="4" s="1"/>
  <c r="AN196" i="4" s="1" a="1"/>
  <c r="AO195" i="4" a="1"/>
  <c r="AN197" i="1" s="1" a="1"/>
  <c r="AV198" i="1" a="1"/>
  <c r="I194" i="1" a="1"/>
  <c r="R185" i="4"/>
  <c r="S185" i="4" s="1"/>
  <c r="T185" i="4" s="1" a="1"/>
  <c r="U184" i="4" a="1"/>
  <c r="T186" i="1" s="1" a="1"/>
  <c r="AW198" i="1" a="1"/>
  <c r="AG195" i="4"/>
  <c r="AH195" i="4" s="1"/>
  <c r="AI195" i="4" s="1" a="1"/>
  <c r="AJ194" i="4" a="1"/>
  <c r="AI196" i="1" s="1" a="1"/>
  <c r="H193" i="4"/>
  <c r="I193" i="4" s="1"/>
  <c r="J193" i="4" s="1" a="1"/>
  <c r="K192" i="4" a="1"/>
  <c r="J194" i="1" s="1" a="1"/>
  <c r="C197" i="4"/>
  <c r="F196" i="4" a="1"/>
  <c r="E198" i="1" s="1" a="1"/>
  <c r="F195" i="4" a="1"/>
  <c r="E197" i="1" s="1" a="1"/>
  <c r="R186" i="1" a="1"/>
  <c r="N197" i="4"/>
  <c r="O197" i="4" s="1" a="1"/>
  <c r="M198" i="4" s="1"/>
  <c r="N198" i="4" s="1"/>
  <c r="O198" i="4" s="1" a="1"/>
  <c r="AC195" i="4"/>
  <c r="AD195" i="4" s="1" a="1"/>
  <c r="AB196" i="4" s="1"/>
  <c r="AC196" i="4" s="1"/>
  <c r="AD196" i="4" s="1" a="1"/>
  <c r="AM197" i="1" a="1"/>
  <c r="AQ197" i="4"/>
  <c r="AR197" i="4" s="1"/>
  <c r="AS197" i="4" s="1" a="1"/>
  <c r="AT196" i="4" a="1"/>
  <c r="AS198" i="1" s="1" a="1"/>
  <c r="AM198" i="1" l="1" a="1"/>
  <c r="C198" i="1" a="1"/>
  <c r="D198" i="1" a="1"/>
  <c r="D199" i="1" a="1"/>
  <c r="AR199" i="1" a="1"/>
  <c r="R187" i="1" a="1"/>
  <c r="C199" i="1" a="1"/>
  <c r="X196" i="1" a="1"/>
  <c r="AH197" i="1" a="1"/>
  <c r="AG196" i="1" a="1"/>
  <c r="AG197" i="1" a="1"/>
  <c r="S187" i="1" a="1"/>
  <c r="AH196" i="1" a="1"/>
  <c r="W196" i="1" a="1"/>
  <c r="R186" i="4"/>
  <c r="S186" i="4" s="1"/>
  <c r="T186" i="4" s="1" a="1"/>
  <c r="U185" i="4" a="1"/>
  <c r="T187" i="1" s="1" a="1"/>
  <c r="AQ199" i="1" a="1"/>
  <c r="D197" i="4"/>
  <c r="E197" i="4" s="1" a="1"/>
  <c r="C198" i="4" s="1"/>
  <c r="D198" i="4" s="1"/>
  <c r="E198" i="4" s="1" a="1"/>
  <c r="AL198" i="1" a="1"/>
  <c r="AB197" i="4"/>
  <c r="AC197" i="4" s="1"/>
  <c r="AD197" i="4" s="1" a="1"/>
  <c r="AE196" i="4" a="1"/>
  <c r="AD198" i="1" s="1" a="1"/>
  <c r="P198" i="4" a="1"/>
  <c r="O200" i="1" s="1" a="1"/>
  <c r="P197" i="4" a="1"/>
  <c r="O199" i="1" s="1" a="1"/>
  <c r="AG196" i="4"/>
  <c r="AH196" i="4" s="1"/>
  <c r="AI196" i="4" s="1" a="1"/>
  <c r="AJ195" i="4" a="1"/>
  <c r="AI197" i="1" s="1" a="1"/>
  <c r="W195" i="4"/>
  <c r="X195" i="4" s="1"/>
  <c r="Y195" i="4" s="1" a="1"/>
  <c r="Z194" i="4" a="1"/>
  <c r="Y196" i="1" s="1" a="1"/>
  <c r="I195" i="1" a="1"/>
  <c r="H195" i="1" a="1"/>
  <c r="H194" i="4"/>
  <c r="I194" i="4" s="1"/>
  <c r="J194" i="4" s="1" a="1"/>
  <c r="K193" i="4" a="1"/>
  <c r="J195" i="1" s="1" a="1"/>
  <c r="AQ198" i="4"/>
  <c r="AR198" i="4" s="1"/>
  <c r="AS198" i="4" s="1" a="1"/>
  <c r="AT197" i="4" a="1"/>
  <c r="AS199" i="1" s="1" a="1"/>
  <c r="AL197" i="4"/>
  <c r="AM197" i="4" s="1"/>
  <c r="AN197" i="4" s="1" a="1"/>
  <c r="AO196" i="4" a="1"/>
  <c r="AN198" i="1" s="1" a="1"/>
  <c r="AE195" i="4" a="1"/>
  <c r="AD197" i="1" s="1" a="1"/>
  <c r="AV198" i="4"/>
  <c r="AW198" i="4" s="1"/>
  <c r="AX198" i="4" s="1" a="1"/>
  <c r="AY197" i="4" a="1"/>
  <c r="AX199" i="1" s="1" a="1"/>
  <c r="AY196" i="4" a="1"/>
  <c r="AX198" i="1" s="1" a="1"/>
  <c r="N200" i="1" l="1" a="1"/>
  <c r="AB199" i="1" a="1"/>
  <c r="AC199" i="1" a="1"/>
  <c r="M200" i="1" a="1"/>
  <c r="AB198" i="1" a="1"/>
  <c r="AV199" i="1" a="1"/>
  <c r="AW199" i="1" a="1"/>
  <c r="X197" i="1" a="1"/>
  <c r="R188" i="1" a="1"/>
  <c r="AM199" i="1" a="1"/>
  <c r="AR200" i="1" a="1"/>
  <c r="H196" i="1" a="1"/>
  <c r="AL199" i="1" a="1"/>
  <c r="AG198" i="1" a="1"/>
  <c r="S188" i="1" a="1"/>
  <c r="AQ200" i="1" a="1"/>
  <c r="AC198" i="1" a="1"/>
  <c r="AH198" i="1" a="1"/>
  <c r="W197" i="1" a="1"/>
  <c r="AG197" i="4"/>
  <c r="AH197" i="4" s="1"/>
  <c r="AI197" i="4" s="1" a="1"/>
  <c r="AJ196" i="4" a="1"/>
  <c r="AI198" i="1" s="1" a="1"/>
  <c r="AT198" i="4" a="1"/>
  <c r="AS200" i="1" s="1" a="1"/>
  <c r="I196" i="1" a="1"/>
  <c r="AB198" i="4"/>
  <c r="AC198" i="4" s="1"/>
  <c r="AD198" i="4" s="1" a="1"/>
  <c r="AE197" i="4" a="1"/>
  <c r="AD199" i="1" s="1" a="1"/>
  <c r="F198" i="4" a="1"/>
  <c r="E200" i="1" s="1" a="1"/>
  <c r="AW200" i="1" a="1"/>
  <c r="N201" i="1" a="1"/>
  <c r="AV200" i="1" a="1"/>
  <c r="M201" i="1" a="1"/>
  <c r="AY198" i="4" a="1"/>
  <c r="AX200" i="1" s="1" a="1"/>
  <c r="W196" i="4"/>
  <c r="X196" i="4" s="1"/>
  <c r="Y196" i="4" s="1" a="1"/>
  <c r="Z195" i="4" a="1"/>
  <c r="Y197" i="1" s="1" a="1"/>
  <c r="F197" i="4" a="1"/>
  <c r="E199" i="1" s="1" a="1"/>
  <c r="AL198" i="4"/>
  <c r="AM198" i="4" s="1"/>
  <c r="AN198" i="4" s="1" a="1"/>
  <c r="AO197" i="4" a="1"/>
  <c r="AN199" i="1" s="1" a="1"/>
  <c r="H195" i="4"/>
  <c r="I195" i="4" s="1"/>
  <c r="J195" i="4" s="1" a="1"/>
  <c r="K194" i="4" a="1"/>
  <c r="J196" i="1" s="1" a="1"/>
  <c r="R187" i="4"/>
  <c r="S187" i="4" s="1"/>
  <c r="T187" i="4" s="1" a="1"/>
  <c r="U186" i="4" a="1"/>
  <c r="T188" i="1" s="1" a="1"/>
  <c r="G34" i="5"/>
  <c r="G36" i="5"/>
  <c r="G20" i="5"/>
  <c r="G95" i="5"/>
  <c r="G94" i="5"/>
  <c r="G64" i="5"/>
  <c r="G9" i="5"/>
  <c r="G10" i="5"/>
  <c r="G62" i="5"/>
  <c r="G80" i="5"/>
  <c r="G70" i="5"/>
  <c r="G59" i="5"/>
  <c r="G31" i="5"/>
  <c r="G16" i="5"/>
  <c r="G55" i="5"/>
  <c r="G33" i="5"/>
  <c r="G39" i="5"/>
  <c r="G43" i="5"/>
  <c r="G46" i="5"/>
  <c r="G22" i="5"/>
  <c r="G98" i="5"/>
  <c r="G54" i="5"/>
  <c r="G91" i="5"/>
  <c r="G85" i="5"/>
  <c r="G18" i="5"/>
  <c r="G30" i="5"/>
  <c r="G86" i="5"/>
  <c r="G47" i="5"/>
  <c r="G84" i="5"/>
  <c r="G8" i="5"/>
  <c r="G25" i="5"/>
  <c r="G11" i="5"/>
  <c r="G3" i="5"/>
  <c r="G100" i="5"/>
  <c r="G15" i="5"/>
  <c r="G28" i="5"/>
  <c r="G74" i="5"/>
  <c r="G87" i="5"/>
  <c r="G51" i="5"/>
  <c r="G68" i="5"/>
  <c r="G53" i="5"/>
  <c r="G77" i="5"/>
  <c r="G97" i="5"/>
  <c r="G17" i="5"/>
  <c r="G21" i="5"/>
  <c r="G66" i="5"/>
  <c r="G60" i="5"/>
  <c r="G75" i="5"/>
  <c r="G6" i="5"/>
  <c r="G41" i="5"/>
  <c r="G29" i="5"/>
  <c r="G24" i="5"/>
  <c r="G65" i="5"/>
  <c r="G69" i="5"/>
  <c r="G35" i="5"/>
  <c r="G32" i="5"/>
  <c r="G76" i="5"/>
  <c r="G27" i="5"/>
  <c r="G56" i="5"/>
  <c r="G45" i="5"/>
  <c r="G57" i="5"/>
  <c r="G96" i="5"/>
  <c r="G26" i="5"/>
  <c r="G42" i="5"/>
  <c r="G2" i="5"/>
  <c r="G99" i="5"/>
  <c r="G79" i="5"/>
  <c r="G93" i="5"/>
  <c r="G88" i="5"/>
  <c r="G12" i="5"/>
  <c r="G90" i="5"/>
  <c r="G13" i="5"/>
  <c r="G44" i="5"/>
  <c r="G71" i="5"/>
  <c r="G14" i="5"/>
  <c r="G37" i="5"/>
  <c r="G63" i="5"/>
  <c r="G89" i="5"/>
  <c r="G52" i="5"/>
  <c r="G4" i="5"/>
  <c r="G67" i="5"/>
  <c r="G101" i="5"/>
  <c r="G81" i="5"/>
  <c r="G5" i="5"/>
  <c r="G82" i="5"/>
  <c r="G23" i="5"/>
  <c r="G92" i="5"/>
  <c r="G38" i="5"/>
  <c r="G50" i="5"/>
  <c r="G49" i="5"/>
  <c r="G48" i="5"/>
  <c r="G78" i="5"/>
  <c r="G19" i="5"/>
  <c r="G73" i="5"/>
  <c r="G83" i="5"/>
  <c r="G7" i="5"/>
  <c r="G58" i="5"/>
  <c r="G61" i="5"/>
  <c r="G72" i="5"/>
  <c r="G40" i="5"/>
  <c r="H197" i="1" l="1" a="1"/>
  <c r="C200" i="1" a="1"/>
  <c r="I197" i="1" a="1"/>
  <c r="D200" i="1" a="1"/>
  <c r="AQ201" i="1" a="1"/>
  <c r="AV201" i="1" a="1"/>
  <c r="AW201" i="1" a="1"/>
  <c r="AC200" i="1" a="1"/>
  <c r="AG199" i="1" a="1"/>
  <c r="AH199" i="1" a="1"/>
  <c r="R189" i="1" a="1"/>
  <c r="AB200" i="1" a="1"/>
  <c r="H196" i="4"/>
  <c r="I196" i="4" s="1"/>
  <c r="J196" i="4" s="1" a="1"/>
  <c r="K195" i="4" a="1"/>
  <c r="J197" i="1" s="1" a="1"/>
  <c r="AL200" i="1" a="1"/>
  <c r="AG198" i="4"/>
  <c r="AH198" i="4" s="1"/>
  <c r="AI198" i="4" s="1" a="1"/>
  <c r="AJ197" i="4" a="1"/>
  <c r="AI199" i="1" s="1" a="1"/>
  <c r="AM200" i="1" a="1"/>
  <c r="R188" i="4"/>
  <c r="S188" i="4" s="1"/>
  <c r="T188" i="4" s="1" a="1"/>
  <c r="U187" i="4" a="1"/>
  <c r="T189" i="1" s="1" a="1"/>
  <c r="D201" i="1" a="1"/>
  <c r="AO198" i="4" a="1"/>
  <c r="AN200" i="1" s="1" a="1"/>
  <c r="C201" i="1" a="1"/>
  <c r="W198" i="1" a="1"/>
  <c r="S189" i="1" a="1"/>
  <c r="X198" i="1" a="1"/>
  <c r="AE198" i="4" a="1"/>
  <c r="AD200" i="1" s="1" a="1"/>
  <c r="W197" i="4"/>
  <c r="X197" i="4" s="1"/>
  <c r="Y197" i="4" s="1" a="1"/>
  <c r="Z196" i="4" a="1"/>
  <c r="Y198" i="1" s="1" a="1"/>
  <c r="AR201" i="1" a="1"/>
  <c r="E41" i="5"/>
  <c r="N18" i="5"/>
  <c r="M93" i="5"/>
  <c r="E67" i="5"/>
  <c r="N64" i="5"/>
  <c r="M72" i="5"/>
  <c r="M90" i="5"/>
  <c r="M2" i="5"/>
  <c r="E14" i="5"/>
  <c r="E18" i="5"/>
  <c r="E64" i="5"/>
  <c r="N55" i="5"/>
  <c r="E70" i="5"/>
  <c r="E68" i="5"/>
  <c r="M7" i="5"/>
  <c r="N34" i="5"/>
  <c r="E87" i="5"/>
  <c r="N15" i="5"/>
  <c r="N35" i="5"/>
  <c r="E90" i="5"/>
  <c r="M6" i="5"/>
  <c r="M13" i="5"/>
  <c r="E83" i="5"/>
  <c r="N33" i="5"/>
  <c r="N49" i="5"/>
  <c r="N96" i="5"/>
  <c r="E72" i="5"/>
  <c r="N99" i="5"/>
  <c r="E43" i="5"/>
  <c r="E21" i="5"/>
  <c r="E2" i="5"/>
  <c r="E79" i="5"/>
  <c r="M79" i="5"/>
  <c r="M69" i="5"/>
  <c r="M11" i="5"/>
  <c r="M71" i="5"/>
  <c r="N59" i="5"/>
  <c r="N66" i="5"/>
  <c r="N43" i="5"/>
  <c r="M64" i="5"/>
  <c r="N47" i="5"/>
  <c r="N20" i="5"/>
  <c r="E12" i="5"/>
  <c r="E93" i="5"/>
  <c r="N12" i="5"/>
  <c r="N5" i="5"/>
  <c r="M48" i="5"/>
  <c r="E42" i="5"/>
  <c r="N91" i="5"/>
  <c r="E39" i="5"/>
  <c r="M19" i="5"/>
  <c r="N75" i="5"/>
  <c r="N45" i="5"/>
  <c r="M36" i="5"/>
  <c r="M84" i="5"/>
  <c r="E88" i="5"/>
  <c r="E17" i="5"/>
  <c r="E32" i="5"/>
  <c r="N56" i="5"/>
  <c r="M83" i="5"/>
  <c r="E7" i="5"/>
  <c r="E31" i="5"/>
  <c r="M23" i="5"/>
  <c r="N83" i="5"/>
  <c r="E33" i="5"/>
  <c r="N10" i="5"/>
  <c r="N74" i="5"/>
  <c r="M52" i="5"/>
  <c r="N24" i="5"/>
  <c r="M89" i="5"/>
  <c r="M78" i="5"/>
  <c r="M35" i="5"/>
  <c r="E57" i="5"/>
  <c r="E55" i="5"/>
  <c r="N86" i="5"/>
  <c r="M22" i="5"/>
  <c r="E81" i="5"/>
  <c r="M63" i="5"/>
  <c r="M54" i="5"/>
  <c r="M9" i="5"/>
  <c r="N46" i="5"/>
  <c r="E36" i="5"/>
  <c r="M24" i="5"/>
  <c r="N79" i="5"/>
  <c r="E73" i="5"/>
  <c r="M66" i="5"/>
  <c r="N54" i="5"/>
  <c r="E56" i="5"/>
  <c r="N37" i="5"/>
  <c r="E60" i="5"/>
  <c r="N94" i="5"/>
  <c r="N13" i="5"/>
  <c r="E82" i="5"/>
  <c r="M86" i="5"/>
  <c r="N57" i="5"/>
  <c r="N7" i="5"/>
  <c r="M70" i="5"/>
  <c r="M56" i="5"/>
  <c r="E84" i="5"/>
  <c r="M27" i="5"/>
  <c r="M94" i="5"/>
  <c r="N92" i="5"/>
  <c r="M49" i="5"/>
  <c r="E44" i="5"/>
  <c r="E101" i="5"/>
  <c r="N80" i="5"/>
  <c r="M67" i="5"/>
  <c r="M30" i="5"/>
  <c r="E61" i="5"/>
  <c r="M81" i="5"/>
  <c r="E74" i="5"/>
  <c r="N3" i="5"/>
  <c r="E77" i="5"/>
  <c r="N22" i="5"/>
  <c r="E6" i="5"/>
  <c r="M95" i="5"/>
  <c r="M17" i="5"/>
  <c r="M87" i="5"/>
  <c r="M33" i="5"/>
  <c r="M26" i="5"/>
  <c r="M74" i="5"/>
  <c r="N27" i="5"/>
  <c r="M46" i="5"/>
  <c r="E9" i="5"/>
  <c r="N81" i="5"/>
  <c r="M8" i="5"/>
  <c r="N85" i="5"/>
  <c r="N67" i="5"/>
  <c r="N51" i="5"/>
  <c r="N14" i="5"/>
  <c r="N44" i="5"/>
  <c r="E66" i="5"/>
  <c r="E22" i="5"/>
  <c r="N77" i="5"/>
  <c r="N41" i="5"/>
  <c r="N11" i="5"/>
  <c r="E85" i="5"/>
  <c r="N76" i="5"/>
  <c r="M51" i="5"/>
  <c r="N36" i="5"/>
  <c r="E95" i="5"/>
  <c r="M31" i="5"/>
  <c r="E98" i="5"/>
  <c r="M44" i="5"/>
  <c r="M18" i="5"/>
  <c r="E91" i="5"/>
  <c r="M99" i="5"/>
  <c r="E10" i="5"/>
  <c r="E100" i="5"/>
  <c r="E75" i="5"/>
  <c r="M20" i="5"/>
  <c r="E23" i="5"/>
  <c r="N95" i="5"/>
  <c r="E80" i="5"/>
  <c r="N101" i="5"/>
  <c r="N28" i="5"/>
  <c r="E86" i="5"/>
  <c r="N61" i="5"/>
  <c r="N40" i="5"/>
  <c r="M3" i="5"/>
  <c r="N69" i="5"/>
  <c r="N8" i="5"/>
  <c r="M62" i="5"/>
  <c r="E63" i="5"/>
  <c r="N50" i="5"/>
  <c r="M40" i="5"/>
  <c r="N78" i="5"/>
  <c r="E4" i="5"/>
  <c r="E20" i="5"/>
  <c r="M58" i="5"/>
  <c r="E94" i="5"/>
  <c r="N38" i="5"/>
  <c r="N88" i="5"/>
  <c r="N16" i="5"/>
  <c r="M28" i="5"/>
  <c r="M16" i="5"/>
  <c r="N63" i="5"/>
  <c r="E69" i="5"/>
  <c r="M41" i="5"/>
  <c r="E13" i="5"/>
  <c r="M21" i="5"/>
  <c r="E71" i="5"/>
  <c r="N60" i="5"/>
  <c r="M15" i="5"/>
  <c r="M12" i="5"/>
  <c r="N9" i="5"/>
  <c r="E37" i="5"/>
  <c r="N87" i="5"/>
  <c r="N93" i="5"/>
  <c r="N68" i="5"/>
  <c r="N98" i="5"/>
  <c r="E38" i="5"/>
  <c r="E54" i="5"/>
  <c r="N25" i="5"/>
  <c r="M61" i="5"/>
  <c r="N26" i="5"/>
  <c r="E16" i="5"/>
  <c r="E40" i="5"/>
  <c r="N58" i="5"/>
  <c r="E52" i="5"/>
  <c r="M34" i="5"/>
  <c r="E3" i="5"/>
  <c r="M88" i="5"/>
  <c r="M77" i="5"/>
  <c r="M45" i="5"/>
  <c r="M55" i="5"/>
  <c r="N97" i="5"/>
  <c r="N19" i="5"/>
  <c r="N100" i="5"/>
  <c r="M75" i="5"/>
  <c r="E50" i="5"/>
  <c r="E76" i="5"/>
  <c r="N73" i="5"/>
  <c r="N53" i="5"/>
  <c r="E89" i="5"/>
  <c r="E19" i="5"/>
  <c r="E25" i="5"/>
  <c r="N90" i="5"/>
  <c r="E5" i="5"/>
  <c r="M92" i="5"/>
  <c r="N21" i="5"/>
  <c r="M60" i="5"/>
  <c r="N82" i="5"/>
  <c r="M68" i="5"/>
  <c r="M39" i="5"/>
  <c r="E29" i="5"/>
  <c r="E46" i="5"/>
  <c r="N84" i="5"/>
  <c r="E15" i="5"/>
  <c r="M53" i="5"/>
  <c r="M73" i="5"/>
  <c r="M50" i="5"/>
  <c r="N32" i="5"/>
  <c r="E35" i="5"/>
  <c r="M43" i="5"/>
  <c r="E27" i="5"/>
  <c r="E45" i="5"/>
  <c r="M91" i="5"/>
  <c r="M85" i="5"/>
  <c r="M65" i="5"/>
  <c r="M98" i="5"/>
  <c r="M47" i="5"/>
  <c r="N31" i="5"/>
  <c r="M10" i="5"/>
  <c r="E58" i="5"/>
  <c r="E8" i="5"/>
  <c r="E28" i="5"/>
  <c r="E97" i="5"/>
  <c r="N17" i="5"/>
  <c r="M57" i="5"/>
  <c r="E65" i="5"/>
  <c r="E49" i="5"/>
  <c r="M38" i="5"/>
  <c r="N4" i="5"/>
  <c r="E62" i="5"/>
  <c r="N48" i="5"/>
  <c r="M29" i="5"/>
  <c r="N30" i="5"/>
  <c r="E51" i="5"/>
  <c r="E24" i="5"/>
  <c r="E47" i="5"/>
  <c r="E26" i="5"/>
  <c r="E99" i="5"/>
  <c r="E96" i="5"/>
  <c r="N6" i="5"/>
  <c r="E34" i="5"/>
  <c r="M96" i="5"/>
  <c r="E48" i="5"/>
  <c r="M80" i="5"/>
  <c r="E92" i="5"/>
  <c r="E11" i="5"/>
  <c r="N89" i="5"/>
  <c r="M59" i="5"/>
  <c r="N39" i="5"/>
  <c r="M42" i="5"/>
  <c r="M97" i="5"/>
  <c r="N72" i="5"/>
  <c r="M100" i="5"/>
  <c r="N71" i="5"/>
  <c r="N70" i="5"/>
  <c r="M4" i="5"/>
  <c r="M25" i="5"/>
  <c r="M32" i="5"/>
  <c r="M76" i="5"/>
  <c r="N29" i="5"/>
  <c r="M101" i="5"/>
  <c r="N62" i="5"/>
  <c r="N52" i="5"/>
  <c r="E30" i="5"/>
  <c r="M82" i="5"/>
  <c r="N42" i="5"/>
  <c r="M14" i="5"/>
  <c r="E53" i="5"/>
  <c r="N2" i="5"/>
  <c r="N23" i="5"/>
  <c r="M37" i="5"/>
  <c r="N65" i="5"/>
  <c r="E78" i="5"/>
  <c r="E59" i="5"/>
  <c r="M5" i="5"/>
  <c r="AM201" i="1" l="1" a="1"/>
  <c r="AG200" i="1" a="1"/>
  <c r="I198" i="1" a="1"/>
  <c r="H198" i="1" a="1"/>
  <c r="AC201" i="1" a="1"/>
  <c r="AL201" i="1" a="1"/>
  <c r="AB201" i="1" a="1"/>
  <c r="X199" i="1" a="1"/>
  <c r="W198" i="4"/>
  <c r="X198" i="4" s="1"/>
  <c r="Y198" i="4" s="1" a="1"/>
  <c r="Z197" i="4" a="1"/>
  <c r="Y199" i="1" s="1" a="1"/>
  <c r="AH200" i="1" a="1"/>
  <c r="AJ198" i="4" a="1"/>
  <c r="AI200" i="1" s="1" a="1"/>
  <c r="S190" i="1" a="1"/>
  <c r="W199" i="1" a="1"/>
  <c r="R190" i="1" a="1"/>
  <c r="R189" i="4"/>
  <c r="S189" i="4" s="1"/>
  <c r="T189" i="4" s="1" a="1"/>
  <c r="U188" i="4" a="1"/>
  <c r="T190" i="1" s="1" a="1"/>
  <c r="H197" i="4"/>
  <c r="K196" i="4" a="1"/>
  <c r="J198" i="1" s="1" a="1"/>
  <c r="J64" i="5"/>
  <c r="L11" i="5"/>
  <c r="J42" i="5"/>
  <c r="J97" i="5"/>
  <c r="J13" i="5"/>
  <c r="J44" i="5"/>
  <c r="L70" i="5"/>
  <c r="L75" i="5"/>
  <c r="J77" i="5"/>
  <c r="J27" i="5"/>
  <c r="L101" i="5"/>
  <c r="L99" i="5"/>
  <c r="J96" i="5"/>
  <c r="J24" i="5"/>
  <c r="L44" i="5"/>
  <c r="J33" i="5"/>
  <c r="J34" i="5"/>
  <c r="J82" i="5"/>
  <c r="J78" i="5"/>
  <c r="L29" i="5"/>
  <c r="L63" i="5"/>
  <c r="L69" i="5"/>
  <c r="J66" i="5"/>
  <c r="J12" i="5"/>
  <c r="J23" i="5"/>
  <c r="J100" i="5"/>
  <c r="J90" i="5"/>
  <c r="L10" i="5"/>
  <c r="L83" i="5"/>
  <c r="L40" i="5"/>
  <c r="L3" i="5"/>
  <c r="L38" i="5"/>
  <c r="L86" i="5"/>
  <c r="L90" i="5"/>
  <c r="J20" i="5"/>
  <c r="J51" i="5"/>
  <c r="L52" i="5"/>
  <c r="J37" i="5"/>
  <c r="L84" i="5"/>
  <c r="J71" i="5"/>
  <c r="J93" i="5"/>
  <c r="L8" i="5"/>
  <c r="J8" i="5"/>
  <c r="L57" i="5"/>
  <c r="J72" i="5"/>
  <c r="L66" i="5"/>
  <c r="J45" i="5"/>
  <c r="L48" i="5"/>
  <c r="J73" i="5"/>
  <c r="L73" i="5"/>
  <c r="J29" i="5"/>
  <c r="J52" i="5"/>
  <c r="L23" i="5"/>
  <c r="J68" i="5"/>
  <c r="L53" i="5"/>
  <c r="L17" i="5"/>
  <c r="J63" i="5"/>
  <c r="L49" i="5"/>
  <c r="J89" i="5"/>
  <c r="J61" i="5"/>
  <c r="J57" i="5"/>
  <c r="L95" i="5"/>
  <c r="J76" i="5"/>
  <c r="J58" i="5"/>
  <c r="J65" i="5"/>
  <c r="J25" i="5"/>
  <c r="J101" i="5"/>
  <c r="J48" i="5"/>
  <c r="L91" i="5"/>
  <c r="J60" i="5"/>
  <c r="L36" i="5"/>
  <c r="L71" i="5"/>
  <c r="J99" i="5"/>
  <c r="L76" i="5"/>
  <c r="J22" i="5"/>
  <c r="L98" i="5"/>
  <c r="J4" i="5"/>
  <c r="L35" i="5"/>
  <c r="L87" i="5"/>
  <c r="L41" i="5"/>
  <c r="L7" i="5"/>
  <c r="L13" i="5"/>
  <c r="J36" i="5"/>
  <c r="L85" i="5"/>
  <c r="J88" i="5"/>
  <c r="J56" i="5"/>
  <c r="J80" i="5"/>
  <c r="J95" i="5"/>
  <c r="J43" i="5"/>
  <c r="J7" i="5"/>
  <c r="J31" i="5"/>
  <c r="L24" i="5"/>
  <c r="J53" i="5"/>
  <c r="L21" i="5"/>
  <c r="J17" i="5"/>
  <c r="L96" i="5"/>
  <c r="L5" i="5"/>
  <c r="L88" i="5"/>
  <c r="J38" i="5"/>
  <c r="L81" i="5"/>
  <c r="L22" i="5"/>
  <c r="J74" i="5"/>
  <c r="J6" i="5"/>
  <c r="L97" i="5"/>
  <c r="L27" i="5"/>
  <c r="L67" i="5"/>
  <c r="J2" i="5"/>
  <c r="L59" i="5"/>
  <c r="J32" i="5"/>
  <c r="J84" i="5"/>
  <c r="J75" i="5"/>
  <c r="L79" i="5"/>
  <c r="J70" i="5"/>
  <c r="J39" i="5"/>
  <c r="L77" i="5"/>
  <c r="L9" i="5"/>
  <c r="L94" i="5"/>
  <c r="J55" i="5"/>
  <c r="J28" i="5"/>
  <c r="L32" i="5"/>
  <c r="L89" i="5"/>
  <c r="L12" i="5"/>
  <c r="J15" i="5"/>
  <c r="L64" i="5"/>
  <c r="J98" i="5"/>
  <c r="L68" i="5"/>
  <c r="L15" i="5"/>
  <c r="L65" i="5"/>
  <c r="J18" i="5"/>
  <c r="L28" i="5"/>
  <c r="J21" i="5"/>
  <c r="J11" i="5"/>
  <c r="J62" i="5"/>
  <c r="J59" i="5"/>
  <c r="L2" i="5"/>
  <c r="L100" i="5"/>
  <c r="J69" i="5"/>
  <c r="L72" i="5"/>
  <c r="J46" i="5"/>
  <c r="L39" i="5"/>
  <c r="J49" i="5"/>
  <c r="L80" i="5"/>
  <c r="L61" i="5"/>
  <c r="L62" i="5"/>
  <c r="L20" i="5"/>
  <c r="L92" i="5"/>
  <c r="L37" i="5"/>
  <c r="J83" i="5"/>
  <c r="L51" i="5"/>
  <c r="J81" i="5"/>
  <c r="J91" i="5"/>
  <c r="L4" i="5"/>
  <c r="L46" i="5"/>
  <c r="J19" i="5"/>
  <c r="L25" i="5"/>
  <c r="L82" i="5"/>
  <c r="J5" i="5"/>
  <c r="J41" i="5"/>
  <c r="J94" i="5"/>
  <c r="L93" i="5"/>
  <c r="J79" i="5"/>
  <c r="J35" i="5"/>
  <c r="L74" i="5"/>
  <c r="L6" i="5"/>
  <c r="L50" i="5"/>
  <c r="L56" i="5"/>
  <c r="L14" i="5"/>
  <c r="J87" i="5"/>
  <c r="J47" i="5"/>
  <c r="J30" i="5"/>
  <c r="J3" i="5"/>
  <c r="J50" i="5"/>
  <c r="J85" i="5"/>
  <c r="J26" i="5"/>
  <c r="J67" i="5"/>
  <c r="L33" i="5"/>
  <c r="J14" i="5"/>
  <c r="L42" i="5"/>
  <c r="L47" i="5"/>
  <c r="L34" i="5"/>
  <c r="J10" i="5"/>
  <c r="L78" i="5"/>
  <c r="L45" i="5"/>
  <c r="L30" i="5"/>
  <c r="J40" i="5"/>
  <c r="L18" i="5"/>
  <c r="L26" i="5"/>
  <c r="J16" i="5"/>
  <c r="L19" i="5"/>
  <c r="J54" i="5"/>
  <c r="L55" i="5"/>
  <c r="L60" i="5"/>
  <c r="L43" i="5"/>
  <c r="J9" i="5"/>
  <c r="L31" i="5"/>
  <c r="L16" i="5"/>
  <c r="J92" i="5"/>
  <c r="L54" i="5"/>
  <c r="J86" i="5"/>
  <c r="L58" i="5"/>
  <c r="I199" i="1" l="1" a="1"/>
  <c r="H199" i="1" a="1"/>
  <c r="W200" i="1" a="1"/>
  <c r="R191" i="1" a="1"/>
  <c r="X200" i="1" a="1"/>
  <c r="S191" i="1" a="1"/>
  <c r="AG201" i="1" a="1"/>
  <c r="AH201" i="1" a="1"/>
  <c r="R190" i="4"/>
  <c r="S190" i="4" s="1"/>
  <c r="T190" i="4" s="1" a="1"/>
  <c r="U189" i="4" a="1"/>
  <c r="T191" i="1" s="1" a="1"/>
  <c r="Z198" i="4" a="1"/>
  <c r="Y200" i="1" s="1" a="1"/>
  <c r="I197" i="4"/>
  <c r="J197" i="4" s="1" a="1"/>
  <c r="H198" i="4" s="1"/>
  <c r="I198" i="4" s="1"/>
  <c r="J198" i="4" s="1" a="1"/>
  <c r="K45" i="5"/>
  <c r="K93" i="5"/>
  <c r="K67" i="5"/>
  <c r="K12" i="5"/>
  <c r="K96" i="5"/>
  <c r="K73" i="5"/>
  <c r="K71" i="5"/>
  <c r="K2" i="5"/>
  <c r="K50" i="5"/>
  <c r="K38" i="5"/>
  <c r="K63" i="5"/>
  <c r="K37" i="5"/>
  <c r="K52" i="5"/>
  <c r="K19" i="5"/>
  <c r="K83" i="5"/>
  <c r="K49" i="5"/>
  <c r="K86" i="5"/>
  <c r="K29" i="5"/>
  <c r="K33" i="5"/>
  <c r="K25" i="5"/>
  <c r="K32" i="5"/>
  <c r="K74" i="5"/>
  <c r="K78" i="5"/>
  <c r="K72" i="5"/>
  <c r="K97" i="5"/>
  <c r="K88" i="5"/>
  <c r="K76" i="5"/>
  <c r="K17" i="5"/>
  <c r="K60" i="5"/>
  <c r="K90" i="5"/>
  <c r="K3" i="5"/>
  <c r="K9" i="5"/>
  <c r="K75" i="5"/>
  <c r="K27" i="5"/>
  <c r="K82" i="5"/>
  <c r="K59" i="5"/>
  <c r="K44" i="5"/>
  <c r="K77" i="5"/>
  <c r="K14" i="5"/>
  <c r="K13" i="5"/>
  <c r="K16" i="5"/>
  <c r="K80" i="5"/>
  <c r="K85" i="5"/>
  <c r="K42" i="5"/>
  <c r="K95" i="5"/>
  <c r="K101" i="5"/>
  <c r="K21" i="5"/>
  <c r="K68" i="5"/>
  <c r="K53" i="5"/>
  <c r="K6" i="5"/>
  <c r="K61" i="5"/>
  <c r="K43" i="5"/>
  <c r="K84" i="5"/>
  <c r="K26" i="5"/>
  <c r="K5" i="5"/>
  <c r="K100" i="5"/>
  <c r="K22" i="5"/>
  <c r="K36" i="5"/>
  <c r="K34" i="5"/>
  <c r="K48" i="5"/>
  <c r="K99" i="5"/>
  <c r="K87" i="5"/>
  <c r="K98" i="5"/>
  <c r="K94" i="5"/>
  <c r="K39" i="5"/>
  <c r="K57" i="5"/>
  <c r="K41" i="5"/>
  <c r="K15" i="5"/>
  <c r="K46" i="5"/>
  <c r="K56" i="5"/>
  <c r="K91" i="5"/>
  <c r="K81" i="5"/>
  <c r="K18" i="5"/>
  <c r="K11" i="5"/>
  <c r="K30" i="5"/>
  <c r="K28" i="5"/>
  <c r="K58" i="5"/>
  <c r="K79" i="5"/>
  <c r="K89" i="5"/>
  <c r="K35" i="5"/>
  <c r="K51" i="5"/>
  <c r="K23" i="5"/>
  <c r="K55" i="5"/>
  <c r="K24" i="5"/>
  <c r="K8" i="5"/>
  <c r="K31" i="5"/>
  <c r="K66" i="5"/>
  <c r="K92" i="5"/>
  <c r="K64" i="5"/>
  <c r="K4" i="5"/>
  <c r="K65" i="5"/>
  <c r="K54" i="5"/>
  <c r="K70" i="5"/>
  <c r="K69" i="5"/>
  <c r="K62" i="5"/>
  <c r="K20" i="5"/>
  <c r="K40" i="5"/>
  <c r="K47" i="5"/>
  <c r="K7" i="5"/>
  <c r="K10" i="5"/>
  <c r="X201" i="1" l="1" a="1"/>
  <c r="S192" i="1" a="1"/>
  <c r="W201" i="1" a="1"/>
  <c r="R192" i="1" a="1"/>
  <c r="R191" i="4"/>
  <c r="S191" i="4" s="1"/>
  <c r="T191" i="4" s="1" a="1"/>
  <c r="U190" i="4" a="1"/>
  <c r="T192" i="1" s="1" a="1"/>
  <c r="K198" i="4" a="1"/>
  <c r="J200" i="1" s="1" a="1"/>
  <c r="K197" i="4" a="1"/>
  <c r="J199" i="1" s="1" a="1"/>
  <c r="I23" i="5"/>
  <c r="I47" i="5"/>
  <c r="I80" i="5"/>
  <c r="I90" i="5"/>
  <c r="I69" i="5"/>
  <c r="I98" i="5"/>
  <c r="I7" i="5"/>
  <c r="I93" i="5"/>
  <c r="I45" i="5"/>
  <c r="I49" i="5"/>
  <c r="I67" i="5"/>
  <c r="I71" i="5"/>
  <c r="I32" i="5"/>
  <c r="I36" i="5"/>
  <c r="I70" i="5"/>
  <c r="I14" i="5"/>
  <c r="I57" i="5"/>
  <c r="I89" i="5"/>
  <c r="I83" i="5"/>
  <c r="I73" i="5"/>
  <c r="I62" i="5"/>
  <c r="I64" i="5"/>
  <c r="I38" i="5"/>
  <c r="I58" i="5"/>
  <c r="I4" i="5"/>
  <c r="I61" i="5"/>
  <c r="I65" i="5"/>
  <c r="I30" i="5"/>
  <c r="I22" i="5"/>
  <c r="I9" i="5"/>
  <c r="I11" i="5"/>
  <c r="I19" i="5"/>
  <c r="I79" i="5"/>
  <c r="I100" i="5"/>
  <c r="I17" i="5"/>
  <c r="I41" i="5"/>
  <c r="I29" i="5"/>
  <c r="I77" i="5"/>
  <c r="I16" i="5"/>
  <c r="I75" i="5"/>
  <c r="I50" i="5"/>
  <c r="I37" i="5"/>
  <c r="I31" i="5"/>
  <c r="I99" i="5"/>
  <c r="I5" i="5"/>
  <c r="I15" i="5"/>
  <c r="I88" i="5"/>
  <c r="I51" i="5"/>
  <c r="I35" i="5"/>
  <c r="I44" i="5"/>
  <c r="I74" i="5"/>
  <c r="I6" i="5"/>
  <c r="I84" i="5"/>
  <c r="I81" i="5"/>
  <c r="I55" i="5"/>
  <c r="I28" i="5"/>
  <c r="I59" i="5"/>
  <c r="I33" i="5"/>
  <c r="I56" i="5"/>
  <c r="I87" i="5"/>
  <c r="I42" i="5"/>
  <c r="I8" i="5"/>
  <c r="I91" i="5"/>
  <c r="I10" i="5"/>
  <c r="I25" i="5"/>
  <c r="I85" i="5"/>
  <c r="I63" i="5"/>
  <c r="I20" i="5"/>
  <c r="I3" i="5"/>
  <c r="I27" i="5"/>
  <c r="I76" i="5"/>
  <c r="I94" i="5"/>
  <c r="I18" i="5"/>
  <c r="I78" i="5"/>
  <c r="I13" i="5"/>
  <c r="I97" i="5"/>
  <c r="I52" i="5"/>
  <c r="I86" i="5"/>
  <c r="I101" i="5"/>
  <c r="I40" i="5"/>
  <c r="I46" i="5"/>
  <c r="I95" i="5"/>
  <c r="I68" i="5"/>
  <c r="I12" i="5"/>
  <c r="I92" i="5"/>
  <c r="I48" i="5"/>
  <c r="I34" i="5"/>
  <c r="I39" i="5"/>
  <c r="I26" i="5"/>
  <c r="I60" i="5"/>
  <c r="I82" i="5"/>
  <c r="I24" i="5"/>
  <c r="I72" i="5"/>
  <c r="I96" i="5"/>
  <c r="I43" i="5"/>
  <c r="I2" i="5"/>
  <c r="I54" i="5"/>
  <c r="I66" i="5"/>
  <c r="I53" i="5"/>
  <c r="I21" i="5"/>
  <c r="H201" i="1" l="1" a="1"/>
  <c r="I200" i="1" a="1"/>
  <c r="H200" i="1" a="1"/>
  <c r="I201" i="1" a="1"/>
  <c r="R193" i="1" a="1"/>
  <c r="S193" i="1" a="1"/>
  <c r="R192" i="4"/>
  <c r="S192" i="4" s="1"/>
  <c r="T192" i="4" s="1" a="1"/>
  <c r="U191" i="4" a="1"/>
  <c r="T193" i="1" s="1" a="1"/>
  <c r="F92" i="5"/>
  <c r="F73" i="5"/>
  <c r="F101" i="5"/>
  <c r="F44" i="5"/>
  <c r="F16" i="5"/>
  <c r="F82" i="5"/>
  <c r="F67" i="5"/>
  <c r="F78" i="5"/>
  <c r="F26" i="5"/>
  <c r="F70" i="5"/>
  <c r="F97" i="5"/>
  <c r="F66" i="5"/>
  <c r="F89" i="5"/>
  <c r="F83" i="5"/>
  <c r="F14" i="5"/>
  <c r="F56" i="5"/>
  <c r="F47" i="5"/>
  <c r="F27" i="5"/>
  <c r="F48" i="5"/>
  <c r="F40" i="5"/>
  <c r="F45" i="5"/>
  <c r="F3" i="5"/>
  <c r="F13" i="5"/>
  <c r="F77" i="5"/>
  <c r="F7" i="5"/>
  <c r="F25" i="5"/>
  <c r="F63" i="5"/>
  <c r="F93" i="5"/>
  <c r="F61" i="5"/>
  <c r="F94" i="5"/>
  <c r="F86" i="5"/>
  <c r="F10" i="5"/>
  <c r="F11" i="5"/>
  <c r="F8" i="5"/>
  <c r="F87" i="5"/>
  <c r="F88" i="5"/>
  <c r="F15" i="5"/>
  <c r="F49" i="5"/>
  <c r="F91" i="5"/>
  <c r="F32" i="5"/>
  <c r="F100" i="5"/>
  <c r="F31" i="5"/>
  <c r="F75" i="5"/>
  <c r="F42" i="5"/>
  <c r="F38" i="5"/>
  <c r="F54" i="5"/>
  <c r="F68" i="5"/>
  <c r="F9" i="5"/>
  <c r="F72" i="5"/>
  <c r="F51" i="5"/>
  <c r="F20" i="5"/>
  <c r="F98" i="5"/>
  <c r="F5" i="5"/>
  <c r="F41" i="5"/>
  <c r="F22" i="5"/>
  <c r="F29" i="5"/>
  <c r="F52" i="5"/>
  <c r="F99" i="5"/>
  <c r="F28" i="5"/>
  <c r="F23" i="5"/>
  <c r="F76" i="5"/>
  <c r="F46" i="5"/>
  <c r="F62" i="5"/>
  <c r="F6" i="5"/>
  <c r="F17" i="5"/>
  <c r="F79" i="5"/>
  <c r="F74" i="5"/>
  <c r="F2" i="5"/>
  <c r="F71" i="5"/>
  <c r="F33" i="5"/>
  <c r="F85" i="5"/>
  <c r="F18" i="5"/>
  <c r="F95" i="5"/>
  <c r="F43" i="5"/>
  <c r="F36" i="5"/>
  <c r="F65" i="5"/>
  <c r="F57" i="5"/>
  <c r="F35" i="5"/>
  <c r="F21" i="5"/>
  <c r="F50" i="5"/>
  <c r="F55" i="5"/>
  <c r="F80" i="5"/>
  <c r="F90" i="5"/>
  <c r="F19" i="5"/>
  <c r="F39" i="5"/>
  <c r="F30" i="5"/>
  <c r="F69" i="5"/>
  <c r="F24" i="5"/>
  <c r="F58" i="5"/>
  <c r="F34" i="5"/>
  <c r="F4" i="5"/>
  <c r="F12" i="5"/>
  <c r="F37" i="5"/>
  <c r="F84" i="5"/>
  <c r="F81" i="5"/>
  <c r="F96" i="5"/>
  <c r="F59" i="5"/>
  <c r="F64" i="5"/>
  <c r="F53" i="5"/>
  <c r="F60" i="5"/>
  <c r="S194" i="1" l="1" a="1"/>
  <c r="R194" i="1" a="1"/>
  <c r="R193" i="4"/>
  <c r="U192" i="4" a="1"/>
  <c r="T194" i="1" s="1" a="1"/>
  <c r="S195" i="1" l="1" a="1"/>
  <c r="S193" i="4"/>
  <c r="T193" i="4" s="1" a="1"/>
  <c r="R195" i="1" a="1"/>
  <c r="U193" i="4" l="1" a="1"/>
  <c r="T195" i="1" s="1" a="1"/>
  <c r="R194" i="4"/>
  <c r="S194" i="4" s="1"/>
  <c r="T194" i="4" s="1" a="1"/>
  <c r="R195" i="4" l="1"/>
  <c r="S195" i="4" s="1"/>
  <c r="T195" i="4" s="1" a="1"/>
  <c r="U194" i="4" a="1"/>
  <c r="T196" i="1" s="1" a="1"/>
  <c r="S196" i="1" a="1"/>
  <c r="R196" i="1" a="1"/>
  <c r="S197" i="1" l="1" a="1"/>
  <c r="R197" i="1" a="1"/>
  <c r="R196" i="4"/>
  <c r="S196" i="4" s="1"/>
  <c r="T196" i="4" s="1" a="1"/>
  <c r="U195" i="4" a="1"/>
  <c r="T197" i="1" s="1" a="1"/>
  <c r="S198" i="1" l="1" a="1"/>
  <c r="R198" i="1" a="1"/>
  <c r="R197" i="4"/>
  <c r="S197" i="4" s="1"/>
  <c r="T197" i="4" s="1" a="1"/>
  <c r="U196" i="4" a="1"/>
  <c r="T198" i="1" s="1" a="1"/>
  <c r="S199" i="1" l="1" a="1"/>
  <c r="R199" i="1" a="1"/>
  <c r="R198" i="4"/>
  <c r="S198" i="4" s="1"/>
  <c r="T198" i="4" s="1" a="1"/>
  <c r="U197" i="4" a="1"/>
  <c r="T199" i="1" s="1" a="1"/>
  <c r="S200" i="1" l="1" a="1"/>
  <c r="R200" i="1" a="1"/>
  <c r="U198" i="4" a="1"/>
  <c r="T200" i="1" s="1" a="1"/>
  <c r="R201" i="1" l="1" a="1"/>
  <c r="S201" i="1" a="1"/>
  <c r="H24" i="5"/>
  <c r="H11" i="5"/>
  <c r="H4" i="5"/>
  <c r="H101" i="5"/>
  <c r="H10" i="5"/>
  <c r="H73" i="5"/>
  <c r="H27" i="5"/>
  <c r="H70" i="5"/>
  <c r="H51" i="5"/>
  <c r="H41" i="5"/>
  <c r="H55" i="5"/>
  <c r="H19" i="5"/>
  <c r="H15" i="5"/>
  <c r="H69" i="5"/>
  <c r="H82" i="5"/>
  <c r="H59" i="5"/>
  <c r="H74" i="5"/>
  <c r="H37" i="5"/>
  <c r="H97" i="5"/>
  <c r="H95" i="5"/>
  <c r="H26" i="5"/>
  <c r="H77" i="5"/>
  <c r="H12" i="5"/>
  <c r="H58" i="5"/>
  <c r="H7" i="5"/>
  <c r="H42" i="5"/>
  <c r="H32" i="5"/>
  <c r="H14" i="5"/>
  <c r="H86" i="5"/>
  <c r="H20" i="5"/>
  <c r="H88" i="5"/>
  <c r="H89" i="5"/>
  <c r="H78" i="5"/>
  <c r="H47" i="5"/>
  <c r="H80" i="5"/>
  <c r="H3" i="5"/>
  <c r="H62" i="5"/>
  <c r="H6" i="5"/>
  <c r="H83" i="5"/>
  <c r="H67" i="5"/>
  <c r="H34" i="5"/>
  <c r="H90" i="5"/>
  <c r="H35" i="5"/>
  <c r="H44" i="5"/>
  <c r="H54" i="5"/>
  <c r="H22" i="5"/>
  <c r="H68" i="5"/>
  <c r="H43" i="5"/>
  <c r="H65" i="5"/>
  <c r="H98" i="5"/>
  <c r="H66" i="5"/>
  <c r="H21" i="5"/>
  <c r="H9" i="5"/>
  <c r="H85" i="5"/>
  <c r="H28" i="5"/>
  <c r="H76" i="5"/>
  <c r="H45" i="5"/>
  <c r="H79" i="5"/>
  <c r="H50" i="5"/>
  <c r="H93" i="5"/>
  <c r="H5" i="5"/>
  <c r="H84" i="5"/>
  <c r="H16" i="5"/>
  <c r="H48" i="5"/>
  <c r="H91" i="5"/>
  <c r="H52" i="5"/>
  <c r="H96" i="5"/>
  <c r="H99" i="5"/>
  <c r="H87" i="5"/>
  <c r="H38" i="5"/>
  <c r="H72" i="5"/>
  <c r="H46" i="5"/>
  <c r="H30" i="5"/>
  <c r="H75" i="5"/>
  <c r="H31" i="5"/>
  <c r="H13" i="5"/>
  <c r="H25" i="5"/>
  <c r="H81" i="5"/>
  <c r="H71" i="5"/>
  <c r="H53" i="5"/>
  <c r="H8" i="5"/>
  <c r="H56" i="5"/>
  <c r="H64" i="5"/>
  <c r="H40" i="5"/>
  <c r="H60" i="5"/>
  <c r="H57" i="5"/>
  <c r="H39" i="5"/>
  <c r="H49" i="5"/>
  <c r="H61" i="5"/>
  <c r="H29" i="5"/>
  <c r="H17" i="5"/>
  <c r="H33" i="5"/>
  <c r="H94" i="5"/>
  <c r="H63" i="5"/>
  <c r="H2" i="5"/>
  <c r="H92" i="5"/>
  <c r="H36" i="5"/>
  <c r="H18" i="5"/>
  <c r="H23" i="5"/>
  <c r="H100" i="5"/>
  <c r="O40" i="5" l="1"/>
  <c r="P40" i="5" s="1" a="1"/>
  <c r="K40" i="2" s="1" a="1"/>
  <c r="O33" i="5"/>
  <c r="P33" i="5" s="1" a="1"/>
  <c r="K33" i="2" s="1" a="1"/>
  <c r="O32" i="5"/>
  <c r="P32" i="5" s="1" a="1"/>
  <c r="K32" i="2" s="1" a="1"/>
  <c r="O21" i="5"/>
  <c r="P21" i="5" s="1" a="1"/>
  <c r="K21" i="2" s="1" a="1"/>
  <c r="O23" i="5"/>
  <c r="P23" i="5" s="1" a="1"/>
  <c r="K23" i="2" s="1" a="1"/>
  <c r="O24" i="5"/>
  <c r="P24" i="5" s="1" a="1"/>
  <c r="K24" i="2" s="1" a="1"/>
  <c r="O25" i="5"/>
  <c r="P25" i="5" s="1" a="1"/>
  <c r="K25" i="2" s="1" a="1"/>
  <c r="O26" i="5"/>
  <c r="P26" i="5" s="1" a="1"/>
  <c r="K26" i="2" s="1" a="1"/>
  <c r="O27" i="5"/>
  <c r="P27" i="5" s="1" a="1"/>
  <c r="K27" i="2" s="1" a="1"/>
  <c r="O29" i="5"/>
  <c r="P29" i="5" s="1" a="1"/>
  <c r="K29" i="2" s="1" a="1"/>
  <c r="O34" i="5"/>
  <c r="P34" i="5" s="1" a="1"/>
  <c r="K34" i="2" s="1" a="1"/>
  <c r="O35" i="5"/>
  <c r="P35" i="5" s="1" a="1"/>
  <c r="K35" i="2" s="1" a="1"/>
  <c r="O36" i="5"/>
  <c r="P36" i="5" s="1" a="1"/>
  <c r="K36" i="2" s="1" a="1"/>
  <c r="O37" i="5"/>
  <c r="P37" i="5" s="1" a="1"/>
  <c r="K37" i="2" s="1" a="1"/>
  <c r="O41" i="5"/>
  <c r="P41" i="5" s="1" a="1"/>
  <c r="K41" i="2" s="1" a="1"/>
  <c r="O85" i="5"/>
  <c r="P85" i="5" s="1" a="1"/>
  <c r="K85" i="2" s="1" a="1"/>
  <c r="O39" i="5"/>
  <c r="P39" i="5" s="1" a="1"/>
  <c r="K39" i="2" s="1" a="1"/>
  <c r="O38" i="5"/>
  <c r="P38" i="5" s="1" a="1"/>
  <c r="K38" i="2" s="1" a="1"/>
  <c r="O31" i="5"/>
  <c r="P31" i="5" s="1" a="1"/>
  <c r="K31" i="2" s="1" a="1"/>
  <c r="O30" i="5"/>
  <c r="P30" i="5" s="1" a="1"/>
  <c r="K30" i="2" s="1" a="1"/>
  <c r="O28" i="5"/>
  <c r="P28" i="5" s="1" a="1"/>
  <c r="K28" i="2" s="1" a="1"/>
  <c r="O22" i="5"/>
  <c r="P22" i="5" s="1" a="1"/>
  <c r="K22" i="2" s="1" a="1"/>
  <c r="O61" i="5"/>
  <c r="P61" i="5" s="1" a="1"/>
  <c r="K61" i="2" s="1" a="1"/>
  <c r="O2" i="5"/>
  <c r="P2" i="5" s="1" a="1"/>
  <c r="K2" i="2" s="1" a="1"/>
  <c r="O76" i="5"/>
  <c r="P76" i="5" s="1" a="1"/>
  <c r="K76" i="2" s="1" a="1"/>
  <c r="O86" i="5"/>
  <c r="P86" i="5" s="1" a="1"/>
  <c r="K86" i="2" s="1" a="1"/>
  <c r="O74" i="5"/>
  <c r="P74" i="5" s="1" a="1"/>
  <c r="K74" i="2" s="1" a="1"/>
  <c r="O89" i="5"/>
  <c r="P89" i="5" s="1" a="1"/>
  <c r="K89" i="2" s="1" a="1"/>
  <c r="O101" i="5"/>
  <c r="P101" i="5" s="1" a="1"/>
  <c r="K101" i="2" s="1" a="1"/>
  <c r="O97" i="5"/>
  <c r="P97" i="5" s="1" a="1"/>
  <c r="K97" i="2" s="1" a="1"/>
  <c r="O5" i="5"/>
  <c r="P5" i="5" s="1" a="1"/>
  <c r="K5" i="2" s="1" a="1"/>
  <c r="O46" i="5"/>
  <c r="P46" i="5" s="1" a="1"/>
  <c r="K46" i="2" s="1" a="1"/>
  <c r="O84" i="5"/>
  <c r="P84" i="5" s="1" a="1"/>
  <c r="K84" i="2" s="1" a="1"/>
  <c r="O65" i="5"/>
  <c r="P65" i="5" s="1" a="1"/>
  <c r="K65" i="2" s="1" a="1"/>
  <c r="O47" i="5"/>
  <c r="P47" i="5" s="1" a="1"/>
  <c r="K47" i="2" s="1" a="1"/>
  <c r="O98" i="5"/>
  <c r="P98" i="5" s="1" a="1"/>
  <c r="K98" i="2" s="1" a="1"/>
  <c r="O72" i="5"/>
  <c r="P72" i="5" s="1" a="1"/>
  <c r="K72" i="2" s="1" a="1"/>
  <c r="O6" i="5"/>
  <c r="P6" i="5" s="1" a="1"/>
  <c r="K6" i="2" s="1" a="1"/>
  <c r="O88" i="5"/>
  <c r="P88" i="5" s="1" a="1"/>
  <c r="K88" i="2" s="1" a="1"/>
  <c r="O9" i="5"/>
  <c r="P9" i="5" s="1" a="1"/>
  <c r="K9" i="2" s="1" a="1"/>
  <c r="O56" i="5"/>
  <c r="P56" i="5" s="1" a="1"/>
  <c r="K56" i="2" s="1" a="1"/>
  <c r="O48" i="5"/>
  <c r="P48" i="5" s="1" a="1"/>
  <c r="K48" i="2" s="1" a="1"/>
  <c r="O43" i="5"/>
  <c r="P43" i="5" s="1" a="1"/>
  <c r="K43" i="2" s="1" a="1"/>
  <c r="O59" i="5"/>
  <c r="P59" i="5" s="1" a="1"/>
  <c r="K59" i="2" s="1" a="1"/>
  <c r="O53" i="5"/>
  <c r="P53" i="5" s="1" a="1"/>
  <c r="K53" i="2" s="1" a="1"/>
  <c r="O99" i="5"/>
  <c r="P99" i="5" s="1" a="1"/>
  <c r="K99" i="2" s="1" a="1"/>
  <c r="O96" i="5"/>
  <c r="P96" i="5" s="1" a="1"/>
  <c r="K96" i="2" s="1" a="1"/>
  <c r="O83" i="5"/>
  <c r="P83" i="5" s="1" a="1"/>
  <c r="K83" i="2" s="1" a="1"/>
  <c r="O82" i="5"/>
  <c r="P82" i="5" s="1" a="1"/>
  <c r="K82" i="2" s="1" a="1"/>
  <c r="O62" i="5"/>
  <c r="P62" i="5" s="1" a="1"/>
  <c r="K62" i="2" s="1" a="1"/>
  <c r="O67" i="5"/>
  <c r="P67" i="5" s="1" a="1"/>
  <c r="K67" i="2" s="1" a="1"/>
  <c r="O17" i="5"/>
  <c r="P17" i="5" s="1" a="1"/>
  <c r="K17" i="2" s="1" a="1"/>
  <c r="O92" i="5"/>
  <c r="P92" i="5" s="1" a="1"/>
  <c r="K92" i="2" s="1" a="1"/>
  <c r="O77" i="5"/>
  <c r="P77" i="5" s="1" a="1"/>
  <c r="K77" i="2" s="1" a="1"/>
  <c r="O50" i="5"/>
  <c r="P50" i="5" s="1" a="1"/>
  <c r="K50" i="2" s="1" a="1"/>
  <c r="O7" i="5"/>
  <c r="P7" i="5" s="1" a="1"/>
  <c r="K7" i="2" s="1" a="1"/>
  <c r="O66" i="5"/>
  <c r="P66" i="5" s="1" a="1"/>
  <c r="K66" i="2" s="1" a="1"/>
  <c r="O91" i="5"/>
  <c r="P91" i="5" s="1" a="1"/>
  <c r="K91" i="2" s="1" a="1"/>
  <c r="O55" i="5"/>
  <c r="P55" i="5" s="1" a="1"/>
  <c r="K55" i="2" s="1" a="1"/>
  <c r="O42" i="5"/>
  <c r="P42" i="5" s="1" a="1"/>
  <c r="K42" i="2" s="1" a="1"/>
  <c r="O93" i="5"/>
  <c r="P93" i="5" s="1" a="1"/>
  <c r="K93" i="2" s="1" a="1"/>
  <c r="O19" i="5"/>
  <c r="P19" i="5" s="1" a="1"/>
  <c r="K19" i="2" s="1" a="1"/>
  <c r="O12" i="5"/>
  <c r="P12" i="5" s="1" a="1"/>
  <c r="K12" i="2" s="1" a="1"/>
  <c r="O52" i="5"/>
  <c r="P52" i="5" s="1" a="1"/>
  <c r="K52" i="2" s="1" a="1"/>
  <c r="O13" i="5"/>
  <c r="P13" i="5" s="1" a="1"/>
  <c r="K13" i="2" s="1" a="1"/>
  <c r="O78" i="5"/>
  <c r="P78" i="5" s="1" a="1"/>
  <c r="K78" i="2" s="1" a="1"/>
  <c r="O3" i="5"/>
  <c r="P3" i="5" s="1" a="1"/>
  <c r="K3" i="2" s="1" a="1"/>
  <c r="O73" i="5"/>
  <c r="P73" i="5" s="1" a="1"/>
  <c r="K73" i="2" s="1" a="1"/>
  <c r="O70" i="5"/>
  <c r="P70" i="5" s="1" a="1"/>
  <c r="K70" i="2" s="1" a="1"/>
  <c r="O80" i="5"/>
  <c r="P80" i="5" s="1" a="1"/>
  <c r="K80" i="2" s="1" a="1"/>
  <c r="O94" i="5"/>
  <c r="P94" i="5" s="1" a="1"/>
  <c r="K94" i="2" s="1" a="1"/>
  <c r="O49" i="5"/>
  <c r="P49" i="5" s="1" a="1"/>
  <c r="K49" i="2" s="1" a="1"/>
  <c r="O87" i="5"/>
  <c r="P87" i="5" s="1" a="1"/>
  <c r="K87" i="2" s="1" a="1"/>
  <c r="O81" i="5"/>
  <c r="P81" i="5" s="1" a="1"/>
  <c r="K81" i="2" s="1" a="1"/>
  <c r="O79" i="5"/>
  <c r="P79" i="5" s="1" a="1"/>
  <c r="K79" i="2" s="1" a="1"/>
  <c r="O54" i="5"/>
  <c r="P54" i="5" s="1" a="1"/>
  <c r="K54" i="2" s="1" a="1"/>
  <c r="O8" i="5"/>
  <c r="P8" i="5" s="1" a="1"/>
  <c r="K8" i="2" s="1" a="1"/>
  <c r="O68" i="5"/>
  <c r="P68" i="5" s="1" a="1"/>
  <c r="K68" i="2" s="1" a="1"/>
  <c r="O57" i="5"/>
  <c r="P57" i="5" s="1" a="1"/>
  <c r="K57" i="2" s="1" a="1"/>
  <c r="O11" i="5"/>
  <c r="P11" i="5" s="1" a="1"/>
  <c r="K11" i="2" s="1" a="1"/>
  <c r="O60" i="5"/>
  <c r="P60" i="5" s="1" a="1"/>
  <c r="K60" i="2" s="1" a="1"/>
  <c r="O69" i="5"/>
  <c r="P69" i="5" s="1" a="1"/>
  <c r="K69" i="2" s="1" a="1"/>
  <c r="O64" i="5"/>
  <c r="P64" i="5" s="1" a="1"/>
  <c r="K64" i="2" s="1" a="1"/>
  <c r="O44" i="5"/>
  <c r="P44" i="5" s="1" a="1"/>
  <c r="K44" i="2" s="1" a="1"/>
  <c r="O20" i="5"/>
  <c r="P20" i="5" s="1" a="1"/>
  <c r="K20" i="2" s="1" a="1"/>
  <c r="O10" i="5"/>
  <c r="P10" i="5" s="1" a="1"/>
  <c r="K10" i="2" s="1" a="1"/>
  <c r="O51" i="5"/>
  <c r="P51" i="5" s="1" a="1"/>
  <c r="K51" i="2" s="1" a="1"/>
  <c r="O100" i="5"/>
  <c r="P100" i="5" s="1" a="1"/>
  <c r="K100" i="2" s="1" a="1"/>
  <c r="O90" i="5"/>
  <c r="P90" i="5" s="1" a="1"/>
  <c r="K90" i="2" s="1" a="1"/>
  <c r="O75" i="5"/>
  <c r="P75" i="5" s="1" a="1"/>
  <c r="K75" i="2" s="1" a="1"/>
  <c r="O16" i="5"/>
  <c r="P16" i="5" s="1" a="1"/>
  <c r="K16" i="2" s="1" a="1"/>
  <c r="O63" i="5"/>
  <c r="P63" i="5" s="1" a="1"/>
  <c r="K63" i="2" s="1" a="1"/>
  <c r="O58" i="5"/>
  <c r="P58" i="5" s="1" a="1"/>
  <c r="K58" i="2" s="1" a="1"/>
  <c r="O4" i="5"/>
  <c r="P4" i="5" s="1" a="1"/>
  <c r="K4" i="2" s="1" a="1"/>
  <c r="O14" i="5"/>
  <c r="P14" i="5" s="1" a="1"/>
  <c r="K14" i="2" s="1" a="1"/>
  <c r="O45" i="5"/>
  <c r="P45" i="5" s="1" a="1"/>
  <c r="K45" i="2" s="1" a="1"/>
  <c r="O95" i="5"/>
  <c r="P95" i="5" s="1" a="1"/>
  <c r="K95" i="2" s="1" a="1"/>
  <c r="O71" i="5"/>
  <c r="P71" i="5" s="1" a="1"/>
  <c r="K71" i="2" s="1" a="1"/>
  <c r="O15" i="5"/>
  <c r="P15" i="5" s="1" a="1"/>
  <c r="K15" i="2" s="1" a="1"/>
  <c r="O18" i="5"/>
  <c r="P18" i="5" s="1" a="1"/>
  <c r="K18" i="2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<sst xmlns="http://schemas.openxmlformats.org/spreadsheetml/2006/main" count="401" uniqueCount="282">
  <si>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</si>
  <si>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</si>
  <si>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</si>
  <si>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</si>
  <si>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</si>
  <si>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</si>
  <si>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</si>
  <si>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</si>
  <si>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</si>
  <si>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</si>
  <si>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</si>
  <si>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</si>
  <si>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</si>
  <si>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</si>
  <si>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</si>
  <si>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</si>
  <si>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</si>
  <si>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</si>
  <si>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</si>
  <si>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</si>
  <si>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</si>
  <si>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</si>
  <si>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</si>
  <si>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</si>
  <si>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</si>
  <si>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</si>
  <si>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</si>
  <si>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</si>
  <si>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</si>
  <si>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</si>
  <si>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</si>
  <si>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</si>
  <si>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</si>
  <si>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</si>
  <si>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</si>
  <si>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</si>
  <si>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</si>
  <si>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</si>
  <si>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</si>
  <si>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</si>
  <si>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</si>
  <si>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</si>
  <si>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</si>
  <si>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</si>
  <si>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</si>
  <si>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</si>
  <si>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</si>
  <si>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</si>
  <si>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</si>
  <si>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</si>
  <si>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</si>
  <si>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</si>
  <si>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</si>
  <si>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</si>
  <si>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</si>
  <si>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</si>
  <si>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</si>
  <si>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</si>
  <si>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</si>
  <si>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</si>
  <si>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</si>
  <si>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</si>
  <si>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</si>
  <si>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</si>
  <si>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</si>
  <si>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</si>
  <si>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</si>
  <si>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</si>
  <si>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</si>
  <si>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</si>
  <si>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</si>
  <si>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</si>
  <si>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</si>
  <si>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</si>
  <si>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</si>
  <si>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</si>
  <si>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</si>
  <si>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</si>
  <si>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</si>
  <si>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</si>
  <si>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</si>
  <si>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</si>
  <si>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</si>
  <si>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</si>
  <si>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</si>
  <si>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</si>
  <si>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</si>
  <si>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</si>
  <si>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</si>
  <si>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</si>
  <si>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</si>
  <si>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</si>
  <si>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</si>
  <si>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</si>
  <si>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</si>
  <si>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</si>
  <si>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</si>
  <si>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</si>
  <si>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</si>
  <si>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</si>
  <si>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</si>
  <si>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</si>
  <si>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</si>
  <si>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</si>
  <si>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</si>
  <si>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</si>
  <si>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</si>
  <si>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</si>
  <si>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</si>
  <si>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</si>
  <si>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</si>
  <si>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</si>
  <si>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</si>
  <si>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</si>
  <si>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</si>
  <si>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</si>
  <si>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</si>
  <si>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</si>
  <si>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</si>
  <si>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</si>
  <si>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</si>
  <si>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</si>
  <si>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</si>
  <si>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</si>
  <si>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</si>
  <si>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</si>
  <si>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</si>
  <si>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</si>
  <si>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</si>
  <si>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</si>
  <si>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</si>
  <si>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</si>
  <si>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</si>
  <si>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</si>
  <si>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</si>
  <si>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</si>
  <si>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</si>
  <si>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</si>
  <si>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</si>
  <si>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</si>
  <si>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</si>
  <si>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</si>
  <si>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</si>
  <si>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</si>
  <si>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</si>
  <si>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</si>
  <si>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</si>
  <si>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</si>
  <si>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</si>
  <si>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</si>
  <si>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</si>
  <si>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</si>
  <si>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</si>
  <si>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</si>
  <si>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</si>
  <si>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</si>
  <si>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</si>
  <si>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</si>
  <si>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</si>
  <si>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</si>
  <si>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</si>
  <si>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</si>
  <si>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</si>
  <si>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</si>
  <si>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</si>
  <si>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</si>
  <si>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</si>
  <si>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</si>
  <si>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</si>
  <si>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</si>
  <si>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</si>
  <si>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</si>
  <si>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</si>
  <si>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</si>
  <si>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</si>
  <si>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</si>
  <si>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</si>
  <si>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</si>
  <si>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</si>
  <si>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</si>
  <si>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</si>
  <si>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</si>
  <si>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</si>
  <si>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</si>
  <si>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</si>
  <si>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</si>
  <si>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</si>
  <si>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</si>
  <si>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</si>
  <si>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</si>
  <si>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</si>
  <si>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</si>
  <si>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</si>
  <si>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</si>
  <si>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</si>
  <si>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</si>
  <si>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</si>
  <si>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</si>
  <si>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</si>
  <si>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</si>
  <si>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</si>
  <si>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</si>
  <si>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</si>
  <si>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</si>
  <si>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</si>
  <si>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</si>
  <si>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</si>
  <si>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</si>
  <si>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</si>
  <si>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</si>
  <si>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</si>
  <si>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</si>
  <si>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</si>
  <si>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</si>
  <si>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</si>
  <si>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</si>
  <si>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</si>
  <si>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</si>
  <si>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</si>
  <si>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Creación Ventana Loggin</t>
  </si>
  <si>
    <t>Pruebas de funcionamiento</t>
  </si>
  <si>
    <t>Segunda entrevista, presentacion ventana Loggin</t>
  </si>
  <si>
    <t>Matriz Historia de UsuarioV2</t>
  </si>
  <si>
    <t xml:space="preserve">Planificación de tareas </t>
  </si>
  <si>
    <t>Creación del espacio de trabajo del Jira</t>
  </si>
  <si>
    <t>Elaboracion del Backlog, en base a los requisitos funcionales</t>
  </si>
  <si>
    <t>Maquetado del proyecto en Confluence</t>
  </si>
  <si>
    <t>Propuesta/ Entrevista con el cliente para avanzar con la ventana Administrador y Gestion de Colaborador</t>
  </si>
  <si>
    <t>Creación ventana Administrador y Gestion de Colaborador</t>
  </si>
  <si>
    <t>Tercera entrevista, presentacion ventana Administrador y Gestion de Colaborador</t>
  </si>
  <si>
    <t>Elaboración del Excel de Kanbam</t>
  </si>
  <si>
    <t>Desarrollar el inicio de sesión.</t>
  </si>
  <si>
    <t>Testear que el login funcione.</t>
  </si>
  <si>
    <t>Mostrar el login al cliente.</t>
  </si>
  <si>
    <t>Actualizar requisitos del usuario.</t>
  </si>
  <si>
    <t>Asignar el trabajo diario.</t>
  </si>
  <si>
    <t>Configurar la herramienta de seguimiento.</t>
  </si>
  <si>
    <t>Listar y priorizar tareas pendientes.</t>
  </si>
  <si>
    <t>Documentar el diseño/estructura.</t>
  </si>
  <si>
    <t>Alinear requerimientos de administración con el cliente.</t>
  </si>
  <si>
    <t>Desarrollar módulos de control y personal.</t>
  </si>
  <si>
    <t>Mostrar módulos de administración al cliente.</t>
  </si>
  <si>
    <t>Crear tablero para controlar el flujo de tareas.</t>
  </si>
  <si>
    <t>Miguel Verdezoto</t>
  </si>
  <si>
    <t>Mery Velasquez</t>
  </si>
  <si>
    <t>Valeria Sosa</t>
  </si>
  <si>
    <t>Mateo Jaramillo</t>
  </si>
  <si>
    <t>Jaramillo, Sosa, Velasquez, Verdezoto</t>
  </si>
  <si>
    <t>Sosa, Velasquez</t>
  </si>
  <si>
    <t>Jaramillo, Verdezoto</t>
  </si>
  <si>
    <t>No asignado</t>
  </si>
  <si>
    <t>Correción MZHU, en base a lo pedido por el cliente</t>
  </si>
  <si>
    <t>Creacion de Actas Internas</t>
  </si>
  <si>
    <t>Corrección Backlog, aumento de Tareas y subtareas en el Spring 2</t>
  </si>
  <si>
    <t>Correción Kanbam</t>
  </si>
  <si>
    <t>Creación Opción Editar en la ventana Adminitrador y mejora de la interfaz gráfica</t>
  </si>
  <si>
    <t>Cumplir con las retribuciones obtenidas por el cliente</t>
  </si>
  <si>
    <t>Correción de documentación, para una escalabilidad futura</t>
  </si>
  <si>
    <t xml:space="preserve">Documentación, para llevar una buena gestión de tareas </t>
  </si>
  <si>
    <t>Documentación, para llevar un registro de las reuniones y todos los temas tratados</t>
  </si>
  <si>
    <t xml:space="preserve">Correción documentación </t>
  </si>
  <si>
    <t>Reunion con el cliente para realizar la propuesta del terecer sprint para revisar si los requisitos funcionales son los correctos</t>
  </si>
  <si>
    <t>Cuarta entrevista para revisar las peticiones solicitadas por el cliente</t>
  </si>
  <si>
    <t>Quinta entrevista para revisar los requisitos funcioanles del tercer sprint</t>
  </si>
  <si>
    <t xml:space="preserve">Reunion con el cliente para revisar los requisitos solicitados por el cliente </t>
  </si>
  <si>
    <t>Revision Pruebas de Errores/ CN-CB</t>
  </si>
  <si>
    <t>Creación ventana Gestion de Cliente</t>
  </si>
  <si>
    <t>Creación base de datos para cliente</t>
  </si>
  <si>
    <t>Octava entrevista con el cliente presentación de lo solicitado</t>
  </si>
  <si>
    <t>Propuesta/ Entrevista con el cliente para avanzar con los ultimo requisitios funcionales</t>
  </si>
  <si>
    <t>Creación ventana gestion servicios</t>
  </si>
  <si>
    <t>Creación ventana gestion extras</t>
  </si>
  <si>
    <t>Creación ventana gestion reservas</t>
  </si>
  <si>
    <t>Revision Pruebas de Errores/ CN-CB, para los requisitos funcioanles de gestion de eventos, gestiosn de extras y gestion de reservas.</t>
  </si>
  <si>
    <t>Decima entrevista con el cliente presentación de lo solicitado</t>
  </si>
  <si>
    <t>Jaramillo, Sosa</t>
  </si>
  <si>
    <t>Jaramillo, Sosa, Verdezoto</t>
  </si>
  <si>
    <t xml:space="preserve">Ultima reunion con el cliente para verificar todos los avances realizador y conocer la postura del cleinte si se encuentra o no satisfecho con el resultaod final. </t>
  </si>
  <si>
    <t>Corroborar todas las validaciones creadas en el programa para los requisitos funcioanles a presentar</t>
  </si>
  <si>
    <t>Cumplir con el requisito funcional previsto para la construcción  del producto final del cliente</t>
  </si>
  <si>
    <t>Reunion con el cliente para presentarle el avance previsto y conocer si cumple o no cumple con las necesidades del cliente</t>
  </si>
  <si>
    <t>Corroborar todas las validaciones creadas en el programa para los requisitos funcionales a presentar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</si>
</sst>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2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b/>
      <sz val="11.5"/>
      <color theme="0"/>
      <name val="Times New Roman"/>
      <family val="1"/>
    </font>
    <font>
      <sz val="11.5"/>
      <color theme="1"/>
      <name val="Times New Roman"/>
      <family val="1"/>
    </font>
    <font>
      <sz val="11.5"/>
      <color rgb="FF000000"/>
      <name val="Times New Roman"/>
      <family val="1"/>
    </font>
    <font>
      <b/>
      <u/>
      <sz val="11.5"/>
      <color theme="10"/>
      <name val="Times New Roman"/>
      <family val="1"/>
    </font>
    <font>
      <u/>
      <sz val="11.5"/>
      <color theme="1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7" fillId="17" borderId="36" xfId="0" applyFont="1" applyFill="1" applyBorder="1" applyAlignment="1">
      <alignment vertical="center"/>
    </xf>
    <xf numFmtId="0" fontId="17" fillId="17" borderId="37" xfId="0" applyFont="1" applyFill="1" applyBorder="1" applyAlignment="1">
      <alignment vertical="center"/>
    </xf>
    <xf numFmtId="0" fontId="17" fillId="17" borderId="37" xfId="0" applyFont="1" applyFill="1" applyBorder="1" applyAlignment="1">
      <alignment vertical="center" wrapText="1"/>
    </xf>
    <xf numFmtId="0" fontId="17" fillId="17" borderId="37" xfId="0" applyFont="1" applyFill="1" applyBorder="1" applyAlignment="1">
      <alignment horizontal="center" vertical="center"/>
    </xf>
    <xf numFmtId="0" fontId="17" fillId="17" borderId="38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18" borderId="36" xfId="0" applyFont="1" applyFill="1" applyBorder="1" applyAlignment="1" applyProtection="1">
      <alignment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19" fillId="25" borderId="37" xfId="0" applyFont="1" applyFill="1" applyBorder="1" applyAlignment="1" applyProtection="1">
      <alignment vertical="center" wrapText="1"/>
      <protection locked="0"/>
    </xf>
    <xf numFmtId="0" fontId="18" fillId="25" borderId="37" xfId="0" applyFont="1" applyFill="1" applyBorder="1" applyAlignment="1" applyProtection="1">
      <alignment vertical="center" wrapText="1"/>
      <protection locked="0"/>
    </xf>
    <xf numFmtId="14" fontId="18" fillId="18" borderId="37" xfId="0" applyNumberFormat="1" applyFont="1" applyFill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>
      <alignment horizontal="center" vertical="center"/>
    </xf>
    <xf numFmtId="14" fontId="20" fillId="18" borderId="38" xfId="1" applyNumberFormat="1" applyFont="1" applyFill="1" applyBorder="1" applyAlignment="1">
      <alignment vertical="center"/>
    </xf>
    <xf numFmtId="0" fontId="18" fillId="25" borderId="0" xfId="0" applyFont="1" applyFill="1" applyAlignment="1">
      <alignment vertical="center"/>
    </xf>
    <xf numFmtId="0" fontId="18" fillId="23" borderId="36" xfId="0" applyFont="1" applyFill="1" applyBorder="1" applyAlignment="1" applyProtection="1">
      <alignment vertical="center"/>
      <protection locked="0"/>
    </xf>
    <xf numFmtId="0" fontId="18" fillId="23" borderId="37" xfId="0" applyFont="1" applyFill="1" applyBorder="1" applyAlignment="1" applyProtection="1">
      <alignment vertical="center"/>
      <protection locked="0"/>
    </xf>
    <xf numFmtId="0" fontId="19" fillId="24" borderId="37" xfId="0" applyFont="1" applyFill="1" applyBorder="1" applyAlignment="1" applyProtection="1">
      <alignment vertical="center" wrapText="1"/>
      <protection locked="0"/>
    </xf>
    <xf numFmtId="0" fontId="18" fillId="24" borderId="37" xfId="0" applyFont="1" applyFill="1" applyBorder="1" applyAlignment="1" applyProtection="1">
      <alignment vertical="center" wrapText="1"/>
      <protection locked="0"/>
    </xf>
    <xf numFmtId="14" fontId="19" fillId="23" borderId="37" xfId="0" applyNumberFormat="1" applyFont="1" applyFill="1" applyBorder="1" applyAlignment="1" applyProtection="1">
      <alignment horizontal="center" vertical="center"/>
      <protection locked="0"/>
    </xf>
    <xf numFmtId="14" fontId="18" fillId="23" borderId="37" xfId="0" applyNumberFormat="1" applyFont="1" applyFill="1" applyBorder="1" applyAlignment="1" applyProtection="1">
      <alignment horizontal="center" vertical="center"/>
      <protection locked="0"/>
    </xf>
    <xf numFmtId="0" fontId="18" fillId="23" borderId="37" xfId="0" applyFont="1" applyFill="1" applyBorder="1" applyAlignment="1">
      <alignment horizontal="center" vertical="center"/>
    </xf>
    <xf numFmtId="14" fontId="20" fillId="23" borderId="38" xfId="1" applyNumberFormat="1" applyFont="1" applyFill="1" applyBorder="1" applyAlignment="1">
      <alignment vertical="center"/>
    </xf>
    <xf numFmtId="0" fontId="18" fillId="23" borderId="0" xfId="0" applyFont="1" applyFill="1" applyAlignment="1">
      <alignment vertical="center"/>
    </xf>
    <xf numFmtId="14" fontId="19" fillId="18" borderId="37" xfId="0" applyNumberFormat="1" applyFont="1" applyFill="1" applyBorder="1" applyAlignment="1" applyProtection="1">
      <alignment horizontal="center" vertical="center"/>
      <protection locked="0"/>
    </xf>
    <xf numFmtId="0" fontId="18" fillId="23" borderId="0" xfId="0" applyFont="1" applyFill="1"/>
    <xf numFmtId="14" fontId="19" fillId="25" borderId="37" xfId="0" applyNumberFormat="1" applyFont="1" applyFill="1" applyBorder="1" applyAlignment="1" applyProtection="1">
      <alignment horizontal="center" vertical="center"/>
      <protection locked="0"/>
    </xf>
    <xf numFmtId="0" fontId="18" fillId="25" borderId="0" xfId="0" applyFont="1" applyFill="1"/>
    <xf numFmtId="14" fontId="19" fillId="24" borderId="37" xfId="0" applyNumberFormat="1" applyFont="1" applyFill="1" applyBorder="1" applyAlignment="1" applyProtection="1">
      <alignment horizontal="center" vertical="center"/>
      <protection locked="0"/>
    </xf>
    <xf numFmtId="14" fontId="21" fillId="18" borderId="38" xfId="1" applyNumberFormat="1" applyFont="1" applyFill="1" applyBorder="1" applyAlignment="1">
      <alignment vertical="center"/>
    </xf>
    <xf numFmtId="0" fontId="18" fillId="0" borderId="37" xfId="0" applyFont="1" applyBorder="1" applyAlignment="1" applyProtection="1">
      <alignment vertical="center" wrapText="1"/>
      <protection locked="0"/>
    </xf>
    <xf numFmtId="0" fontId="19" fillId="18" borderId="37" xfId="0" applyFont="1" applyFill="1" applyBorder="1" applyAlignment="1" applyProtection="1">
      <alignment vertical="center" wrapText="1"/>
      <protection locked="0"/>
    </xf>
    <xf numFmtId="0" fontId="18" fillId="18" borderId="37" xfId="0" applyFont="1" applyFill="1" applyBorder="1" applyAlignment="1" applyProtection="1">
      <alignment vertical="center" wrapText="1"/>
      <protection locked="0"/>
    </xf>
    <xf numFmtId="0" fontId="18" fillId="0" borderId="0" xfId="0" applyFont="1"/>
    <xf numFmtId="0" fontId="18" fillId="0" borderId="36" xfId="0" applyFont="1" applyBorder="1" applyAlignment="1" applyProtection="1">
      <alignment vertical="center"/>
      <protection locked="0"/>
    </xf>
    <xf numFmtId="0" fontId="18" fillId="0" borderId="37" xfId="0" applyFont="1" applyBorder="1" applyAlignment="1" applyProtection="1">
      <alignment vertical="center"/>
      <protection locked="0"/>
    </xf>
    <xf numFmtId="0" fontId="19" fillId="0" borderId="37" xfId="0" applyFont="1" applyBorder="1" applyAlignment="1" applyProtection="1">
      <alignment vertical="center" wrapText="1"/>
      <protection locked="0"/>
    </xf>
    <xf numFmtId="14" fontId="19" fillId="0" borderId="37" xfId="0" applyNumberFormat="1" applyFont="1" applyBorder="1" applyAlignment="1" applyProtection="1">
      <alignment horizontal="center" vertical="center"/>
      <protection locked="0"/>
    </xf>
    <xf numFmtId="14" fontId="18" fillId="0" borderId="37" xfId="0" applyNumberFormat="1" applyFont="1" applyBorder="1" applyAlignment="1" applyProtection="1">
      <alignment horizontal="center" vertical="center"/>
      <protection locked="0"/>
    </xf>
    <xf numFmtId="0" fontId="18" fillId="0" borderId="37" xfId="0" applyFont="1" applyBorder="1" applyAlignment="1">
      <alignment horizontal="center" vertical="center"/>
    </xf>
    <xf numFmtId="14" fontId="20" fillId="0" borderId="38" xfId="1" applyNumberFormat="1" applyFont="1" applyBorder="1" applyAlignment="1">
      <alignment vertical="center"/>
    </xf>
    <xf numFmtId="0" fontId="18" fillId="0" borderId="33" xfId="0" applyFont="1" applyBorder="1" applyAlignment="1" applyProtection="1">
      <alignment vertical="center"/>
      <protection locked="0"/>
    </xf>
    <xf numFmtId="0" fontId="18" fillId="0" borderId="34" xfId="0" applyFont="1" applyBorder="1" applyAlignment="1" applyProtection="1">
      <alignment vertical="center"/>
      <protection locked="0"/>
    </xf>
    <xf numFmtId="0" fontId="18" fillId="0" borderId="34" xfId="0" applyFont="1" applyBorder="1" applyAlignment="1" applyProtection="1">
      <alignment vertical="center" wrapText="1"/>
      <protection locked="0"/>
    </xf>
    <xf numFmtId="14" fontId="18" fillId="0" borderId="34" xfId="0" applyNumberFormat="1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>
      <alignment horizontal="center" vertical="center"/>
    </xf>
    <xf numFmtId="14" fontId="20" fillId="0" borderId="35" xfId="1" applyNumberFormat="1" applyFont="1" applyBorder="1" applyAlignment="1">
      <alignment vertical="center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25"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4" dataDxfId="23">
  <autoFilter ref="B1:G33" xr:uid="{0EAF28E5-0E22-47B4-AD65-B0AEBC07C8FD}"/>
  <tableColumns count="6">
    <tableColumn id="1" xr3:uid="{F0E73C1E-CCFA-4300-AC3D-E67E676E36BF}" name="Español" dataDxfId="22"/>
    <tableColumn id="2" xr3:uid="{36085523-D642-42FF-AE1D-87567505551D}" name="English" dataDxfId="21"/>
    <tableColumn id="3" xr3:uid="{3322FBB4-01E0-4235-A470-44717FDBDCC9}" name="Française" dataDxfId="20"/>
    <tableColumn id="4" xr3:uid="{2DF4B6A9-AFE6-4898-91D8-DC7E333ACF08}" name="Italiano" dataDxfId="19"/>
    <tableColumn id="5" xr3:uid="{9A0035F3-EC53-45C0-B33A-DBC7B4DB4D45}" name="Deutsch" dataDxfId="18"/>
    <tableColumn id="6" xr3:uid="{F02A4F88-64FE-47CB-8FD1-5FD4615BD74A}" name="Português" dataDxfId="1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47" zoomScaleNormal="70" workbookViewId="0">
      <pane ySplit="4" topLeftCell="A152" activePane="bottomLeft" state="frozen"/>
      <selection pane="bottomLeft" activeCell="L28" sqref="L28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0" customWidth="1"/>
    <col min="4" max="5" width="15.5546875" style="10" customWidth="1"/>
    <col min="6" max="7" width="2.5546875" style="2" customWidth="1"/>
    <col min="8" max="8" width="10.5546875" style="10" customWidth="1"/>
    <col min="9" max="10" width="15.5546875" style="10" customWidth="1"/>
    <col min="11" max="12" width="2.5546875" style="2" customWidth="1"/>
    <col min="13" max="13" width="10.5546875" style="10" customWidth="1"/>
    <col min="14" max="15" width="15.5546875" style="10" customWidth="1"/>
    <col min="16" max="17" width="2.5546875" style="2" customWidth="1"/>
    <col min="18" max="18" width="10.5546875" style="10" customWidth="1"/>
    <col min="19" max="20" width="15.5546875" style="10" customWidth="1"/>
    <col min="21" max="22" width="2.5546875" style="2" customWidth="1"/>
    <col min="23" max="23" width="10.5546875" style="10" customWidth="1"/>
    <col min="24" max="25" width="15.5546875" style="10" customWidth="1"/>
    <col min="26" max="27" width="2.5546875" style="2" customWidth="1"/>
    <col min="28" max="28" width="10.5546875" style="10" customWidth="1"/>
    <col min="29" max="30" width="15.5546875" style="10" customWidth="1"/>
    <col min="31" max="32" width="2.5546875" style="2" customWidth="1"/>
    <col min="33" max="33" width="10.5546875" style="10" customWidth="1"/>
    <col min="34" max="35" width="15.5546875" style="10" customWidth="1"/>
    <col min="36" max="37" width="2.5546875" style="2" customWidth="1"/>
    <col min="38" max="38" width="10.5546875" style="10" customWidth="1"/>
    <col min="39" max="40" width="15.5546875" style="10" customWidth="1"/>
    <col min="41" max="42" width="2.5546875" style="2" customWidth="1"/>
    <col min="43" max="43" width="10.5546875" style="10" customWidth="1"/>
    <col min="44" max="45" width="15.5546875" style="10" customWidth="1"/>
    <col min="46" max="47" width="2.5546875" style="2" customWidth="1"/>
    <col min="48" max="48" width="10.5546875" style="10" customWidth="1"/>
    <col min="49" max="50" width="15.5546875" style="10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80" t="str">
        <f>Configura!$B$2</f>
        <v xml:space="preserve">                Tablero KANBAN v3 ©️            </v>
      </c>
      <c r="C2" s="80"/>
      <c r="D2" s="80"/>
      <c r="E2" s="27" t="str">
        <f>Idiomas!$A$22&amp;" "</f>
        <v xml:space="preserve">Tarjetas con </v>
      </c>
      <c r="F2" s="26">
        <v>8</v>
      </c>
      <c r="G2" s="21" t="str">
        <f>" "&amp;Idiomas!$A$23</f>
        <v xml:space="preserve"> líneas</v>
      </c>
      <c r="I2" s="27" t="str">
        <f ca="1">SUM(misFiltros)&amp;" "&amp;Idiomas!$A$24&amp;" "</f>
        <v xml:space="preserve">30 tareas asignadas a </v>
      </c>
      <c r="J2" s="26"/>
      <c r="K2" s="10"/>
      <c r="N2" s="27" t="str">
        <f>Idiomas!$A$25&amp;" "</f>
        <v xml:space="preserve">Con criticidad </v>
      </c>
      <c r="O2" s="26"/>
      <c r="S2" s="27" t="str">
        <f>Idiomas!$A$26&amp;" "</f>
        <v xml:space="preserve">Con inicio desde </v>
      </c>
      <c r="T2" s="28">
        <v>44562</v>
      </c>
      <c r="X2" s="27" t="str">
        <f>Idiomas!$A$27&amp;" "</f>
        <v xml:space="preserve">Con el texto </v>
      </c>
      <c r="Y2" s="26"/>
      <c r="AC2" s="27" t="str">
        <f>Idiomas!$A$28&amp;" "</f>
        <v xml:space="preserve">Con un retraso &gt; </v>
      </c>
      <c r="AD2" s="29"/>
      <c r="AE2" s="21" t="str">
        <f>" "&amp;Idiomas!$A$29</f>
        <v xml:space="preserve"> días</v>
      </c>
      <c r="AH2" s="27" t="str">
        <f>Idiomas!$A$33&amp;" "</f>
        <v xml:space="preserve">Con una duración &gt; </v>
      </c>
      <c r="AI2" s="29"/>
      <c r="AJ2" s="21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4">
        <v>1</v>
      </c>
      <c r="C4" s="83" t="str" cm="1">
        <f t="array" aca="1" ref="C4" ca="1">IFERROR(INDEX(Configura!$B$9:$B$18,B4)&amp;" ("&amp;SUMIF(misEstados,B4,misFiltros)&amp;" de "&amp;SUM(misFiltros)&amp;")","")</f>
        <v>POR HACER (0 de 30)</v>
      </c>
      <c r="D4" s="83"/>
      <c r="E4" s="83"/>
      <c r="F4" s="7" t="s">
        <v>0</v>
      </c>
      <c r="G4" s="23">
        <f>B4+1</f>
        <v>2</v>
      </c>
      <c r="H4" s="83" t="str" cm="1">
        <f t="array" aca="1" ref="H4" ca="1">IFERROR(INDEX(Configura!$B$9:$B$18,G4)&amp;" ("&amp;SUMIF(misEstados,G4,misFiltros)&amp;" de "&amp;SUM(misFiltros)&amp;")","")</f>
        <v>EN PROGRESO (0 de 30)</v>
      </c>
      <c r="I4" s="83"/>
      <c r="J4" s="83"/>
      <c r="K4" s="7" t="s">
        <v>0</v>
      </c>
      <c r="L4" s="23">
        <f>G4+1</f>
        <v>3</v>
      </c>
      <c r="M4" s="83" t="str" cm="1">
        <f t="array" aca="1" ref="M4" ca="1">IFERROR(INDEX(Configura!$B$9:$B$18,L4)&amp;" ("&amp;SUMIF(misEstados,L4,misFiltros)&amp;" de "&amp;SUM(misFiltros)&amp;")","")</f>
        <v>EN ESPERA (0 de 30)</v>
      </c>
      <c r="N4" s="83"/>
      <c r="O4" s="83"/>
      <c r="P4" s="7" t="s">
        <v>0</v>
      </c>
      <c r="Q4" s="23">
        <f>L4+1</f>
        <v>4</v>
      </c>
      <c r="R4" s="83" t="str" cm="1">
        <f t="array" aca="1" ref="R4" ca="1">IFERROR(INDEX(Configura!$B$9:$B$18,Q4)&amp;" ("&amp;SUMIF(misEstados,Q4,misFiltros)&amp;" de "&amp;SUM(misFiltros)&amp;")","")</f>
        <v>COMPLETADO (30 de 30)</v>
      </c>
      <c r="S4" s="83"/>
      <c r="T4" s="83"/>
      <c r="U4" s="7" t="s">
        <v>0</v>
      </c>
      <c r="V4" s="23">
        <f>Q4+1</f>
        <v>5</v>
      </c>
      <c r="W4" s="83" t="str" cm="1">
        <f t="array" aca="1" ref="W4" ca="1">IFERROR(INDEX(Configura!$B$9:$B$18,V4)&amp;" ("&amp;SUMIF(misEstados,V4,misFiltros)&amp;" de "&amp;SUM(misFiltros)&amp;")","")</f>
        <v>ARCHIVADO (0 de 30)</v>
      </c>
      <c r="X4" s="83"/>
      <c r="Y4" s="83"/>
      <c r="Z4" s="8" t="s">
        <v>0</v>
      </c>
      <c r="AA4" s="23">
        <f>V4+1</f>
        <v>6</v>
      </c>
      <c r="AB4" s="83" t="str" cm="1">
        <f t="array" aca="1" ref="AB4" ca="1">IFERROR(INDEX(Configura!$B$9:$B$18,AA4)&amp;" ("&amp;SUMIF(misEstados,AA4,misFiltros)&amp;" de "&amp;SUM(misFiltros)&amp;")","")</f>
        <v>POR HACER (0 de 30)</v>
      </c>
      <c r="AC4" s="83"/>
      <c r="AD4" s="83"/>
      <c r="AE4" s="8" t="s">
        <v>0</v>
      </c>
      <c r="AF4" s="23">
        <f>AA4+1</f>
        <v>7</v>
      </c>
      <c r="AG4" s="83" t="str" cm="1">
        <f t="array" aca="1" ref="AG4" ca="1">IFERROR(INDEX(Configura!$B$9:$B$18,AF4)&amp;" ("&amp;SUMIF(misEstados,AF4,misFiltros)&amp;" de "&amp;SUM(misFiltros)&amp;")","")</f>
        <v>EN PROGRESO (0 de 30)</v>
      </c>
      <c r="AH4" s="83"/>
      <c r="AI4" s="83"/>
      <c r="AJ4" s="8" t="s">
        <v>0</v>
      </c>
      <c r="AK4" s="23">
        <f>AF4+1</f>
        <v>8</v>
      </c>
      <c r="AL4" s="83" t="str" cm="1">
        <f t="array" aca="1" ref="AL4" ca="1">IFERROR(INDEX(Configura!$B$9:$B$18,AK4)&amp;" ("&amp;SUMIF(misEstados,AK4,misFiltros)&amp;" de "&amp;SUM(misFiltros)&amp;")","")</f>
        <v xml:space="preserve"> (0 de 30)</v>
      </c>
      <c r="AM4" s="83"/>
      <c r="AN4" s="83"/>
      <c r="AO4" s="8" t="s">
        <v>0</v>
      </c>
      <c r="AP4" s="23">
        <f>AK4+1</f>
        <v>9</v>
      </c>
      <c r="AQ4" s="83" t="str" cm="1">
        <f t="array" aca="1" ref="AQ4" ca="1">IFERROR(INDEX(Configura!$B$9:$B$18,AP4)&amp;" ("&amp;SUMIF(misEstados,AP4,misFiltros)&amp;" de "&amp;SUM(misFiltros)&amp;")","")</f>
        <v xml:space="preserve"> (0 de 30)</v>
      </c>
      <c r="AR4" s="83"/>
      <c r="AS4" s="83"/>
      <c r="AT4" s="8" t="s">
        <v>0</v>
      </c>
      <c r="AU4" s="23">
        <f>AP4+1</f>
        <v>10</v>
      </c>
      <c r="AV4" s="83" t="str" cm="1">
        <f t="array" aca="1" ref="AV4" ca="1">IFERROR(INDEX(Configura!$B$9:$B$18,AU4)&amp;" ("&amp;SUMIF(misEstados,AU4,misFiltros)&amp;" de "&amp;SUM(misFiltros)&amp;")","")</f>
        <v xml:space="preserve"> (0 de 30)</v>
      </c>
      <c r="AW4" s="83"/>
      <c r="AX4" s="83"/>
      <c r="AY4" s="8" t="s">
        <v>0</v>
      </c>
    </row>
    <row r="5" spans="2:51" ht="15" thickTop="1" x14ac:dyDescent="0.3">
      <c r="B5" s="9"/>
      <c r="F5" s="3"/>
      <c r="G5" s="4"/>
      <c r="K5" s="3"/>
      <c r="L5" s="4"/>
      <c r="P5" s="3"/>
      <c r="Q5" s="4"/>
      <c r="U5" s="3"/>
      <c r="V5" s="4"/>
      <c r="Z5" s="11"/>
      <c r="AA5" s="4"/>
      <c r="AE5" s="11"/>
      <c r="AF5" s="4"/>
      <c r="AJ5" s="11"/>
      <c r="AK5" s="4"/>
      <c r="AO5" s="11"/>
      <c r="AP5" s="4"/>
      <c r="AT5" s="11"/>
      <c r="AU5" s="4"/>
      <c r="AY5" s="11"/>
    </row>
    <row r="6" spans="2:51" x14ac:dyDescent="0.3">
      <c r="B6" s="9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81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81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3"/>
      <c r="G6" s="4"/>
      <c r="H6" s="22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81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81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3"/>
      <c r="L6" s="4"/>
      <c r="M6" s="22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81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81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3"/>
      <c r="Q6" s="4"/>
      <c r="R6" s="22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81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81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3"/>
      <c r="V6" s="4"/>
      <c r="W6" s="22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81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81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1"/>
      <c r="AA6" s="4"/>
      <c r="AB6" s="22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81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81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1"/>
      <c r="AF6" s="4"/>
      <c r="AG6" s="22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81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81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1"/>
      <c r="AK6" s="4"/>
      <c r="AL6" s="22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81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81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1"/>
      <c r="AP6" s="4"/>
      <c r="AQ6" s="22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81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81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1"/>
      <c r="AU6" s="4"/>
      <c r="AV6" s="22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81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81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1"/>
    </row>
    <row r="7" spans="2:51" x14ac:dyDescent="0.3">
      <c r="B7" s="9"/>
      <c r="C7" s="22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81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81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3"/>
      <c r="G7" s="4"/>
      <c r="H7" s="22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81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81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3"/>
      <c r="L7" s="4"/>
      <c r="M7" s="22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81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81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3"/>
      <c r="Q7" s="4"/>
      <c r="R7" s="22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81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81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3"/>
      <c r="V7" s="4"/>
      <c r="W7" s="22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81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81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1"/>
      <c r="AA7" s="4"/>
      <c r="AB7" s="22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81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81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1"/>
      <c r="AF7" s="4"/>
      <c r="AG7" s="22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81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81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1"/>
      <c r="AK7" s="4"/>
      <c r="AL7" s="22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81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81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1"/>
      <c r="AP7" s="4"/>
      <c r="AQ7" s="22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81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81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1"/>
      <c r="AU7" s="4"/>
      <c r="AV7" s="22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81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81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1"/>
    </row>
    <row r="8" spans="2:51" x14ac:dyDescent="0.3">
      <c r="B8" s="9"/>
      <c r="C8" s="22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81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81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3"/>
      <c r="G8" s="4"/>
      <c r="H8" s="22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81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81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3"/>
      <c r="L8" s="4"/>
      <c r="M8" s="22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81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81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3"/>
      <c r="Q8" s="4"/>
      <c r="R8" s="22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81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81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3"/>
      <c r="V8" s="4"/>
      <c r="W8" s="22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81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81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1"/>
      <c r="AA8" s="4"/>
      <c r="AB8" s="22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81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81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1"/>
      <c r="AF8" s="4"/>
      <c r="AG8" s="22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81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81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1"/>
      <c r="AK8" s="4"/>
      <c r="AL8" s="22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81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81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1"/>
      <c r="AP8" s="4"/>
      <c r="AQ8" s="22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81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81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1"/>
      <c r="AU8" s="4"/>
      <c r="AV8" s="22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81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81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1"/>
    </row>
    <row r="9" spans="2:51" x14ac:dyDescent="0.3">
      <c r="B9" s="9"/>
      <c r="C9" s="22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81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81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3"/>
      <c r="G9" s="4"/>
      <c r="H9" s="22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81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81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3"/>
      <c r="L9" s="4"/>
      <c r="M9" s="22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81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81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3"/>
      <c r="Q9" s="4"/>
      <c r="R9" s="22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81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81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3"/>
      <c r="V9" s="4"/>
      <c r="W9" s="22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81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81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1"/>
      <c r="AA9" s="4"/>
      <c r="AB9" s="22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81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81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1"/>
      <c r="AF9" s="4"/>
      <c r="AG9" s="22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81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81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1"/>
      <c r="AK9" s="4"/>
      <c r="AL9" s="22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81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81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1"/>
      <c r="AP9" s="4"/>
      <c r="AQ9" s="22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81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81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1"/>
      <c r="AU9" s="4"/>
      <c r="AV9" s="22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81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81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1"/>
    </row>
    <row r="10" spans="2:51" x14ac:dyDescent="0.3">
      <c r="B10" s="9"/>
      <c r="C10" s="22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81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81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3"/>
      <c r="G10" s="4"/>
      <c r="H10" s="22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81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81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3"/>
      <c r="L10" s="4"/>
      <c r="M10" s="22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81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81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3"/>
      <c r="Q10" s="4"/>
      <c r="R10" s="22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81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81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3"/>
      <c r="V10" s="4"/>
      <c r="W10" s="22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81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81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1"/>
      <c r="AA10" s="4"/>
      <c r="AB10" s="22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81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81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1"/>
      <c r="AF10" s="4"/>
      <c r="AG10" s="22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81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81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1"/>
      <c r="AK10" s="4"/>
      <c r="AL10" s="22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81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81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1"/>
      <c r="AP10" s="4"/>
      <c r="AQ10" s="22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81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81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1"/>
      <c r="AU10" s="4"/>
      <c r="AV10" s="22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81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81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1"/>
    </row>
    <row r="11" spans="2:51" x14ac:dyDescent="0.3">
      <c r="B11" s="9"/>
      <c r="C11" s="22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81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81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3"/>
      <c r="G11" s="4"/>
      <c r="H11" s="22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81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81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3"/>
      <c r="L11" s="4"/>
      <c r="M11" s="22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81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81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3"/>
      <c r="Q11" s="4"/>
      <c r="R11" s="22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81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81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3"/>
      <c r="V11" s="4"/>
      <c r="W11" s="22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81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81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1"/>
      <c r="AA11" s="4"/>
      <c r="AB11" s="22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81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81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1"/>
      <c r="AF11" s="4"/>
      <c r="AG11" s="22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81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81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1"/>
      <c r="AK11" s="4"/>
      <c r="AL11" s="22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81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81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1"/>
      <c r="AP11" s="4"/>
      <c r="AQ11" s="22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81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81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1"/>
      <c r="AU11" s="4"/>
      <c r="AV11" s="22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81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81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1"/>
    </row>
    <row r="12" spans="2:51" x14ac:dyDescent="0.3">
      <c r="B12" s="9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81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81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3"/>
      <c r="G12" s="4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81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81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3"/>
      <c r="L12" s="4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81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81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3"/>
      <c r="Q12" s="4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81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81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3"/>
      <c r="V12" s="4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81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81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1"/>
      <c r="AA12" s="4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81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81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1"/>
      <c r="AF12" s="4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81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81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1"/>
      <c r="AK12" s="4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81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81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1"/>
      <c r="AP12" s="4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81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81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1"/>
      <c r="AU12" s="4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81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81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1"/>
    </row>
    <row r="13" spans="2:51" x14ac:dyDescent="0.3">
      <c r="B13" s="9"/>
      <c r="C13" s="22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81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81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3"/>
      <c r="G13" s="4"/>
      <c r="H13" s="22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81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81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3"/>
      <c r="L13" s="4"/>
      <c r="M13" s="22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81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81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3"/>
      <c r="Q13" s="4"/>
      <c r="R13" s="22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81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81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3"/>
      <c r="V13" s="4"/>
      <c r="W13" s="22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81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81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1"/>
      <c r="AA13" s="4"/>
      <c r="AB13" s="22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81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81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1"/>
      <c r="AF13" s="4"/>
      <c r="AG13" s="22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81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81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1"/>
      <c r="AK13" s="4"/>
      <c r="AL13" s="22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81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81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1"/>
      <c r="AP13" s="4"/>
      <c r="AQ13" s="22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81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81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1"/>
      <c r="AU13" s="4"/>
      <c r="AV13" s="22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81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81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1"/>
    </row>
    <row r="14" spans="2:51" x14ac:dyDescent="0.3">
      <c r="B14" s="9"/>
      <c r="C14" s="22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81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81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3"/>
      <c r="G14" s="4"/>
      <c r="H14" s="22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81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81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3"/>
      <c r="L14" s="4"/>
      <c r="M14" s="22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81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81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3"/>
      <c r="Q14" s="4"/>
      <c r="R14" s="22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81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81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3"/>
      <c r="V14" s="4"/>
      <c r="W14" s="22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81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81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1"/>
      <c r="AA14" s="4"/>
      <c r="AB14" s="22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81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81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1"/>
      <c r="AF14" s="4"/>
      <c r="AG14" s="22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81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81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1"/>
      <c r="AK14" s="4"/>
      <c r="AL14" s="22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81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81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1"/>
      <c r="AP14" s="4"/>
      <c r="AQ14" s="22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81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81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1"/>
      <c r="AU14" s="4"/>
      <c r="AV14" s="22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81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81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1"/>
    </row>
    <row r="15" spans="2:51" x14ac:dyDescent="0.3">
      <c r="B15" s="9"/>
      <c r="C15" s="22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81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81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3"/>
      <c r="G15" s="4"/>
      <c r="H15" s="22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81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81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3"/>
      <c r="L15" s="4"/>
      <c r="M15" s="22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81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81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3"/>
      <c r="Q15" s="4"/>
      <c r="R15" s="22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29:</v>
      </c>
      <c r="S15" s="81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Decima entrevista con el cliente presentación de lo solicitado</v>
      </c>
      <c r="T15" s="81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3"/>
      <c r="V15" s="4"/>
      <c r="W15" s="22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81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81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1"/>
      <c r="AA15" s="4"/>
      <c r="AB15" s="22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81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81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1"/>
      <c r="AF15" s="4"/>
      <c r="AG15" s="22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81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81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1"/>
      <c r="AK15" s="4"/>
      <c r="AL15" s="22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81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81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1"/>
      <c r="AP15" s="4"/>
      <c r="AQ15" s="22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81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81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1"/>
      <c r="AU15" s="4"/>
      <c r="AV15" s="22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81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81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1"/>
    </row>
    <row r="16" spans="2:51" x14ac:dyDescent="0.3">
      <c r="B16" s="9"/>
      <c r="C16" s="22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81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81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3"/>
      <c r="G16" s="4"/>
      <c r="H16" s="22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81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81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3"/>
      <c r="L16" s="4"/>
      <c r="M16" s="22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81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81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3"/>
      <c r="Q16" s="4"/>
      <c r="R16" s="22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81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 xml:space="preserve">Ultima reunion con el cliente para verificar todos los avances realizador y conocer la postura del cleinte si se encuentra o no satisfecho con el resultaod final. </v>
      </c>
      <c r="T16" s="81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3"/>
      <c r="V16" s="4"/>
      <c r="W16" s="22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81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81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1"/>
      <c r="AA16" s="4"/>
      <c r="AB16" s="22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81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81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1"/>
      <c r="AF16" s="4"/>
      <c r="AG16" s="22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81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81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1"/>
      <c r="AK16" s="4"/>
      <c r="AL16" s="22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81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81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1"/>
      <c r="AP16" s="4"/>
      <c r="AQ16" s="22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81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81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1"/>
      <c r="AU16" s="4"/>
      <c r="AV16" s="22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81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81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1"/>
    </row>
    <row r="17" spans="2:51" x14ac:dyDescent="0.3">
      <c r="B17" s="9"/>
      <c r="C17" s="22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81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81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3"/>
      <c r="G17" s="4"/>
      <c r="H17" s="22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81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81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3"/>
      <c r="L17" s="4"/>
      <c r="M17" s="22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81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81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3"/>
      <c r="Q17" s="4"/>
      <c r="R17" s="22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81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46215</v>
      </c>
      <c r="T17" s="81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3"/>
      <c r="V17" s="4"/>
      <c r="W17" s="22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81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81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1"/>
      <c r="AA17" s="4"/>
      <c r="AB17" s="22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81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81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1"/>
      <c r="AF17" s="4"/>
      <c r="AG17" s="22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81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81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1"/>
      <c r="AK17" s="4"/>
      <c r="AL17" s="22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81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81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1"/>
      <c r="AP17" s="4"/>
      <c r="AQ17" s="22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81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81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1"/>
      <c r="AU17" s="4"/>
      <c r="AV17" s="22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81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81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1"/>
    </row>
    <row r="18" spans="2:51" x14ac:dyDescent="0.3">
      <c r="B18" s="9"/>
      <c r="C18" s="22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81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81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3"/>
      <c r="G18" s="4"/>
      <c r="H18" s="22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81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81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3"/>
      <c r="L18" s="4"/>
      <c r="M18" s="22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81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81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3"/>
      <c r="Q18" s="4"/>
      <c r="R18" s="22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81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46215</v>
      </c>
      <c r="T18" s="81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3"/>
      <c r="V18" s="4"/>
      <c r="W18" s="22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81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81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1"/>
      <c r="AA18" s="4"/>
      <c r="AB18" s="22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81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81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1"/>
      <c r="AF18" s="4"/>
      <c r="AG18" s="22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81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81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1"/>
      <c r="AK18" s="4"/>
      <c r="AL18" s="22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81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81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1"/>
      <c r="AP18" s="4"/>
      <c r="AQ18" s="22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81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81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1"/>
      <c r="AU18" s="4"/>
      <c r="AV18" s="22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81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81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1"/>
    </row>
    <row r="19" spans="2:51" x14ac:dyDescent="0.3">
      <c r="B19" s="9"/>
      <c r="C19" s="22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81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81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3"/>
      <c r="G19" s="4"/>
      <c r="H19" s="22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81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81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3"/>
      <c r="L19" s="4"/>
      <c r="M19" s="22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81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81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3"/>
      <c r="Q19" s="4"/>
      <c r="R19" s="22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81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46215</v>
      </c>
      <c r="T19" s="81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3"/>
      <c r="V19" s="4"/>
      <c r="W19" s="22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81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81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1"/>
      <c r="AA19" s="4"/>
      <c r="AB19" s="22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81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81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1"/>
      <c r="AF19" s="4"/>
      <c r="AG19" s="22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81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81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1"/>
      <c r="AK19" s="4"/>
      <c r="AL19" s="22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81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81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1"/>
      <c r="AP19" s="4"/>
      <c r="AQ19" s="22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81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81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1"/>
      <c r="AU19" s="4"/>
      <c r="AV19" s="22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81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81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1"/>
    </row>
    <row r="20" spans="2:51" x14ac:dyDescent="0.3">
      <c r="B20" s="9"/>
      <c r="C20" s="22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81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81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3"/>
      <c r="G20" s="4"/>
      <c r="H20" s="22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81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81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3"/>
      <c r="L20" s="4"/>
      <c r="M20" s="22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81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81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3"/>
      <c r="Q20" s="4"/>
      <c r="R20" s="22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81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81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3"/>
      <c r="V20" s="4"/>
      <c r="W20" s="22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81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81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1"/>
      <c r="AA20" s="4"/>
      <c r="AB20" s="22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81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81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1"/>
      <c r="AF20" s="4"/>
      <c r="AG20" s="22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81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81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1"/>
      <c r="AK20" s="4"/>
      <c r="AL20" s="22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81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81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1"/>
      <c r="AP20" s="4"/>
      <c r="AQ20" s="22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81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81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1"/>
      <c r="AU20" s="4"/>
      <c r="AV20" s="22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81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81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1"/>
    </row>
    <row r="21" spans="2:51" x14ac:dyDescent="0.3">
      <c r="B21" s="9"/>
      <c r="C21" s="22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81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81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3"/>
      <c r="G21" s="4"/>
      <c r="H21" s="22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81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81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3"/>
      <c r="L21" s="4"/>
      <c r="M21" s="22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81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81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3"/>
      <c r="Q21" s="4"/>
      <c r="R21" s="22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81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81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3"/>
      <c r="V21" s="4"/>
      <c r="W21" s="22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81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81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1"/>
      <c r="AA21" s="4"/>
      <c r="AB21" s="22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81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81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1"/>
      <c r="AF21" s="4"/>
      <c r="AG21" s="22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81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81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1"/>
      <c r="AK21" s="4"/>
      <c r="AL21" s="22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81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81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1"/>
      <c r="AP21" s="4"/>
      <c r="AQ21" s="22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81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81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1"/>
      <c r="AU21" s="4"/>
      <c r="AV21" s="22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81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81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1"/>
    </row>
    <row r="22" spans="2:51" x14ac:dyDescent="0.3">
      <c r="B22" s="9"/>
      <c r="C22" s="22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81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81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3"/>
      <c r="G22" s="4"/>
      <c r="H22" s="22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81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81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3"/>
      <c r="L22" s="4"/>
      <c r="M22" s="22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81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81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3"/>
      <c r="Q22" s="4"/>
      <c r="R22" s="22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81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Jaramillo, Sosa, Verdezoto</v>
      </c>
      <c r="T22" s="81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3"/>
      <c r="V22" s="4"/>
      <c r="W22" s="22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81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81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1"/>
      <c r="AA22" s="4"/>
      <c r="AB22" s="22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81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81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1"/>
      <c r="AF22" s="4"/>
      <c r="AG22" s="22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81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81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1"/>
      <c r="AK22" s="4"/>
      <c r="AL22" s="22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81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81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1"/>
      <c r="AP22" s="4"/>
      <c r="AQ22" s="22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81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81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1"/>
      <c r="AU22" s="4"/>
      <c r="AV22" s="22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81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81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1"/>
    </row>
    <row r="23" spans="2:51" x14ac:dyDescent="0.3">
      <c r="B23" s="9"/>
      <c r="C23" s="22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81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81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3"/>
      <c r="G23" s="4"/>
      <c r="H23" s="22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81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81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3"/>
      <c r="L23" s="4"/>
      <c r="M23" s="22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81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81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3"/>
      <c r="Q23" s="4"/>
      <c r="R23" s="22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81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81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3"/>
      <c r="V23" s="4"/>
      <c r="W23" s="22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81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81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1"/>
      <c r="AA23" s="4"/>
      <c r="AB23" s="22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81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81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1"/>
      <c r="AF23" s="4"/>
      <c r="AG23" s="22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81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81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1"/>
      <c r="AK23" s="4"/>
      <c r="AL23" s="22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81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81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1"/>
      <c r="AP23" s="4"/>
      <c r="AQ23" s="22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81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81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1"/>
      <c r="AU23" s="4"/>
      <c r="AV23" s="22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81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81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1"/>
    </row>
    <row r="24" spans="2:51" x14ac:dyDescent="0.3">
      <c r="B24" s="9"/>
      <c r="C24" s="22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81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81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3"/>
      <c r="G24" s="4"/>
      <c r="H24" s="22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81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81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3"/>
      <c r="L24" s="4"/>
      <c r="M24" s="22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81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81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3"/>
      <c r="Q24" s="4"/>
      <c r="R24" s="22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28:</v>
      </c>
      <c r="S24" s="81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Revision Pruebas de Errores/ CN-CB, para los requisitos funcioanles de gestion de eventos, gestiosn de extras y gestion de reservas.</v>
      </c>
      <c r="T24" s="81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3"/>
      <c r="V24" s="4"/>
      <c r="W24" s="22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81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81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1"/>
      <c r="AA24" s="4"/>
      <c r="AB24" s="22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81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81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1"/>
      <c r="AF24" s="4"/>
      <c r="AG24" s="22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81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81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1"/>
      <c r="AK24" s="4"/>
      <c r="AL24" s="22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81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81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1"/>
      <c r="AP24" s="4"/>
      <c r="AQ24" s="22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81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81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1"/>
      <c r="AU24" s="4"/>
      <c r="AV24" s="22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81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81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1"/>
    </row>
    <row r="25" spans="2:51" x14ac:dyDescent="0.3">
      <c r="B25" s="9"/>
      <c r="C25" s="22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81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81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3"/>
      <c r="G25" s="4"/>
      <c r="H25" s="22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81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81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3"/>
      <c r="L25" s="4"/>
      <c r="M25" s="22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81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81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3"/>
      <c r="Q25" s="4"/>
      <c r="R25" s="22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81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Corroborar todas las validaciones creadas en el programa para los requisitos funcioanles a presentar</v>
      </c>
      <c r="T25" s="81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3"/>
      <c r="V25" s="4"/>
      <c r="W25" s="22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81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81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1"/>
      <c r="AA25" s="4"/>
      <c r="AB25" s="22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81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81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1"/>
      <c r="AF25" s="4"/>
      <c r="AG25" s="22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81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81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1"/>
      <c r="AK25" s="4"/>
      <c r="AL25" s="22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81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81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1"/>
      <c r="AP25" s="4"/>
      <c r="AQ25" s="22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81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81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1"/>
      <c r="AU25" s="4"/>
      <c r="AV25" s="22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81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81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1"/>
    </row>
    <row r="26" spans="2:51" x14ac:dyDescent="0.3">
      <c r="B26" s="9"/>
      <c r="C26" s="22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81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81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3"/>
      <c r="G26" s="4"/>
      <c r="H26" s="22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81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81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3"/>
      <c r="L26" s="4"/>
      <c r="M26" s="22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81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81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3"/>
      <c r="Q26" s="4"/>
      <c r="R26" s="22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81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46214</v>
      </c>
      <c r="T26" s="81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3"/>
      <c r="V26" s="4"/>
      <c r="W26" s="22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81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81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1"/>
      <c r="AA26" s="4"/>
      <c r="AB26" s="22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81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81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1"/>
      <c r="AF26" s="4"/>
      <c r="AG26" s="22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81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81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1"/>
      <c r="AK26" s="4"/>
      <c r="AL26" s="22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81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81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1"/>
      <c r="AP26" s="4"/>
      <c r="AQ26" s="22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81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81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1"/>
      <c r="AU26" s="4"/>
      <c r="AV26" s="22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81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81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1"/>
    </row>
    <row r="27" spans="2:51" x14ac:dyDescent="0.3">
      <c r="B27" s="9"/>
      <c r="C27" s="22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81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81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3"/>
      <c r="G27" s="4"/>
      <c r="H27" s="22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81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81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3"/>
      <c r="L27" s="4"/>
      <c r="M27" s="22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81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81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3"/>
      <c r="Q27" s="4"/>
      <c r="R27" s="22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81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46214</v>
      </c>
      <c r="T27" s="81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3"/>
      <c r="V27" s="4"/>
      <c r="W27" s="22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81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81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1"/>
      <c r="AA27" s="4"/>
      <c r="AB27" s="22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81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81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1"/>
      <c r="AF27" s="4"/>
      <c r="AG27" s="22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81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81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1"/>
      <c r="AK27" s="4"/>
      <c r="AL27" s="22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81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81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1"/>
      <c r="AP27" s="4"/>
      <c r="AQ27" s="22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81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81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1"/>
      <c r="AU27" s="4"/>
      <c r="AV27" s="22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81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81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1"/>
    </row>
    <row r="28" spans="2:51" x14ac:dyDescent="0.3">
      <c r="B28" s="9"/>
      <c r="C28" s="22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81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81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3"/>
      <c r="G28" s="4"/>
      <c r="H28" s="22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81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81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3"/>
      <c r="L28" s="4"/>
      <c r="M28" s="22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81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81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3"/>
      <c r="Q28" s="4"/>
      <c r="R28" s="22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81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46214</v>
      </c>
      <c r="T28" s="81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3"/>
      <c r="V28" s="4"/>
      <c r="W28" s="22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81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81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1"/>
      <c r="AA28" s="4"/>
      <c r="AB28" s="22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81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81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1"/>
      <c r="AF28" s="4"/>
      <c r="AG28" s="22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81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81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1"/>
      <c r="AK28" s="4"/>
      <c r="AL28" s="22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81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81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1"/>
      <c r="AP28" s="4"/>
      <c r="AQ28" s="22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81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81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1"/>
      <c r="AU28" s="4"/>
      <c r="AV28" s="22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81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81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1"/>
    </row>
    <row r="29" spans="2:51" x14ac:dyDescent="0.3">
      <c r="B29" s="9"/>
      <c r="C29" s="22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81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81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3"/>
      <c r="G29" s="4"/>
      <c r="H29" s="22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81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81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3"/>
      <c r="L29" s="4"/>
      <c r="M29" s="22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81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81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3"/>
      <c r="Q29" s="4"/>
      <c r="R29" s="22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81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81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3"/>
      <c r="V29" s="4"/>
      <c r="W29" s="22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81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81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1"/>
      <c r="AA29" s="4"/>
      <c r="AB29" s="22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81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81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1"/>
      <c r="AF29" s="4"/>
      <c r="AG29" s="22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81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81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1"/>
      <c r="AK29" s="4"/>
      <c r="AL29" s="22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81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81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1"/>
      <c r="AP29" s="4"/>
      <c r="AQ29" s="22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81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81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1"/>
      <c r="AU29" s="4"/>
      <c r="AV29" s="22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81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81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1"/>
    </row>
    <row r="30" spans="2:51" x14ac:dyDescent="0.3">
      <c r="B30" s="9"/>
      <c r="C30" s="22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81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81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3"/>
      <c r="G30" s="4"/>
      <c r="H30" s="22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81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81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3"/>
      <c r="L30" s="4"/>
      <c r="M30" s="22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81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81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3"/>
      <c r="Q30" s="4"/>
      <c r="R30" s="22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81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81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3"/>
      <c r="V30" s="4"/>
      <c r="W30" s="22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81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81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1"/>
      <c r="AA30" s="4"/>
      <c r="AB30" s="22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81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81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1"/>
      <c r="AF30" s="4"/>
      <c r="AG30" s="22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81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81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1"/>
      <c r="AK30" s="4"/>
      <c r="AL30" s="22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81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81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1"/>
      <c r="AP30" s="4"/>
      <c r="AQ30" s="22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81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81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1"/>
      <c r="AU30" s="4"/>
      <c r="AV30" s="22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81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81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1"/>
    </row>
    <row r="31" spans="2:51" x14ac:dyDescent="0.3">
      <c r="B31" s="9"/>
      <c r="C31" s="22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81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81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3"/>
      <c r="G31" s="4"/>
      <c r="H31" s="22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81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81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3"/>
      <c r="L31" s="4"/>
      <c r="M31" s="22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81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81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3"/>
      <c r="Q31" s="4"/>
      <c r="R31" s="22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81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Jaramillo, Sosa</v>
      </c>
      <c r="T31" s="81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3"/>
      <c r="V31" s="4"/>
      <c r="W31" s="22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81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81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1"/>
      <c r="AA31" s="4"/>
      <c r="AB31" s="22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81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81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1"/>
      <c r="AF31" s="4"/>
      <c r="AG31" s="22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81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81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1"/>
      <c r="AK31" s="4"/>
      <c r="AL31" s="22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81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81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1"/>
      <c r="AP31" s="4"/>
      <c r="AQ31" s="22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81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81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1"/>
      <c r="AU31" s="4"/>
      <c r="AV31" s="22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81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81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1"/>
    </row>
    <row r="32" spans="2:51" x14ac:dyDescent="0.3">
      <c r="B32" s="9"/>
      <c r="C32" s="22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81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81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3"/>
      <c r="G32" s="4"/>
      <c r="H32" s="22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81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81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3"/>
      <c r="L32" s="4"/>
      <c r="M32" s="22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81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81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3"/>
      <c r="Q32" s="4"/>
      <c r="R32" s="22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81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81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3"/>
      <c r="V32" s="4"/>
      <c r="W32" s="22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81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81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1"/>
      <c r="AA32" s="4"/>
      <c r="AB32" s="22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81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81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1"/>
      <c r="AF32" s="4"/>
      <c r="AG32" s="22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81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81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1"/>
      <c r="AK32" s="4"/>
      <c r="AL32" s="22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81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81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1"/>
      <c r="AP32" s="4"/>
      <c r="AQ32" s="22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81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81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1"/>
      <c r="AU32" s="4"/>
      <c r="AV32" s="22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81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81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1"/>
    </row>
    <row r="33" spans="2:51" x14ac:dyDescent="0.3">
      <c r="B33" s="9"/>
      <c r="C33" s="22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81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81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3"/>
      <c r="G33" s="4"/>
      <c r="H33" s="22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81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81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3"/>
      <c r="L33" s="4"/>
      <c r="M33" s="22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81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81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3"/>
      <c r="Q33" s="4"/>
      <c r="R33" s="22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27:</v>
      </c>
      <c r="S33" s="81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Creación ventana gestion reservas</v>
      </c>
      <c r="T33" s="81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3"/>
      <c r="V33" s="4"/>
      <c r="W33" s="22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81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81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1"/>
      <c r="AA33" s="4"/>
      <c r="AB33" s="22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81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81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1"/>
      <c r="AF33" s="4"/>
      <c r="AG33" s="22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81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81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1"/>
      <c r="AK33" s="4"/>
      <c r="AL33" s="22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81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81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1"/>
      <c r="AP33" s="4"/>
      <c r="AQ33" s="22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81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81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1"/>
      <c r="AU33" s="4"/>
      <c r="AV33" s="22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81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81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1"/>
    </row>
    <row r="34" spans="2:51" x14ac:dyDescent="0.3">
      <c r="B34" s="9"/>
      <c r="C34" s="22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81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81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3"/>
      <c r="G34" s="4"/>
      <c r="H34" s="22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81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81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3"/>
      <c r="L34" s="4"/>
      <c r="M34" s="22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81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81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3"/>
      <c r="Q34" s="4"/>
      <c r="R34" s="22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81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Cumplir con el requisito funcional previsto para la construcción  del producto final del cliente</v>
      </c>
      <c r="T34" s="81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3"/>
      <c r="V34" s="4"/>
      <c r="W34" s="22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81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81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1"/>
      <c r="AA34" s="4"/>
      <c r="AB34" s="22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81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81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1"/>
      <c r="AF34" s="4"/>
      <c r="AG34" s="22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81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81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1"/>
      <c r="AK34" s="4"/>
      <c r="AL34" s="22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81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81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1"/>
      <c r="AP34" s="4"/>
      <c r="AQ34" s="22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81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81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1"/>
      <c r="AU34" s="4"/>
      <c r="AV34" s="22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81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81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1"/>
    </row>
    <row r="35" spans="2:51" x14ac:dyDescent="0.3">
      <c r="B35" s="9"/>
      <c r="C35" s="22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81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81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3"/>
      <c r="G35" s="4"/>
      <c r="H35" s="22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81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81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3"/>
      <c r="L35" s="4"/>
      <c r="M35" s="22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81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81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3"/>
      <c r="Q35" s="4"/>
      <c r="R35" s="22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81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46213</v>
      </c>
      <c r="T35" s="81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3"/>
      <c r="V35" s="4"/>
      <c r="W35" s="22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81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81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1"/>
      <c r="AA35" s="4"/>
      <c r="AB35" s="22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81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81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1"/>
      <c r="AF35" s="4"/>
      <c r="AG35" s="22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81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81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1"/>
      <c r="AK35" s="4"/>
      <c r="AL35" s="22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81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81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1"/>
      <c r="AP35" s="4"/>
      <c r="AQ35" s="22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81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81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1"/>
      <c r="AU35" s="4"/>
      <c r="AV35" s="22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81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81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1"/>
    </row>
    <row r="36" spans="2:51" x14ac:dyDescent="0.3">
      <c r="B36" s="9"/>
      <c r="C36" s="22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81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81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3"/>
      <c r="G36" s="4"/>
      <c r="H36" s="22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81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81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3"/>
      <c r="L36" s="4"/>
      <c r="M36" s="22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81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81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3"/>
      <c r="Q36" s="4"/>
      <c r="R36" s="22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81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46213</v>
      </c>
      <c r="T36" s="81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3"/>
      <c r="V36" s="4"/>
      <c r="W36" s="22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81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81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1"/>
      <c r="AA36" s="4"/>
      <c r="AB36" s="22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81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81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1"/>
      <c r="AF36" s="4"/>
      <c r="AG36" s="22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81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81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1"/>
      <c r="AK36" s="4"/>
      <c r="AL36" s="22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81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81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1"/>
      <c r="AP36" s="4"/>
      <c r="AQ36" s="22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81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81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1"/>
      <c r="AU36" s="4"/>
      <c r="AV36" s="22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81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81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1"/>
    </row>
    <row r="37" spans="2:51" x14ac:dyDescent="0.3">
      <c r="B37" s="9"/>
      <c r="C37" s="22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81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81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3"/>
      <c r="G37" s="4"/>
      <c r="H37" s="22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81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81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3"/>
      <c r="L37" s="4"/>
      <c r="M37" s="22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81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81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3"/>
      <c r="Q37" s="4"/>
      <c r="R37" s="22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81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46213</v>
      </c>
      <c r="T37" s="81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3"/>
      <c r="V37" s="4"/>
      <c r="W37" s="22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81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81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1"/>
      <c r="AA37" s="4"/>
      <c r="AB37" s="22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81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81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1"/>
      <c r="AF37" s="4"/>
      <c r="AG37" s="22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81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81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1"/>
      <c r="AK37" s="4"/>
      <c r="AL37" s="22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81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81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1"/>
      <c r="AP37" s="4"/>
      <c r="AQ37" s="22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81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81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1"/>
      <c r="AU37" s="4"/>
      <c r="AV37" s="22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81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81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1"/>
    </row>
    <row r="38" spans="2:51" x14ac:dyDescent="0.3">
      <c r="B38" s="9"/>
      <c r="C38" s="22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81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81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3"/>
      <c r="G38" s="4"/>
      <c r="H38" s="22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81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81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3"/>
      <c r="L38" s="4"/>
      <c r="M38" s="22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81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81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3"/>
      <c r="Q38" s="4"/>
      <c r="R38" s="22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81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81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3"/>
      <c r="V38" s="4"/>
      <c r="W38" s="22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81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81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1"/>
      <c r="AA38" s="4"/>
      <c r="AB38" s="22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81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81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1"/>
      <c r="AF38" s="4"/>
      <c r="AG38" s="22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81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81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1"/>
      <c r="AK38" s="4"/>
      <c r="AL38" s="22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81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81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1"/>
      <c r="AP38" s="4"/>
      <c r="AQ38" s="22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81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81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1"/>
      <c r="AU38" s="4"/>
      <c r="AV38" s="22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81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81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1"/>
    </row>
    <row r="39" spans="2:51" x14ac:dyDescent="0.3">
      <c r="B39" s="9"/>
      <c r="C39" s="22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81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81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3"/>
      <c r="G39" s="4"/>
      <c r="H39" s="22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81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81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3"/>
      <c r="L39" s="4"/>
      <c r="M39" s="22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81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81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3"/>
      <c r="Q39" s="4"/>
      <c r="R39" s="22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81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81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3"/>
      <c r="V39" s="4"/>
      <c r="W39" s="22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81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81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1"/>
      <c r="AA39" s="4"/>
      <c r="AB39" s="22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81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81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1"/>
      <c r="AF39" s="4"/>
      <c r="AG39" s="22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81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81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1"/>
      <c r="AK39" s="4"/>
      <c r="AL39" s="22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81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81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1"/>
      <c r="AP39" s="4"/>
      <c r="AQ39" s="22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81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81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1"/>
      <c r="AU39" s="4"/>
      <c r="AV39" s="22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81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81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1"/>
    </row>
    <row r="40" spans="2:51" x14ac:dyDescent="0.3">
      <c r="B40" s="9"/>
      <c r="C40" s="22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81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81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3"/>
      <c r="G40" s="4"/>
      <c r="H40" s="22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81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81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3"/>
      <c r="L40" s="4"/>
      <c r="M40" s="22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81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81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3"/>
      <c r="Q40" s="4"/>
      <c r="R40" s="22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81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Miguel Verdezoto</v>
      </c>
      <c r="T40" s="81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3"/>
      <c r="V40" s="4"/>
      <c r="W40" s="22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81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81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1"/>
      <c r="AA40" s="4"/>
      <c r="AB40" s="22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81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81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1"/>
      <c r="AF40" s="4"/>
      <c r="AG40" s="22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81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81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1"/>
      <c r="AK40" s="4"/>
      <c r="AL40" s="22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81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81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1"/>
      <c r="AP40" s="4"/>
      <c r="AQ40" s="22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81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81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1"/>
      <c r="AU40" s="4"/>
      <c r="AV40" s="22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81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81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1"/>
    </row>
    <row r="41" spans="2:51" x14ac:dyDescent="0.3">
      <c r="B41" s="9"/>
      <c r="C41" s="22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81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81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3"/>
      <c r="G41" s="4"/>
      <c r="H41" s="22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81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81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3"/>
      <c r="L41" s="4"/>
      <c r="M41" s="22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81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81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3"/>
      <c r="Q41" s="4"/>
      <c r="R41" s="22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81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81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3"/>
      <c r="V41" s="4"/>
      <c r="W41" s="22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81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81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1"/>
      <c r="AA41" s="4"/>
      <c r="AB41" s="22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81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81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1"/>
      <c r="AF41" s="4"/>
      <c r="AG41" s="22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81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81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1"/>
      <c r="AK41" s="4"/>
      <c r="AL41" s="22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81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81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1"/>
      <c r="AP41" s="4"/>
      <c r="AQ41" s="22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81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81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1"/>
      <c r="AU41" s="4"/>
      <c r="AV41" s="22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81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81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1"/>
    </row>
    <row r="42" spans="2:51" x14ac:dyDescent="0.3">
      <c r="B42" s="9"/>
      <c r="C42" s="22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81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81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3"/>
      <c r="G42" s="4"/>
      <c r="H42" s="22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81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81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3"/>
      <c r="L42" s="4"/>
      <c r="M42" s="22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81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81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3"/>
      <c r="Q42" s="4"/>
      <c r="R42" s="22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26:</v>
      </c>
      <c r="S42" s="81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Creación ventana gestion extras</v>
      </c>
      <c r="T42" s="81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3"/>
      <c r="V42" s="4"/>
      <c r="W42" s="22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81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81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1"/>
      <c r="AA42" s="4"/>
      <c r="AB42" s="22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81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81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1"/>
      <c r="AF42" s="4"/>
      <c r="AG42" s="22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81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81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1"/>
      <c r="AK42" s="4"/>
      <c r="AL42" s="22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81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81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1"/>
      <c r="AP42" s="4"/>
      <c r="AQ42" s="22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81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81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1"/>
      <c r="AU42" s="4"/>
      <c r="AV42" s="22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81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81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1"/>
    </row>
    <row r="43" spans="2:51" x14ac:dyDescent="0.3">
      <c r="B43" s="9"/>
      <c r="C43" s="22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81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81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3"/>
      <c r="G43" s="4"/>
      <c r="H43" s="22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81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81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3"/>
      <c r="L43" s="4"/>
      <c r="M43" s="22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81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81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3"/>
      <c r="Q43" s="4"/>
      <c r="R43" s="22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81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Cumplir con el requisito funcional previsto para la construcción  del producto final del cliente</v>
      </c>
      <c r="T43" s="81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3"/>
      <c r="V43" s="4"/>
      <c r="W43" s="22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81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81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1"/>
      <c r="AA43" s="4"/>
      <c r="AB43" s="22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81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81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1"/>
      <c r="AF43" s="4"/>
      <c r="AG43" s="22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81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81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1"/>
      <c r="AK43" s="4"/>
      <c r="AL43" s="22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81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81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1"/>
      <c r="AP43" s="4"/>
      <c r="AQ43" s="22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81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81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1"/>
      <c r="AU43" s="4"/>
      <c r="AV43" s="22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81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81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1"/>
    </row>
    <row r="44" spans="2:51" x14ac:dyDescent="0.3">
      <c r="B44" s="9"/>
      <c r="C44" s="22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81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81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3"/>
      <c r="G44" s="4"/>
      <c r="H44" s="22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81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81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3"/>
      <c r="L44" s="4"/>
      <c r="M44" s="22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81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81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3"/>
      <c r="Q44" s="4"/>
      <c r="R44" s="22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81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46212</v>
      </c>
      <c r="T44" s="81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3"/>
      <c r="V44" s="4"/>
      <c r="W44" s="22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81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81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1"/>
      <c r="AA44" s="4"/>
      <c r="AB44" s="22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81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81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1"/>
      <c r="AF44" s="4"/>
      <c r="AG44" s="22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81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81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1"/>
      <c r="AK44" s="4"/>
      <c r="AL44" s="22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81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81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1"/>
      <c r="AP44" s="4"/>
      <c r="AQ44" s="22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81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81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1"/>
      <c r="AU44" s="4"/>
      <c r="AV44" s="22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81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81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1"/>
    </row>
    <row r="45" spans="2:51" x14ac:dyDescent="0.3">
      <c r="B45" s="9"/>
      <c r="C45" s="22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81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81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3"/>
      <c r="G45" s="4"/>
      <c r="H45" s="22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81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81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3"/>
      <c r="L45" s="4"/>
      <c r="M45" s="22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81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81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3"/>
      <c r="Q45" s="4"/>
      <c r="R45" s="22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81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46212</v>
      </c>
      <c r="T45" s="81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3"/>
      <c r="V45" s="4"/>
      <c r="W45" s="22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81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81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1"/>
      <c r="AA45" s="4"/>
      <c r="AB45" s="22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81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81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1"/>
      <c r="AF45" s="4"/>
      <c r="AG45" s="22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81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81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1"/>
      <c r="AK45" s="4"/>
      <c r="AL45" s="22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81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81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1"/>
      <c r="AP45" s="4"/>
      <c r="AQ45" s="22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81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81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1"/>
      <c r="AU45" s="4"/>
      <c r="AV45" s="22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81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81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1"/>
    </row>
    <row r="46" spans="2:51" x14ac:dyDescent="0.3">
      <c r="B46" s="9"/>
      <c r="C46" s="22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81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81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3"/>
      <c r="G46" s="4"/>
      <c r="H46" s="22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81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81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3"/>
      <c r="L46" s="4"/>
      <c r="M46" s="22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81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81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3"/>
      <c r="Q46" s="4"/>
      <c r="R46" s="22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81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46212</v>
      </c>
      <c r="T46" s="81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3"/>
      <c r="V46" s="4"/>
      <c r="W46" s="22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81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81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1"/>
      <c r="AA46" s="4"/>
      <c r="AB46" s="22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81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81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1"/>
      <c r="AF46" s="4"/>
      <c r="AG46" s="22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81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81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1"/>
      <c r="AK46" s="4"/>
      <c r="AL46" s="22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81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81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1"/>
      <c r="AP46" s="4"/>
      <c r="AQ46" s="22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81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81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1"/>
      <c r="AU46" s="4"/>
      <c r="AV46" s="22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81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81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1"/>
    </row>
    <row r="47" spans="2:51" x14ac:dyDescent="0.3">
      <c r="B47" s="9"/>
      <c r="C47" s="22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81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81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3"/>
      <c r="G47" s="4"/>
      <c r="H47" s="22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81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81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3"/>
      <c r="L47" s="4"/>
      <c r="M47" s="22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81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81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3"/>
      <c r="Q47" s="4"/>
      <c r="R47" s="22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81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81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3"/>
      <c r="V47" s="4"/>
      <c r="W47" s="22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81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81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1"/>
      <c r="AA47" s="4"/>
      <c r="AB47" s="22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81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81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1"/>
      <c r="AF47" s="4"/>
      <c r="AG47" s="22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81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81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1"/>
      <c r="AK47" s="4"/>
      <c r="AL47" s="22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81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81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1"/>
      <c r="AP47" s="4"/>
      <c r="AQ47" s="22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81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81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1"/>
      <c r="AU47" s="4"/>
      <c r="AV47" s="22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81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81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1"/>
    </row>
    <row r="48" spans="2:51" x14ac:dyDescent="0.3">
      <c r="B48" s="9"/>
      <c r="C48" s="22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81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81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3"/>
      <c r="G48" s="4"/>
      <c r="H48" s="22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81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81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3"/>
      <c r="L48" s="4"/>
      <c r="M48" s="22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81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81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3"/>
      <c r="Q48" s="4"/>
      <c r="R48" s="22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81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81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3"/>
      <c r="V48" s="4"/>
      <c r="W48" s="22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81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81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1"/>
      <c r="AA48" s="4"/>
      <c r="AB48" s="22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81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81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1"/>
      <c r="AF48" s="4"/>
      <c r="AG48" s="22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81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81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1"/>
      <c r="AK48" s="4"/>
      <c r="AL48" s="22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81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81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1"/>
      <c r="AP48" s="4"/>
      <c r="AQ48" s="22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81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81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1"/>
      <c r="AU48" s="4"/>
      <c r="AV48" s="22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81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81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1"/>
    </row>
    <row r="49" spans="2:51" x14ac:dyDescent="0.3">
      <c r="B49" s="9"/>
      <c r="C49" s="22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81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81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3"/>
      <c r="G49" s="4"/>
      <c r="H49" s="22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81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81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3"/>
      <c r="L49" s="4"/>
      <c r="M49" s="22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81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81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3"/>
      <c r="Q49" s="4"/>
      <c r="R49" s="22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81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Valeria Sosa</v>
      </c>
      <c r="T49" s="81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3"/>
      <c r="V49" s="4"/>
      <c r="W49" s="22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81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81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1"/>
      <c r="AA49" s="4"/>
      <c r="AB49" s="22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81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81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1"/>
      <c r="AF49" s="4"/>
      <c r="AG49" s="22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81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81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1"/>
      <c r="AK49" s="4"/>
      <c r="AL49" s="22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81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81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1"/>
      <c r="AP49" s="4"/>
      <c r="AQ49" s="22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81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81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1"/>
      <c r="AU49" s="4"/>
      <c r="AV49" s="22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81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81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1"/>
    </row>
    <row r="50" spans="2:51" x14ac:dyDescent="0.3">
      <c r="B50" s="9"/>
      <c r="C50" s="22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81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81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3"/>
      <c r="G50" s="4"/>
      <c r="H50" s="22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81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81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3"/>
      <c r="L50" s="4"/>
      <c r="M50" s="22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81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81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3"/>
      <c r="Q50" s="4"/>
      <c r="R50" s="22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81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81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3"/>
      <c r="V50" s="4"/>
      <c r="W50" s="22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81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81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1"/>
      <c r="AA50" s="4"/>
      <c r="AB50" s="22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81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81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1"/>
      <c r="AF50" s="4"/>
      <c r="AG50" s="22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81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81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1"/>
      <c r="AK50" s="4"/>
      <c r="AL50" s="22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81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81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1"/>
      <c r="AP50" s="4"/>
      <c r="AQ50" s="22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81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81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1"/>
      <c r="AU50" s="4"/>
      <c r="AV50" s="22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81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81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1"/>
    </row>
    <row r="51" spans="2:51" x14ac:dyDescent="0.3">
      <c r="B51" s="9"/>
      <c r="C51" s="22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81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81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3"/>
      <c r="G51" s="4"/>
      <c r="H51" s="22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81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81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3"/>
      <c r="L51" s="4"/>
      <c r="M51" s="22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81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81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3"/>
      <c r="Q51" s="4"/>
      <c r="R51" s="22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25:</v>
      </c>
      <c r="S51" s="81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Creación ventana gestion servicios</v>
      </c>
      <c r="T51" s="81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3"/>
      <c r="V51" s="4"/>
      <c r="W51" s="22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81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81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1"/>
      <c r="AA51" s="4"/>
      <c r="AB51" s="22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81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81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1"/>
      <c r="AF51" s="4"/>
      <c r="AG51" s="22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81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81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1"/>
      <c r="AK51" s="4"/>
      <c r="AL51" s="22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81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81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1"/>
      <c r="AP51" s="4"/>
      <c r="AQ51" s="22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81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81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1"/>
      <c r="AU51" s="4"/>
      <c r="AV51" s="22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81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81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1"/>
    </row>
    <row r="52" spans="2:51" x14ac:dyDescent="0.3">
      <c r="B52" s="9"/>
      <c r="C52" s="22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81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81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3"/>
      <c r="G52" s="4"/>
      <c r="H52" s="22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81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81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3"/>
      <c r="L52" s="4"/>
      <c r="M52" s="22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81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81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3"/>
      <c r="Q52" s="4"/>
      <c r="R52" s="22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81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Cumplir con el requisito funcional previsto para la construcción  del producto final del cliente</v>
      </c>
      <c r="T52" s="81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3"/>
      <c r="V52" s="4"/>
      <c r="W52" s="22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81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81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1"/>
      <c r="AA52" s="4"/>
      <c r="AB52" s="22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81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81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1"/>
      <c r="AF52" s="4"/>
      <c r="AG52" s="22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81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81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1"/>
      <c r="AK52" s="4"/>
      <c r="AL52" s="22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81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81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1"/>
      <c r="AP52" s="4"/>
      <c r="AQ52" s="22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81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81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1"/>
      <c r="AU52" s="4"/>
      <c r="AV52" s="22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81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81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1"/>
    </row>
    <row r="53" spans="2:51" x14ac:dyDescent="0.3">
      <c r="B53" s="9"/>
      <c r="C53" s="22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81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81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3"/>
      <c r="G53" s="4"/>
      <c r="H53" s="22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81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81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3"/>
      <c r="L53" s="4"/>
      <c r="M53" s="22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81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81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3"/>
      <c r="Q53" s="4"/>
      <c r="R53" s="22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81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46211</v>
      </c>
      <c r="T53" s="81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3"/>
      <c r="V53" s="4"/>
      <c r="W53" s="22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81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81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1"/>
      <c r="AA53" s="4"/>
      <c r="AB53" s="22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81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81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1"/>
      <c r="AF53" s="4"/>
      <c r="AG53" s="22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81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81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1"/>
      <c r="AK53" s="4"/>
      <c r="AL53" s="22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81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81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1"/>
      <c r="AP53" s="4"/>
      <c r="AQ53" s="22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81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81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1"/>
      <c r="AU53" s="4"/>
      <c r="AV53" s="22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81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81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1"/>
    </row>
    <row r="54" spans="2:51" x14ac:dyDescent="0.3">
      <c r="B54" s="9"/>
      <c r="C54" s="22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81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81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3"/>
      <c r="G54" s="4"/>
      <c r="H54" s="22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81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81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3"/>
      <c r="L54" s="4"/>
      <c r="M54" s="22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81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81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3"/>
      <c r="Q54" s="4"/>
      <c r="R54" s="22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81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46211</v>
      </c>
      <c r="T54" s="81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3"/>
      <c r="V54" s="4"/>
      <c r="W54" s="22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81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81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1"/>
      <c r="AA54" s="4"/>
      <c r="AB54" s="22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81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81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1"/>
      <c r="AF54" s="4"/>
      <c r="AG54" s="22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81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81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1"/>
      <c r="AK54" s="4"/>
      <c r="AL54" s="22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81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81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1"/>
      <c r="AP54" s="4"/>
      <c r="AQ54" s="22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81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81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1"/>
      <c r="AU54" s="4"/>
      <c r="AV54" s="22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81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81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1"/>
    </row>
    <row r="55" spans="2:51" x14ac:dyDescent="0.3">
      <c r="B55" s="9"/>
      <c r="C55" s="22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81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81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3"/>
      <c r="G55" s="4"/>
      <c r="H55" s="22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81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81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3"/>
      <c r="L55" s="4"/>
      <c r="M55" s="22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81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81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3"/>
      <c r="Q55" s="4"/>
      <c r="R55" s="22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81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46211</v>
      </c>
      <c r="T55" s="81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3"/>
      <c r="V55" s="4"/>
      <c r="W55" s="22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81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81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1"/>
      <c r="AA55" s="4"/>
      <c r="AB55" s="22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81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81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1"/>
      <c r="AF55" s="4"/>
      <c r="AG55" s="22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81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81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1"/>
      <c r="AK55" s="4"/>
      <c r="AL55" s="22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81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81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1"/>
      <c r="AP55" s="4"/>
      <c r="AQ55" s="22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81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81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1"/>
      <c r="AU55" s="4"/>
      <c r="AV55" s="22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81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81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1"/>
    </row>
    <row r="56" spans="2:51" x14ac:dyDescent="0.3">
      <c r="B56" s="9"/>
      <c r="C56" s="22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81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81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3"/>
      <c r="G56" s="4"/>
      <c r="H56" s="22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81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81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3"/>
      <c r="L56" s="4"/>
      <c r="M56" s="22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81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81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3"/>
      <c r="Q56" s="4"/>
      <c r="R56" s="22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81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81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3"/>
      <c r="V56" s="4"/>
      <c r="W56" s="22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81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81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1"/>
      <c r="AA56" s="4"/>
      <c r="AB56" s="22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81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81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1"/>
      <c r="AF56" s="4"/>
      <c r="AG56" s="22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81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81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1"/>
      <c r="AK56" s="4"/>
      <c r="AL56" s="22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81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81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1"/>
      <c r="AP56" s="4"/>
      <c r="AQ56" s="22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81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81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1"/>
      <c r="AU56" s="4"/>
      <c r="AV56" s="22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81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81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1"/>
    </row>
    <row r="57" spans="2:51" x14ac:dyDescent="0.3">
      <c r="B57" s="9"/>
      <c r="C57" s="22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81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81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3"/>
      <c r="G57" s="4"/>
      <c r="H57" s="22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81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81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3"/>
      <c r="L57" s="4"/>
      <c r="M57" s="22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81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81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3"/>
      <c r="Q57" s="4"/>
      <c r="R57" s="22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81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81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3"/>
      <c r="V57" s="4"/>
      <c r="W57" s="22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81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81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1"/>
      <c r="AA57" s="4"/>
      <c r="AB57" s="22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81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81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1"/>
      <c r="AF57" s="4"/>
      <c r="AG57" s="22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81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81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1"/>
      <c r="AK57" s="4"/>
      <c r="AL57" s="22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81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81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1"/>
      <c r="AP57" s="4"/>
      <c r="AQ57" s="22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81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81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1"/>
      <c r="AU57" s="4"/>
      <c r="AV57" s="22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81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81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1"/>
    </row>
    <row r="58" spans="2:51" x14ac:dyDescent="0.3">
      <c r="B58" s="9"/>
      <c r="C58" s="22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81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81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3"/>
      <c r="G58" s="4"/>
      <c r="H58" s="22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81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81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3"/>
      <c r="L58" s="4"/>
      <c r="M58" s="22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81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81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3"/>
      <c r="Q58" s="4"/>
      <c r="R58" s="22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81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Mateo Jaramillo</v>
      </c>
      <c r="T58" s="81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3"/>
      <c r="V58" s="4"/>
      <c r="W58" s="22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81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81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1"/>
      <c r="AA58" s="4"/>
      <c r="AB58" s="22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81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81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1"/>
      <c r="AF58" s="4"/>
      <c r="AG58" s="22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81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81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1"/>
      <c r="AK58" s="4"/>
      <c r="AL58" s="22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81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81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1"/>
      <c r="AP58" s="4"/>
      <c r="AQ58" s="22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81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81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1"/>
      <c r="AU58" s="4"/>
      <c r="AV58" s="22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81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81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1"/>
    </row>
    <row r="59" spans="2:51" x14ac:dyDescent="0.3">
      <c r="B59" s="9"/>
      <c r="C59" s="22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81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81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3"/>
      <c r="G59" s="4"/>
      <c r="H59" s="22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81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81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3"/>
      <c r="L59" s="4"/>
      <c r="M59" s="22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81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81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3"/>
      <c r="Q59" s="4"/>
      <c r="R59" s="22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81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81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3"/>
      <c r="V59" s="4"/>
      <c r="W59" s="22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81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81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1"/>
      <c r="AA59" s="4"/>
      <c r="AB59" s="22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81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81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1"/>
      <c r="AF59" s="4"/>
      <c r="AG59" s="22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81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81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1"/>
      <c r="AK59" s="4"/>
      <c r="AL59" s="22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81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81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1"/>
      <c r="AP59" s="4"/>
      <c r="AQ59" s="22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81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81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1"/>
      <c r="AU59" s="4"/>
      <c r="AV59" s="22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81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81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1"/>
    </row>
    <row r="60" spans="2:51" x14ac:dyDescent="0.3">
      <c r="B60" s="9"/>
      <c r="C60" s="22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81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81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3"/>
      <c r="G60" s="4"/>
      <c r="H60" s="22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81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81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3"/>
      <c r="L60" s="4"/>
      <c r="M60" s="22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81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81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3"/>
      <c r="Q60" s="4"/>
      <c r="R60" s="22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24:</v>
      </c>
      <c r="S60" s="81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Propuesta/ Entrevista con el cliente para avanzar con los ultimo requisitios funcionales</v>
      </c>
      <c r="T60" s="81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3"/>
      <c r="V60" s="4"/>
      <c r="W60" s="22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81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81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1"/>
      <c r="AA60" s="4"/>
      <c r="AB60" s="22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81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81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1"/>
      <c r="AF60" s="4"/>
      <c r="AG60" s="22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81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81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1"/>
      <c r="AK60" s="4"/>
      <c r="AL60" s="22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81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81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1"/>
      <c r="AP60" s="4"/>
      <c r="AQ60" s="22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81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81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1"/>
      <c r="AU60" s="4"/>
      <c r="AV60" s="22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81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81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1"/>
    </row>
    <row r="61" spans="2:51" x14ac:dyDescent="0.3">
      <c r="B61" s="9"/>
      <c r="C61" s="22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81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81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3"/>
      <c r="G61" s="4"/>
      <c r="H61" s="22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81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81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3"/>
      <c r="L61" s="4"/>
      <c r="M61" s="22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81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81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3"/>
      <c r="Q61" s="4"/>
      <c r="R61" s="22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81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Reunion con el cliente para realizar la propuesta del terecer sprint para revisar si los requisitos funcionales son los correctos</v>
      </c>
      <c r="T61" s="81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3"/>
      <c r="V61" s="4"/>
      <c r="W61" s="22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81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81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1"/>
      <c r="AA61" s="4"/>
      <c r="AB61" s="22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81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81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1"/>
      <c r="AF61" s="4"/>
      <c r="AG61" s="22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81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81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1"/>
      <c r="AK61" s="4"/>
      <c r="AL61" s="22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81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81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1"/>
      <c r="AP61" s="4"/>
      <c r="AQ61" s="22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81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81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1"/>
      <c r="AU61" s="4"/>
      <c r="AV61" s="22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81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81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1"/>
    </row>
    <row r="62" spans="2:51" x14ac:dyDescent="0.3">
      <c r="B62" s="9"/>
      <c r="C62" s="22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81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81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3"/>
      <c r="G62" s="4"/>
      <c r="H62" s="22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81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81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3"/>
      <c r="L62" s="4"/>
      <c r="M62" s="22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81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81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3"/>
      <c r="Q62" s="4"/>
      <c r="R62" s="22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81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46210</v>
      </c>
      <c r="T62" s="81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3"/>
      <c r="V62" s="4"/>
      <c r="W62" s="22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81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81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1"/>
      <c r="AA62" s="4"/>
      <c r="AB62" s="22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81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81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1"/>
      <c r="AF62" s="4"/>
      <c r="AG62" s="22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81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81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1"/>
      <c r="AK62" s="4"/>
      <c r="AL62" s="22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81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81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1"/>
      <c r="AP62" s="4"/>
      <c r="AQ62" s="22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81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81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1"/>
      <c r="AU62" s="4"/>
      <c r="AV62" s="22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81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81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1"/>
    </row>
    <row r="63" spans="2:51" x14ac:dyDescent="0.3">
      <c r="B63" s="9"/>
      <c r="C63" s="22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81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81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3"/>
      <c r="G63" s="4"/>
      <c r="H63" s="22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81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81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3"/>
      <c r="L63" s="4"/>
      <c r="M63" s="22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81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81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3"/>
      <c r="Q63" s="4"/>
      <c r="R63" s="22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81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46210</v>
      </c>
      <c r="T63" s="81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3"/>
      <c r="V63" s="4"/>
      <c r="W63" s="22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81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81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1"/>
      <c r="AA63" s="4"/>
      <c r="AB63" s="22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81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81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1"/>
      <c r="AF63" s="4"/>
      <c r="AG63" s="22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81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81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1"/>
      <c r="AK63" s="4"/>
      <c r="AL63" s="22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81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81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1"/>
      <c r="AP63" s="4"/>
      <c r="AQ63" s="22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81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81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1"/>
      <c r="AU63" s="4"/>
      <c r="AV63" s="22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81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81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1"/>
    </row>
    <row r="64" spans="2:51" x14ac:dyDescent="0.3">
      <c r="B64" s="9"/>
      <c r="C64" s="22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81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81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3"/>
      <c r="G64" s="4"/>
      <c r="H64" s="22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81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81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3"/>
      <c r="L64" s="4"/>
      <c r="M64" s="22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81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81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3"/>
      <c r="Q64" s="4"/>
      <c r="R64" s="22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81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46210</v>
      </c>
      <c r="T64" s="81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3"/>
      <c r="V64" s="4"/>
      <c r="W64" s="22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81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81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1"/>
      <c r="AA64" s="4"/>
      <c r="AB64" s="22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81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81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1"/>
      <c r="AF64" s="4"/>
      <c r="AG64" s="22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81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81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1"/>
      <c r="AK64" s="4"/>
      <c r="AL64" s="22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81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81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1"/>
      <c r="AP64" s="4"/>
      <c r="AQ64" s="22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81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81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1"/>
      <c r="AU64" s="4"/>
      <c r="AV64" s="22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81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81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1"/>
    </row>
    <row r="65" spans="2:51" x14ac:dyDescent="0.3">
      <c r="B65" s="9"/>
      <c r="C65" s="22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81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81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3"/>
      <c r="G65" s="4"/>
      <c r="H65" s="22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81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81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3"/>
      <c r="L65" s="4"/>
      <c r="M65" s="22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81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81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3"/>
      <c r="Q65" s="4"/>
      <c r="R65" s="22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81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81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3"/>
      <c r="V65" s="4"/>
      <c r="W65" s="22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81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81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1"/>
      <c r="AA65" s="4"/>
      <c r="AB65" s="22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81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81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1"/>
      <c r="AF65" s="4"/>
      <c r="AG65" s="22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81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81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1"/>
      <c r="AK65" s="4"/>
      <c r="AL65" s="22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81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81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1"/>
      <c r="AP65" s="4"/>
      <c r="AQ65" s="22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81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81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1"/>
      <c r="AU65" s="4"/>
      <c r="AV65" s="22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81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81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1"/>
    </row>
    <row r="66" spans="2:51" x14ac:dyDescent="0.3">
      <c r="B66" s="9"/>
      <c r="C66" s="22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81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81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3"/>
      <c r="G66" s="4"/>
      <c r="H66" s="22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81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81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3"/>
      <c r="L66" s="4"/>
      <c r="M66" s="22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81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81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3"/>
      <c r="Q66" s="4"/>
      <c r="R66" s="22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81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81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3"/>
      <c r="V66" s="4"/>
      <c r="W66" s="22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81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81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1"/>
      <c r="AA66" s="4"/>
      <c r="AB66" s="22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81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81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1"/>
      <c r="AF66" s="4"/>
      <c r="AG66" s="22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81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81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1"/>
      <c r="AK66" s="4"/>
      <c r="AL66" s="22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81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81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1"/>
      <c r="AP66" s="4"/>
      <c r="AQ66" s="22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81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81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1"/>
      <c r="AU66" s="4"/>
      <c r="AV66" s="22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81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81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1"/>
    </row>
    <row r="67" spans="2:51" x14ac:dyDescent="0.3">
      <c r="B67" s="9"/>
      <c r="C67" s="22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81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81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3"/>
      <c r="G67" s="4"/>
      <c r="H67" s="22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81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81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3"/>
      <c r="L67" s="4"/>
      <c r="M67" s="22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81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81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3"/>
      <c r="Q67" s="4"/>
      <c r="R67" s="22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81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Jaramillo, Sosa, Verdezoto</v>
      </c>
      <c r="T67" s="81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3"/>
      <c r="V67" s="4"/>
      <c r="W67" s="22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81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81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1"/>
      <c r="AA67" s="4"/>
      <c r="AB67" s="22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81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81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1"/>
      <c r="AF67" s="4"/>
      <c r="AG67" s="22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81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81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1"/>
      <c r="AK67" s="4"/>
      <c r="AL67" s="22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81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81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1"/>
      <c r="AP67" s="4"/>
      <c r="AQ67" s="22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81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81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1"/>
      <c r="AU67" s="4"/>
      <c r="AV67" s="22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81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81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1"/>
    </row>
    <row r="68" spans="2:51" x14ac:dyDescent="0.3">
      <c r="B68" s="9"/>
      <c r="C68" s="22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81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81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3"/>
      <c r="G68" s="4"/>
      <c r="H68" s="22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81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81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3"/>
      <c r="L68" s="4"/>
      <c r="M68" s="22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81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81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3"/>
      <c r="Q68" s="4"/>
      <c r="R68" s="22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81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81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3"/>
      <c r="V68" s="4"/>
      <c r="W68" s="22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81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81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1"/>
      <c r="AA68" s="4"/>
      <c r="AB68" s="22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81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81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1"/>
      <c r="AF68" s="4"/>
      <c r="AG68" s="22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81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81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1"/>
      <c r="AK68" s="4"/>
      <c r="AL68" s="22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81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81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1"/>
      <c r="AP68" s="4"/>
      <c r="AQ68" s="22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81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81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1"/>
      <c r="AU68" s="4"/>
      <c r="AV68" s="22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81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81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1"/>
    </row>
    <row r="69" spans="2:51" x14ac:dyDescent="0.3">
      <c r="B69" s="9"/>
      <c r="C69" s="22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81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81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3"/>
      <c r="G69" s="4"/>
      <c r="H69" s="22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81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81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3"/>
      <c r="L69" s="4"/>
      <c r="M69" s="22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81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81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3"/>
      <c r="Q69" s="4"/>
      <c r="R69" s="22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23:</v>
      </c>
      <c r="S69" s="81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Octava entrevista con el cliente presentación de lo solicitado</v>
      </c>
      <c r="T69" s="81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3"/>
      <c r="V69" s="4"/>
      <c r="W69" s="22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81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81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1"/>
      <c r="AA69" s="4"/>
      <c r="AB69" s="22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81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81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1"/>
      <c r="AF69" s="4"/>
      <c r="AG69" s="22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81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81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1"/>
      <c r="AK69" s="4"/>
      <c r="AL69" s="22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81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81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1"/>
      <c r="AP69" s="4"/>
      <c r="AQ69" s="22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81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81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1"/>
      <c r="AU69" s="4"/>
      <c r="AV69" s="22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81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81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1"/>
    </row>
    <row r="70" spans="2:51" x14ac:dyDescent="0.3">
      <c r="B70" s="9"/>
      <c r="C70" s="22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81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81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3"/>
      <c r="G70" s="4"/>
      <c r="H70" s="22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81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81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3"/>
      <c r="L70" s="4"/>
      <c r="M70" s="22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81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81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3"/>
      <c r="Q70" s="4"/>
      <c r="R70" s="22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81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Reunion con el cliente para presentarle el avance previsto y conocer si cumple o no cumple con las necesidades del cliente</v>
      </c>
      <c r="T70" s="81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3"/>
      <c r="V70" s="4"/>
      <c r="W70" s="22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81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81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1"/>
      <c r="AA70" s="4"/>
      <c r="AB70" s="22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81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81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1"/>
      <c r="AF70" s="4"/>
      <c r="AG70" s="22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81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81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1"/>
      <c r="AK70" s="4"/>
      <c r="AL70" s="22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81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81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1"/>
      <c r="AP70" s="4"/>
      <c r="AQ70" s="22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81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81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1"/>
      <c r="AU70" s="4"/>
      <c r="AV70" s="22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81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81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1"/>
    </row>
    <row r="71" spans="2:51" x14ac:dyDescent="0.3">
      <c r="B71" s="9"/>
      <c r="C71" s="22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81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81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3"/>
      <c r="G71" s="4"/>
      <c r="H71" s="22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81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81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3"/>
      <c r="L71" s="4"/>
      <c r="M71" s="22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81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81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3"/>
      <c r="Q71" s="4"/>
      <c r="R71" s="22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81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46209</v>
      </c>
      <c r="T71" s="81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3"/>
      <c r="V71" s="4"/>
      <c r="W71" s="22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81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81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1"/>
      <c r="AA71" s="4"/>
      <c r="AB71" s="22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81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81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1"/>
      <c r="AF71" s="4"/>
      <c r="AG71" s="22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81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81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1"/>
      <c r="AK71" s="4"/>
      <c r="AL71" s="22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81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81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1"/>
      <c r="AP71" s="4"/>
      <c r="AQ71" s="22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81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81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1"/>
      <c r="AU71" s="4"/>
      <c r="AV71" s="22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81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81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1"/>
    </row>
    <row r="72" spans="2:51" x14ac:dyDescent="0.3">
      <c r="B72" s="9"/>
      <c r="C72" s="22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81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81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3"/>
      <c r="G72" s="4"/>
      <c r="H72" s="22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81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81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3"/>
      <c r="L72" s="4"/>
      <c r="M72" s="22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81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81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3"/>
      <c r="Q72" s="4"/>
      <c r="R72" s="22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81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46209</v>
      </c>
      <c r="T72" s="81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3"/>
      <c r="V72" s="4"/>
      <c r="W72" s="22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81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81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1"/>
      <c r="AA72" s="4"/>
      <c r="AB72" s="22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81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81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1"/>
      <c r="AF72" s="4"/>
      <c r="AG72" s="22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81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81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1"/>
      <c r="AK72" s="4"/>
      <c r="AL72" s="22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81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81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1"/>
      <c r="AP72" s="4"/>
      <c r="AQ72" s="22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81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81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1"/>
      <c r="AU72" s="4"/>
      <c r="AV72" s="22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81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81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1"/>
    </row>
    <row r="73" spans="2:51" x14ac:dyDescent="0.3">
      <c r="B73" s="9"/>
      <c r="C73" s="22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81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81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3"/>
      <c r="G73" s="4"/>
      <c r="H73" s="22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81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81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3"/>
      <c r="L73" s="4"/>
      <c r="M73" s="22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81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81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3"/>
      <c r="Q73" s="4"/>
      <c r="R73" s="22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81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46209</v>
      </c>
      <c r="T73" s="81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3"/>
      <c r="V73" s="4"/>
      <c r="W73" s="22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81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81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1"/>
      <c r="AA73" s="4"/>
      <c r="AB73" s="22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81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81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1"/>
      <c r="AF73" s="4"/>
      <c r="AG73" s="22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81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81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1"/>
      <c r="AK73" s="4"/>
      <c r="AL73" s="22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81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81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1"/>
      <c r="AP73" s="4"/>
      <c r="AQ73" s="22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81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81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1"/>
      <c r="AU73" s="4"/>
      <c r="AV73" s="22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81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81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1"/>
    </row>
    <row r="74" spans="2:51" x14ac:dyDescent="0.3">
      <c r="B74" s="9"/>
      <c r="C74" s="22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81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81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3"/>
      <c r="G74" s="4"/>
      <c r="H74" s="22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81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81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3"/>
      <c r="L74" s="4"/>
      <c r="M74" s="22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81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81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3"/>
      <c r="Q74" s="4"/>
      <c r="R74" s="22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81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81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3"/>
      <c r="V74" s="4"/>
      <c r="W74" s="22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81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81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1"/>
      <c r="AA74" s="4"/>
      <c r="AB74" s="22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81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81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1"/>
      <c r="AF74" s="4"/>
      <c r="AG74" s="22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81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81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1"/>
      <c r="AK74" s="4"/>
      <c r="AL74" s="22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81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81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1"/>
      <c r="AP74" s="4"/>
      <c r="AQ74" s="22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81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81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1"/>
      <c r="AU74" s="4"/>
      <c r="AV74" s="22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81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81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1"/>
    </row>
    <row r="75" spans="2:51" x14ac:dyDescent="0.3">
      <c r="B75" s="9"/>
      <c r="C75" s="22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81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81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3"/>
      <c r="G75" s="4"/>
      <c r="H75" s="22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81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81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3"/>
      <c r="L75" s="4"/>
      <c r="M75" s="22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81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81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3"/>
      <c r="Q75" s="4"/>
      <c r="R75" s="22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81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81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3"/>
      <c r="V75" s="4"/>
      <c r="W75" s="22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81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81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1"/>
      <c r="AA75" s="4"/>
      <c r="AB75" s="22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81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81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1"/>
      <c r="AF75" s="4"/>
      <c r="AG75" s="22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81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81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1"/>
      <c r="AK75" s="4"/>
      <c r="AL75" s="22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81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81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1"/>
      <c r="AP75" s="4"/>
      <c r="AQ75" s="22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81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81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1"/>
      <c r="AU75" s="4"/>
      <c r="AV75" s="22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81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81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1"/>
    </row>
    <row r="76" spans="2:51" x14ac:dyDescent="0.3">
      <c r="B76" s="9"/>
      <c r="C76" s="22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81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81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3"/>
      <c r="G76" s="4"/>
      <c r="H76" s="22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81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81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3"/>
      <c r="L76" s="4"/>
      <c r="M76" s="22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81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81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3"/>
      <c r="Q76" s="4"/>
      <c r="R76" s="22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81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Jaramillo, Sosa, Velasquez, Verdezoto</v>
      </c>
      <c r="T76" s="81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3"/>
      <c r="V76" s="4"/>
      <c r="W76" s="22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81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81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1"/>
      <c r="AA76" s="4"/>
      <c r="AB76" s="22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81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81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1"/>
      <c r="AF76" s="4"/>
      <c r="AG76" s="22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81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81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1"/>
      <c r="AK76" s="4"/>
      <c r="AL76" s="22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81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81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1"/>
      <c r="AP76" s="4"/>
      <c r="AQ76" s="22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81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81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1"/>
      <c r="AU76" s="4"/>
      <c r="AV76" s="22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81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81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1"/>
    </row>
    <row r="77" spans="2:51" x14ac:dyDescent="0.3">
      <c r="B77" s="9"/>
      <c r="C77" s="22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81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81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3"/>
      <c r="G77" s="4"/>
      <c r="H77" s="22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81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81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3"/>
      <c r="L77" s="4"/>
      <c r="M77" s="22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81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81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3"/>
      <c r="Q77" s="4"/>
      <c r="R77" s="22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81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81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3"/>
      <c r="V77" s="4"/>
      <c r="W77" s="22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81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81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1"/>
      <c r="AA77" s="4"/>
      <c r="AB77" s="22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81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81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1"/>
      <c r="AF77" s="4"/>
      <c r="AG77" s="22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81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81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1"/>
      <c r="AK77" s="4"/>
      <c r="AL77" s="22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81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81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1"/>
      <c r="AP77" s="4"/>
      <c r="AQ77" s="22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81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81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1"/>
      <c r="AU77" s="4"/>
      <c r="AV77" s="22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81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81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1"/>
    </row>
    <row r="78" spans="2:51" x14ac:dyDescent="0.3">
      <c r="B78" s="9"/>
      <c r="C78" s="22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81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81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3"/>
      <c r="G78" s="4"/>
      <c r="H78" s="22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81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81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3"/>
      <c r="L78" s="4"/>
      <c r="M78" s="22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81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81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3"/>
      <c r="Q78" s="4"/>
      <c r="R78" s="22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22:</v>
      </c>
      <c r="S78" s="81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Creación base de datos para cliente</v>
      </c>
      <c r="T78" s="81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3"/>
      <c r="V78" s="4"/>
      <c r="W78" s="22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81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81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1"/>
      <c r="AA78" s="4"/>
      <c r="AB78" s="22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81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81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1"/>
      <c r="AF78" s="4"/>
      <c r="AG78" s="22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81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81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1"/>
      <c r="AK78" s="4"/>
      <c r="AL78" s="22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81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81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1"/>
      <c r="AP78" s="4"/>
      <c r="AQ78" s="22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81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81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1"/>
      <c r="AU78" s="4"/>
      <c r="AV78" s="22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81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81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1"/>
    </row>
    <row r="79" spans="2:51" x14ac:dyDescent="0.3">
      <c r="B79" s="9"/>
      <c r="C79" s="22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81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81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3"/>
      <c r="G79" s="4"/>
      <c r="H79" s="22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81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81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3"/>
      <c r="L79" s="4"/>
      <c r="M79" s="22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81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81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3"/>
      <c r="Q79" s="4"/>
      <c r="R79" s="22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81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Cumplir con el requisito funcional previsto para la construcción  del producto final del cliente</v>
      </c>
      <c r="T79" s="81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3"/>
      <c r="V79" s="4"/>
      <c r="W79" s="22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81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81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1"/>
      <c r="AA79" s="4"/>
      <c r="AB79" s="22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81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81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1"/>
      <c r="AF79" s="4"/>
      <c r="AG79" s="22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81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81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1"/>
      <c r="AK79" s="4"/>
      <c r="AL79" s="22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81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81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1"/>
      <c r="AP79" s="4"/>
      <c r="AQ79" s="22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81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81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1"/>
      <c r="AU79" s="4"/>
      <c r="AV79" s="22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81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81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1"/>
    </row>
    <row r="80" spans="2:51" x14ac:dyDescent="0.3">
      <c r="B80" s="9"/>
      <c r="C80" s="22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81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81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3"/>
      <c r="G80" s="4"/>
      <c r="H80" s="22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81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81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3"/>
      <c r="L80" s="4"/>
      <c r="M80" s="22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81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81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3"/>
      <c r="Q80" s="4"/>
      <c r="R80" s="22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81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46207</v>
      </c>
      <c r="T80" s="81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3"/>
      <c r="V80" s="4"/>
      <c r="W80" s="22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81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81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1"/>
      <c r="AA80" s="4"/>
      <c r="AB80" s="22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81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81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1"/>
      <c r="AF80" s="4"/>
      <c r="AG80" s="22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81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81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1"/>
      <c r="AK80" s="4"/>
      <c r="AL80" s="22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81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81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1"/>
      <c r="AP80" s="4"/>
      <c r="AQ80" s="22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81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81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1"/>
      <c r="AU80" s="4"/>
      <c r="AV80" s="22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81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81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1"/>
    </row>
    <row r="81" spans="2:51" x14ac:dyDescent="0.3">
      <c r="B81" s="9"/>
      <c r="C81" s="22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81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81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3"/>
      <c r="G81" s="4"/>
      <c r="H81" s="22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81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81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3"/>
      <c r="L81" s="4"/>
      <c r="M81" s="22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81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81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3"/>
      <c r="Q81" s="4"/>
      <c r="R81" s="22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81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46209</v>
      </c>
      <c r="T81" s="81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3"/>
      <c r="V81" s="4"/>
      <c r="W81" s="22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81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81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1"/>
      <c r="AA81" s="4"/>
      <c r="AB81" s="22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81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81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1"/>
      <c r="AF81" s="4"/>
      <c r="AG81" s="22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81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81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1"/>
      <c r="AK81" s="4"/>
      <c r="AL81" s="22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81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81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1"/>
      <c r="AP81" s="4"/>
      <c r="AQ81" s="22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81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81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1"/>
      <c r="AU81" s="4"/>
      <c r="AV81" s="22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81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81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1"/>
    </row>
    <row r="82" spans="2:51" x14ac:dyDescent="0.3">
      <c r="B82" s="9"/>
      <c r="C82" s="22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81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81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3"/>
      <c r="G82" s="4"/>
      <c r="H82" s="22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81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81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3"/>
      <c r="L82" s="4"/>
      <c r="M82" s="22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81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81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3"/>
      <c r="Q82" s="4"/>
      <c r="R82" s="22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81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46209</v>
      </c>
      <c r="T82" s="81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3"/>
      <c r="V82" s="4"/>
      <c r="W82" s="22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81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81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1"/>
      <c r="AA82" s="4"/>
      <c r="AB82" s="22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81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81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1"/>
      <c r="AF82" s="4"/>
      <c r="AG82" s="22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81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81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1"/>
      <c r="AK82" s="4"/>
      <c r="AL82" s="22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81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81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1"/>
      <c r="AP82" s="4"/>
      <c r="AQ82" s="22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81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81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1"/>
      <c r="AU82" s="4"/>
      <c r="AV82" s="22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81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81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1"/>
    </row>
    <row r="83" spans="2:51" x14ac:dyDescent="0.3">
      <c r="B83" s="9"/>
      <c r="C83" s="22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81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81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3"/>
      <c r="G83" s="4"/>
      <c r="H83" s="22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81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81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3"/>
      <c r="L83" s="4"/>
      <c r="M83" s="22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81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81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3"/>
      <c r="Q83" s="4"/>
      <c r="R83" s="22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81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3 días</v>
      </c>
      <c r="T83" s="81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3"/>
      <c r="V83" s="4"/>
      <c r="W83" s="22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81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81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1"/>
      <c r="AA83" s="4"/>
      <c r="AB83" s="22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81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81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1"/>
      <c r="AF83" s="4"/>
      <c r="AG83" s="22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81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81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1"/>
      <c r="AK83" s="4"/>
      <c r="AL83" s="22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81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81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1"/>
      <c r="AP83" s="4"/>
      <c r="AQ83" s="22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81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81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1"/>
      <c r="AU83" s="4"/>
      <c r="AV83" s="22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81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81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1"/>
    </row>
    <row r="84" spans="2:51" x14ac:dyDescent="0.3">
      <c r="B84" s="9"/>
      <c r="C84" s="22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81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81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3"/>
      <c r="G84" s="4"/>
      <c r="H84" s="22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81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81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3"/>
      <c r="L84" s="4"/>
      <c r="M84" s="22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81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81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3"/>
      <c r="Q84" s="4"/>
      <c r="R84" s="22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81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81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3"/>
      <c r="V84" s="4"/>
      <c r="W84" s="22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81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81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1"/>
      <c r="AA84" s="4"/>
      <c r="AB84" s="22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81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81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1"/>
      <c r="AF84" s="4"/>
      <c r="AG84" s="22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81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81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1"/>
      <c r="AK84" s="4"/>
      <c r="AL84" s="22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81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81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1"/>
      <c r="AP84" s="4"/>
      <c r="AQ84" s="22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81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81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1"/>
      <c r="AU84" s="4"/>
      <c r="AV84" s="22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81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81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1"/>
    </row>
    <row r="85" spans="2:51" x14ac:dyDescent="0.3">
      <c r="B85" s="9"/>
      <c r="C85" s="22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81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81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3"/>
      <c r="G85" s="4"/>
      <c r="H85" s="22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81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81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3"/>
      <c r="L85" s="4"/>
      <c r="M85" s="22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81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81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3"/>
      <c r="Q85" s="4"/>
      <c r="R85" s="22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81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Valeria Sosa</v>
      </c>
      <c r="T85" s="81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3"/>
      <c r="V85" s="4"/>
      <c r="W85" s="22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81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81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1"/>
      <c r="AA85" s="4"/>
      <c r="AB85" s="22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81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81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1"/>
      <c r="AF85" s="4"/>
      <c r="AG85" s="22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81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81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1"/>
      <c r="AK85" s="4"/>
      <c r="AL85" s="22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81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81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1"/>
      <c r="AP85" s="4"/>
      <c r="AQ85" s="22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81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81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1"/>
      <c r="AU85" s="4"/>
      <c r="AV85" s="22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81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81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1"/>
    </row>
    <row r="86" spans="2:51" x14ac:dyDescent="0.3">
      <c r="B86" s="9"/>
      <c r="C86" s="22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81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81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3"/>
      <c r="G86" s="4"/>
      <c r="H86" s="22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81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81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3"/>
      <c r="L86" s="4"/>
      <c r="M86" s="22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81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81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3"/>
      <c r="Q86" s="4"/>
      <c r="R86" s="22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81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81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3"/>
      <c r="V86" s="4"/>
      <c r="W86" s="22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81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81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1"/>
      <c r="AA86" s="4"/>
      <c r="AB86" s="22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81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81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1"/>
      <c r="AF86" s="4"/>
      <c r="AG86" s="22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81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81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1"/>
      <c r="AK86" s="4"/>
      <c r="AL86" s="22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81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81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1"/>
      <c r="AP86" s="4"/>
      <c r="AQ86" s="22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81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81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1"/>
      <c r="AU86" s="4"/>
      <c r="AV86" s="22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81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81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1"/>
    </row>
    <row r="87" spans="2:51" x14ac:dyDescent="0.3">
      <c r="B87" s="9"/>
      <c r="C87" s="22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81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81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3"/>
      <c r="G87" s="4"/>
      <c r="H87" s="22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81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81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3"/>
      <c r="L87" s="4"/>
      <c r="M87" s="22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81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81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3"/>
      <c r="Q87" s="4"/>
      <c r="R87" s="22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21:</v>
      </c>
      <c r="S87" s="81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Creación ventana Gestion de Cliente</v>
      </c>
      <c r="T87" s="81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3"/>
      <c r="V87" s="4"/>
      <c r="W87" s="22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81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81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1"/>
      <c r="AA87" s="4"/>
      <c r="AB87" s="22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81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81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1"/>
      <c r="AF87" s="4"/>
      <c r="AG87" s="22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81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81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1"/>
      <c r="AK87" s="4"/>
      <c r="AL87" s="22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81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81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1"/>
      <c r="AP87" s="4"/>
      <c r="AQ87" s="22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81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81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1"/>
      <c r="AU87" s="4"/>
      <c r="AV87" s="22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81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81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1"/>
    </row>
    <row r="88" spans="2:51" x14ac:dyDescent="0.3">
      <c r="B88" s="9"/>
      <c r="C88" s="22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81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81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3"/>
      <c r="G88" s="4"/>
      <c r="H88" s="22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81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81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3"/>
      <c r="L88" s="4"/>
      <c r="M88" s="22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81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81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3"/>
      <c r="Q88" s="4"/>
      <c r="R88" s="22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81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Cumplir con el requisito funcional previsto para la construcción  del producto final del cliente</v>
      </c>
      <c r="T88" s="81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3"/>
      <c r="V88" s="4"/>
      <c r="W88" s="22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81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81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1"/>
      <c r="AA88" s="4"/>
      <c r="AB88" s="22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81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81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1"/>
      <c r="AF88" s="4"/>
      <c r="AG88" s="22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81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81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1"/>
      <c r="AK88" s="4"/>
      <c r="AL88" s="22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81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81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1"/>
      <c r="AP88" s="4"/>
      <c r="AQ88" s="22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81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81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1"/>
      <c r="AU88" s="4"/>
      <c r="AV88" s="22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81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81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1"/>
    </row>
    <row r="89" spans="2:51" x14ac:dyDescent="0.3">
      <c r="B89" s="9"/>
      <c r="C89" s="22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81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81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3"/>
      <c r="G89" s="4"/>
      <c r="H89" s="22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81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81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3"/>
      <c r="L89" s="4"/>
      <c r="M89" s="22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81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81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3"/>
      <c r="Q89" s="4"/>
      <c r="R89" s="22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81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46204</v>
      </c>
      <c r="T89" s="81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3"/>
      <c r="V89" s="4"/>
      <c r="W89" s="22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81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81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1"/>
      <c r="AA89" s="4"/>
      <c r="AB89" s="22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81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81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1"/>
      <c r="AF89" s="4"/>
      <c r="AG89" s="22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81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81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1"/>
      <c r="AK89" s="4"/>
      <c r="AL89" s="22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81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81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1"/>
      <c r="AP89" s="4"/>
      <c r="AQ89" s="22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81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81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1"/>
      <c r="AU89" s="4"/>
      <c r="AV89" s="22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81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81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1"/>
    </row>
    <row r="90" spans="2:51" x14ac:dyDescent="0.3">
      <c r="B90" s="9"/>
      <c r="C90" s="22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81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81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3"/>
      <c r="G90" s="4"/>
      <c r="H90" s="22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81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81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3"/>
      <c r="L90" s="4"/>
      <c r="M90" s="22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81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81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3"/>
      <c r="Q90" s="4"/>
      <c r="R90" s="22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81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46207</v>
      </c>
      <c r="T90" s="81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3"/>
      <c r="V90" s="4"/>
      <c r="W90" s="22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81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81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1"/>
      <c r="AA90" s="4"/>
      <c r="AB90" s="22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81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81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1"/>
      <c r="AF90" s="4"/>
      <c r="AG90" s="22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81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81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1"/>
      <c r="AK90" s="4"/>
      <c r="AL90" s="22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81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81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1"/>
      <c r="AP90" s="4"/>
      <c r="AQ90" s="22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81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81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1"/>
      <c r="AU90" s="4"/>
      <c r="AV90" s="22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81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81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1"/>
    </row>
    <row r="91" spans="2:51" x14ac:dyDescent="0.3">
      <c r="B91" s="9"/>
      <c r="C91" s="22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81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81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3"/>
      <c r="G91" s="4"/>
      <c r="H91" s="22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81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81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3"/>
      <c r="L91" s="4"/>
      <c r="M91" s="22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81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81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3"/>
      <c r="Q91" s="4"/>
      <c r="R91" s="22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81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46207</v>
      </c>
      <c r="T91" s="81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3"/>
      <c r="V91" s="4"/>
      <c r="W91" s="22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81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81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1"/>
      <c r="AA91" s="4"/>
      <c r="AB91" s="22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81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81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1"/>
      <c r="AF91" s="4"/>
      <c r="AG91" s="22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81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81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1"/>
      <c r="AK91" s="4"/>
      <c r="AL91" s="22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81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81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1"/>
      <c r="AP91" s="4"/>
      <c r="AQ91" s="22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81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81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1"/>
      <c r="AU91" s="4"/>
      <c r="AV91" s="22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81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81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1"/>
    </row>
    <row r="92" spans="2:51" x14ac:dyDescent="0.3">
      <c r="B92" s="9"/>
      <c r="C92" s="22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81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81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3"/>
      <c r="G92" s="4"/>
      <c r="H92" s="22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81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81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3"/>
      <c r="L92" s="4"/>
      <c r="M92" s="22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81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81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3"/>
      <c r="Q92" s="4"/>
      <c r="R92" s="22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81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4 días</v>
      </c>
      <c r="T92" s="81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3"/>
      <c r="V92" s="4"/>
      <c r="W92" s="22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81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81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1"/>
      <c r="AA92" s="4"/>
      <c r="AB92" s="22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81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81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1"/>
      <c r="AF92" s="4"/>
      <c r="AG92" s="22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81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81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1"/>
      <c r="AK92" s="4"/>
      <c r="AL92" s="22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81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81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1"/>
      <c r="AP92" s="4"/>
      <c r="AQ92" s="22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81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81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1"/>
      <c r="AU92" s="4"/>
      <c r="AV92" s="22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81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81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1"/>
    </row>
    <row r="93" spans="2:51" x14ac:dyDescent="0.3">
      <c r="B93" s="9"/>
      <c r="C93" s="22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81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81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3"/>
      <c r="G93" s="4"/>
      <c r="H93" s="22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81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81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3"/>
      <c r="L93" s="4"/>
      <c r="M93" s="22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81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81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3"/>
      <c r="Q93" s="4"/>
      <c r="R93" s="22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81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81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3"/>
      <c r="V93" s="4"/>
      <c r="W93" s="22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81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81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1"/>
      <c r="AA93" s="4"/>
      <c r="AB93" s="22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81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81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1"/>
      <c r="AF93" s="4"/>
      <c r="AG93" s="22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81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81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1"/>
      <c r="AK93" s="4"/>
      <c r="AL93" s="22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81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81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1"/>
      <c r="AP93" s="4"/>
      <c r="AQ93" s="22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81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81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1"/>
      <c r="AU93" s="4"/>
      <c r="AV93" s="22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81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81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1"/>
    </row>
    <row r="94" spans="2:51" x14ac:dyDescent="0.3">
      <c r="B94" s="9"/>
      <c r="C94" s="22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81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81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3"/>
      <c r="G94" s="4"/>
      <c r="H94" s="22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81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81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3"/>
      <c r="L94" s="4"/>
      <c r="M94" s="22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81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81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3"/>
      <c r="Q94" s="4"/>
      <c r="R94" s="22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81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Valeria Sosa</v>
      </c>
      <c r="T94" s="81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3"/>
      <c r="V94" s="4"/>
      <c r="W94" s="22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81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81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1"/>
      <c r="AA94" s="4"/>
      <c r="AB94" s="22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81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81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1"/>
      <c r="AF94" s="4"/>
      <c r="AG94" s="22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81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81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1"/>
      <c r="AK94" s="4"/>
      <c r="AL94" s="22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81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81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1"/>
      <c r="AP94" s="4"/>
      <c r="AQ94" s="22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81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81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1"/>
      <c r="AU94" s="4"/>
      <c r="AV94" s="22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81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81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1"/>
    </row>
    <row r="95" spans="2:51" x14ac:dyDescent="0.3">
      <c r="B95" s="9"/>
      <c r="C95" s="22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81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81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3"/>
      <c r="G95" s="4"/>
      <c r="H95" s="22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81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81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3"/>
      <c r="L95" s="4"/>
      <c r="M95" s="22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81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81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3"/>
      <c r="Q95" s="4"/>
      <c r="R95" s="22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81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81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3"/>
      <c r="V95" s="4"/>
      <c r="W95" s="22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81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81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1"/>
      <c r="AA95" s="4"/>
      <c r="AB95" s="22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81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81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1"/>
      <c r="AF95" s="4"/>
      <c r="AG95" s="22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81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81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1"/>
      <c r="AK95" s="4"/>
      <c r="AL95" s="22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81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81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1"/>
      <c r="AP95" s="4"/>
      <c r="AQ95" s="22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81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81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1"/>
      <c r="AU95" s="4"/>
      <c r="AV95" s="22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81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81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1"/>
    </row>
    <row r="96" spans="2:51" x14ac:dyDescent="0.3">
      <c r="B96" s="9"/>
      <c r="C96" s="22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81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81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3"/>
      <c r="G96" s="4"/>
      <c r="H96" s="22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81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81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3"/>
      <c r="L96" s="4"/>
      <c r="M96" s="22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81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81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3"/>
      <c r="Q96" s="4"/>
      <c r="R96" s="22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20:</v>
      </c>
      <c r="S96" s="81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Revision Pruebas de Errores/ CN-CB</v>
      </c>
      <c r="T96" s="81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3"/>
      <c r="V96" s="4"/>
      <c r="W96" s="22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81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81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1"/>
      <c r="AA96" s="4"/>
      <c r="AB96" s="22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81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81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1"/>
      <c r="AF96" s="4"/>
      <c r="AG96" s="22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81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81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1"/>
      <c r="AK96" s="4"/>
      <c r="AL96" s="22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81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81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1"/>
      <c r="AP96" s="4"/>
      <c r="AQ96" s="22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81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81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1"/>
      <c r="AU96" s="4"/>
      <c r="AV96" s="22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81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81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1"/>
    </row>
    <row r="97" spans="2:51" x14ac:dyDescent="0.3">
      <c r="B97" s="9"/>
      <c r="C97" s="22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81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81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3"/>
      <c r="G97" s="4"/>
      <c r="H97" s="22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81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81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3"/>
      <c r="L97" s="4"/>
      <c r="M97" s="22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81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81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3"/>
      <c r="Q97" s="4"/>
      <c r="R97" s="22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81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Corroborar todas las validaciones creadas en el programa para los requisitos funcionales a presentar</v>
      </c>
      <c r="T97" s="81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3"/>
      <c r="V97" s="4"/>
      <c r="W97" s="22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81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81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1"/>
      <c r="AA97" s="4"/>
      <c r="AB97" s="22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81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81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1"/>
      <c r="AF97" s="4"/>
      <c r="AG97" s="22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81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81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1"/>
      <c r="AK97" s="4"/>
      <c r="AL97" s="22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81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81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1"/>
      <c r="AP97" s="4"/>
      <c r="AQ97" s="22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81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81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1"/>
      <c r="AU97" s="4"/>
      <c r="AV97" s="22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81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81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1"/>
    </row>
    <row r="98" spans="2:51" x14ac:dyDescent="0.3">
      <c r="B98" s="9"/>
      <c r="C98" s="22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81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81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3"/>
      <c r="G98" s="4"/>
      <c r="H98" s="22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81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81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3"/>
      <c r="L98" s="4"/>
      <c r="M98" s="22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81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81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3"/>
      <c r="Q98" s="4"/>
      <c r="R98" s="22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81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46202</v>
      </c>
      <c r="T98" s="81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3"/>
      <c r="V98" s="4"/>
      <c r="W98" s="22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81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81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1"/>
      <c r="AA98" s="4"/>
      <c r="AB98" s="22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81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81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1"/>
      <c r="AF98" s="4"/>
      <c r="AG98" s="22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81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81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1"/>
      <c r="AK98" s="4"/>
      <c r="AL98" s="22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81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81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1"/>
      <c r="AP98" s="4"/>
      <c r="AQ98" s="22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81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81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1"/>
      <c r="AU98" s="4"/>
      <c r="AV98" s="22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81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81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1"/>
    </row>
    <row r="99" spans="2:51" x14ac:dyDescent="0.3">
      <c r="B99" s="9"/>
      <c r="C99" s="22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81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81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3"/>
      <c r="G99" s="4"/>
      <c r="H99" s="22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81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81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3"/>
      <c r="L99" s="4"/>
      <c r="M99" s="22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81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81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3"/>
      <c r="Q99" s="4"/>
      <c r="R99" s="22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81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46203</v>
      </c>
      <c r="T99" s="81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3"/>
      <c r="V99" s="4"/>
      <c r="W99" s="22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81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81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1"/>
      <c r="AA99" s="4"/>
      <c r="AB99" s="22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81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81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1"/>
      <c r="AF99" s="4"/>
      <c r="AG99" s="22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81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81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1"/>
      <c r="AK99" s="4"/>
      <c r="AL99" s="22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81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81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1"/>
      <c r="AP99" s="4"/>
      <c r="AQ99" s="22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81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81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1"/>
      <c r="AU99" s="4"/>
      <c r="AV99" s="22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81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81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1"/>
    </row>
    <row r="100" spans="2:51" x14ac:dyDescent="0.3">
      <c r="B100" s="9"/>
      <c r="C100" s="22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81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81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3"/>
      <c r="G100" s="4"/>
      <c r="H100" s="22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81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81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3"/>
      <c r="L100" s="4"/>
      <c r="M100" s="22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81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81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3"/>
      <c r="Q100" s="4"/>
      <c r="R100" s="22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81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46203</v>
      </c>
      <c r="T100" s="81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3"/>
      <c r="V100" s="4"/>
      <c r="W100" s="22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81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81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1"/>
      <c r="AA100" s="4"/>
      <c r="AB100" s="22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81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81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1"/>
      <c r="AF100" s="4"/>
      <c r="AG100" s="22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81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81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1"/>
      <c r="AK100" s="4"/>
      <c r="AL100" s="22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81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81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1"/>
      <c r="AP100" s="4"/>
      <c r="AQ100" s="22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81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81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1"/>
      <c r="AU100" s="4"/>
      <c r="AV100" s="22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81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81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1"/>
    </row>
    <row r="101" spans="2:51" x14ac:dyDescent="0.3">
      <c r="B101" s="9"/>
      <c r="C101" s="22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81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81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3"/>
      <c r="G101" s="4"/>
      <c r="H101" s="22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81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81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3"/>
      <c r="L101" s="4"/>
      <c r="M101" s="22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81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81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3"/>
      <c r="Q101" s="4"/>
      <c r="R101" s="22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81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2 días</v>
      </c>
      <c r="T101" s="81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3"/>
      <c r="V101" s="4"/>
      <c r="W101" s="22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81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81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1"/>
      <c r="AA101" s="4"/>
      <c r="AB101" s="22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81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81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1"/>
      <c r="AF101" s="4"/>
      <c r="AG101" s="22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81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81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1"/>
      <c r="AK101" s="4"/>
      <c r="AL101" s="22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81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81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1"/>
      <c r="AP101" s="4"/>
      <c r="AQ101" s="22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81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81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1"/>
      <c r="AU101" s="4"/>
      <c r="AV101" s="22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81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81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1"/>
    </row>
    <row r="102" spans="2:51" x14ac:dyDescent="0.3">
      <c r="B102" s="9"/>
      <c r="C102" s="22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81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81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3"/>
      <c r="G102" s="4"/>
      <c r="H102" s="22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81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81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3"/>
      <c r="L102" s="4"/>
      <c r="M102" s="22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81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81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3"/>
      <c r="Q102" s="4"/>
      <c r="R102" s="22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81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81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3"/>
      <c r="V102" s="4"/>
      <c r="W102" s="22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81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81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1"/>
      <c r="AA102" s="4"/>
      <c r="AB102" s="22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81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81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1"/>
      <c r="AF102" s="4"/>
      <c r="AG102" s="22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81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81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1"/>
      <c r="AK102" s="4"/>
      <c r="AL102" s="22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81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81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1"/>
      <c r="AP102" s="4"/>
      <c r="AQ102" s="22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81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81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1"/>
      <c r="AU102" s="4"/>
      <c r="AV102" s="22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81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81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1"/>
    </row>
    <row r="103" spans="2:51" x14ac:dyDescent="0.3">
      <c r="B103" s="9"/>
      <c r="C103" s="22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81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81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3"/>
      <c r="G103" s="4"/>
      <c r="H103" s="22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81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81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3"/>
      <c r="L103" s="4"/>
      <c r="M103" s="22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81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81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3"/>
      <c r="Q103" s="4"/>
      <c r="R103" s="22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81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Ing. Jenny Ruiz</v>
      </c>
      <c r="T103" s="81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3"/>
      <c r="V103" s="4"/>
      <c r="W103" s="22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81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81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1"/>
      <c r="AA103" s="4"/>
      <c r="AB103" s="22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81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81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1"/>
      <c r="AF103" s="4"/>
      <c r="AG103" s="22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81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81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1"/>
      <c r="AK103" s="4"/>
      <c r="AL103" s="22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81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81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1"/>
      <c r="AP103" s="4"/>
      <c r="AQ103" s="22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81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81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1"/>
      <c r="AU103" s="4"/>
      <c r="AV103" s="22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81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81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1"/>
    </row>
    <row r="104" spans="2:51" x14ac:dyDescent="0.3">
      <c r="B104" s="9"/>
      <c r="C104" s="22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81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81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3"/>
      <c r="G104" s="4"/>
      <c r="H104" s="22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81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81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3"/>
      <c r="L104" s="4"/>
      <c r="M104" s="22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81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81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3"/>
      <c r="Q104" s="4"/>
      <c r="R104" s="22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81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81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3"/>
      <c r="V104" s="4"/>
      <c r="W104" s="22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81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81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1"/>
      <c r="AA104" s="4"/>
      <c r="AB104" s="22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81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81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1"/>
      <c r="AF104" s="4"/>
      <c r="AG104" s="22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81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81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1"/>
      <c r="AK104" s="4"/>
      <c r="AL104" s="22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81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81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1"/>
      <c r="AP104" s="4"/>
      <c r="AQ104" s="22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81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81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1"/>
      <c r="AU104" s="4"/>
      <c r="AV104" s="22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81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81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1"/>
    </row>
    <row r="105" spans="2:51" x14ac:dyDescent="0.3">
      <c r="B105" s="9"/>
      <c r="C105" s="22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81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81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3"/>
      <c r="G105" s="4"/>
      <c r="H105" s="22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81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81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3"/>
      <c r="L105" s="4"/>
      <c r="M105" s="22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81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81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3"/>
      <c r="Q105" s="4"/>
      <c r="R105" s="22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19:</v>
      </c>
      <c r="S105" s="81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Quinta entrevista para revisar los requisitos funcioanles del tercer sprint</v>
      </c>
      <c r="T105" s="81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3"/>
      <c r="V105" s="4"/>
      <c r="W105" s="22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81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81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1"/>
      <c r="AA105" s="4"/>
      <c r="AB105" s="22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81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81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1"/>
      <c r="AF105" s="4"/>
      <c r="AG105" s="22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81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81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1"/>
      <c r="AK105" s="4"/>
      <c r="AL105" s="22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81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81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1"/>
      <c r="AP105" s="4"/>
      <c r="AQ105" s="22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81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81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1"/>
      <c r="AU105" s="4"/>
      <c r="AV105" s="22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81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81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1"/>
    </row>
    <row r="106" spans="2:51" x14ac:dyDescent="0.3">
      <c r="B106" s="9"/>
      <c r="C106" s="22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81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81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3"/>
      <c r="G106" s="4"/>
      <c r="H106" s="22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81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81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3"/>
      <c r="L106" s="4"/>
      <c r="M106" s="22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81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81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3"/>
      <c r="Q106" s="4"/>
      <c r="R106" s="22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81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Reunion con el cliente para realizar la propuesta del terecer sprint para revisar si los requisitos funcionales son los correctos</v>
      </c>
      <c r="T106" s="81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3"/>
      <c r="V106" s="4"/>
      <c r="W106" s="22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81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81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1"/>
      <c r="AA106" s="4"/>
      <c r="AB106" s="22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81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81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1"/>
      <c r="AF106" s="4"/>
      <c r="AG106" s="22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81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81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1"/>
      <c r="AK106" s="4"/>
      <c r="AL106" s="22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81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81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1"/>
      <c r="AP106" s="4"/>
      <c r="AQ106" s="22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81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81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1"/>
      <c r="AU106" s="4"/>
      <c r="AV106" s="22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81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81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1"/>
    </row>
    <row r="107" spans="2:51" x14ac:dyDescent="0.3">
      <c r="B107" s="9"/>
      <c r="C107" s="22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81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81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3"/>
      <c r="G107" s="4"/>
      <c r="H107" s="22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81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81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3"/>
      <c r="L107" s="4"/>
      <c r="M107" s="22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81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81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3"/>
      <c r="Q107" s="4"/>
      <c r="R107" s="22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81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46201</v>
      </c>
      <c r="T107" s="81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3"/>
      <c r="V107" s="4"/>
      <c r="W107" s="22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81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81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1"/>
      <c r="AA107" s="4"/>
      <c r="AB107" s="22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81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81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1"/>
      <c r="AF107" s="4"/>
      <c r="AG107" s="22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81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81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1"/>
      <c r="AK107" s="4"/>
      <c r="AL107" s="22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81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81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1"/>
      <c r="AP107" s="4"/>
      <c r="AQ107" s="22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81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81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1"/>
      <c r="AU107" s="4"/>
      <c r="AV107" s="22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81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81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1"/>
    </row>
    <row r="108" spans="2:51" x14ac:dyDescent="0.3">
      <c r="B108" s="9"/>
      <c r="C108" s="22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81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81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3"/>
      <c r="G108" s="4"/>
      <c r="H108" s="22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81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81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3"/>
      <c r="L108" s="4"/>
      <c r="M108" s="22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81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81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3"/>
      <c r="Q108" s="4"/>
      <c r="R108" s="22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81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46202</v>
      </c>
      <c r="T108" s="81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3"/>
      <c r="V108" s="4"/>
      <c r="W108" s="22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81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81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1"/>
      <c r="AA108" s="4"/>
      <c r="AB108" s="22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81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81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1"/>
      <c r="AF108" s="4"/>
      <c r="AG108" s="22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81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81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1"/>
      <c r="AK108" s="4"/>
      <c r="AL108" s="22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81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81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1"/>
      <c r="AP108" s="4"/>
      <c r="AQ108" s="22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81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81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1"/>
      <c r="AU108" s="4"/>
      <c r="AV108" s="22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81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81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1"/>
    </row>
    <row r="109" spans="2:51" x14ac:dyDescent="0.3">
      <c r="B109" s="9"/>
      <c r="C109" s="22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81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81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3"/>
      <c r="G109" s="4"/>
      <c r="H109" s="22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81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81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3"/>
      <c r="L109" s="4"/>
      <c r="M109" s="22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81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81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3"/>
      <c r="Q109" s="4"/>
      <c r="R109" s="22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81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46202</v>
      </c>
      <c r="T109" s="81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3"/>
      <c r="V109" s="4"/>
      <c r="W109" s="22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81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81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1"/>
      <c r="AA109" s="4"/>
      <c r="AB109" s="22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81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81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1"/>
      <c r="AF109" s="4"/>
      <c r="AG109" s="22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81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81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1"/>
      <c r="AK109" s="4"/>
      <c r="AL109" s="22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81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81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1"/>
      <c r="AP109" s="4"/>
      <c r="AQ109" s="22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81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81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1"/>
      <c r="AU109" s="4"/>
      <c r="AV109" s="22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81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81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1"/>
    </row>
    <row r="110" spans="2:51" x14ac:dyDescent="0.3">
      <c r="B110" s="9"/>
      <c r="C110" s="22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81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81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3"/>
      <c r="G110" s="4"/>
      <c r="H110" s="22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81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81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3"/>
      <c r="L110" s="4"/>
      <c r="M110" s="22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81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81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3"/>
      <c r="Q110" s="4"/>
      <c r="R110" s="22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81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81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3"/>
      <c r="V110" s="4"/>
      <c r="W110" s="22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81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81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1"/>
      <c r="AA110" s="4"/>
      <c r="AB110" s="22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81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81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1"/>
      <c r="AF110" s="4"/>
      <c r="AG110" s="22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81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81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1"/>
      <c r="AK110" s="4"/>
      <c r="AL110" s="22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81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81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1"/>
      <c r="AP110" s="4"/>
      <c r="AQ110" s="22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81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81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1"/>
      <c r="AU110" s="4"/>
      <c r="AV110" s="22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81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81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1"/>
    </row>
    <row r="111" spans="2:51" x14ac:dyDescent="0.3">
      <c r="B111" s="9"/>
      <c r="C111" s="22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81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81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3"/>
      <c r="G111" s="4"/>
      <c r="H111" s="22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81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81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3"/>
      <c r="L111" s="4"/>
      <c r="M111" s="22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81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81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3"/>
      <c r="Q111" s="4"/>
      <c r="R111" s="22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81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81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3"/>
      <c r="V111" s="4"/>
      <c r="W111" s="22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81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81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1"/>
      <c r="AA111" s="4"/>
      <c r="AB111" s="22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81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81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1"/>
      <c r="AF111" s="4"/>
      <c r="AG111" s="22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81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81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1"/>
      <c r="AK111" s="4"/>
      <c r="AL111" s="22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81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81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1"/>
      <c r="AP111" s="4"/>
      <c r="AQ111" s="22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81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81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1"/>
      <c r="AU111" s="4"/>
      <c r="AV111" s="22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81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81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1"/>
    </row>
    <row r="112" spans="2:51" x14ac:dyDescent="0.3">
      <c r="B112" s="9"/>
      <c r="C112" s="22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81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81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3"/>
      <c r="G112" s="4"/>
      <c r="H112" s="22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81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81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3"/>
      <c r="L112" s="4"/>
      <c r="M112" s="22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81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81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3"/>
      <c r="Q112" s="4"/>
      <c r="R112" s="22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81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Jaramillo, Sosa, Velasquez, Verdezoto</v>
      </c>
      <c r="T112" s="81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3"/>
      <c r="V112" s="4"/>
      <c r="W112" s="22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81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81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1"/>
      <c r="AA112" s="4"/>
      <c r="AB112" s="22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81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81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1"/>
      <c r="AF112" s="4"/>
      <c r="AG112" s="22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81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81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1"/>
      <c r="AK112" s="4"/>
      <c r="AL112" s="22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81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81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1"/>
      <c r="AP112" s="4"/>
      <c r="AQ112" s="22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81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81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1"/>
      <c r="AU112" s="4"/>
      <c r="AV112" s="22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81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81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1"/>
    </row>
    <row r="113" spans="2:51" x14ac:dyDescent="0.3">
      <c r="B113" s="9"/>
      <c r="C113" s="22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81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81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3"/>
      <c r="G113" s="4"/>
      <c r="H113" s="22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81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81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3"/>
      <c r="L113" s="4"/>
      <c r="M113" s="22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81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81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3"/>
      <c r="Q113" s="4"/>
      <c r="R113" s="22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81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81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3"/>
      <c r="V113" s="4"/>
      <c r="W113" s="22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81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81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1"/>
      <c r="AA113" s="4"/>
      <c r="AB113" s="22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81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81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1"/>
      <c r="AF113" s="4"/>
      <c r="AG113" s="22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81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81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1"/>
      <c r="AK113" s="4"/>
      <c r="AL113" s="22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81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81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1"/>
      <c r="AP113" s="4"/>
      <c r="AQ113" s="22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81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81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1"/>
      <c r="AU113" s="4"/>
      <c r="AV113" s="22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81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81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1"/>
    </row>
    <row r="114" spans="2:51" x14ac:dyDescent="0.3">
      <c r="B114" s="9"/>
      <c r="C114" s="22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81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81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3"/>
      <c r="G114" s="4"/>
      <c r="H114" s="22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81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81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3"/>
      <c r="L114" s="4"/>
      <c r="M114" s="22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81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81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3"/>
      <c r="Q114" s="4"/>
      <c r="R114" s="22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18:</v>
      </c>
      <c r="S114" s="81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Cuarta entrevista para revisar las peticiones solicitadas por el cliente</v>
      </c>
      <c r="T114" s="81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3"/>
      <c r="V114" s="4"/>
      <c r="W114" s="22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81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81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1"/>
      <c r="AA114" s="4"/>
      <c r="AB114" s="22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81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81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1"/>
      <c r="AF114" s="4"/>
      <c r="AG114" s="22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81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81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1"/>
      <c r="AK114" s="4"/>
      <c r="AL114" s="22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81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81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1"/>
      <c r="AP114" s="4"/>
      <c r="AQ114" s="22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81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81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1"/>
      <c r="AU114" s="4"/>
      <c r="AV114" s="22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81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81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1"/>
    </row>
    <row r="115" spans="2:51" x14ac:dyDescent="0.3">
      <c r="B115" s="9"/>
      <c r="C115" s="22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81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81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3"/>
      <c r="G115" s="4"/>
      <c r="H115" s="22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81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81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3"/>
      <c r="L115" s="4"/>
      <c r="M115" s="22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81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81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3"/>
      <c r="Q115" s="4"/>
      <c r="R115" s="22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81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 xml:space="preserve">Reunion con el cliente para revisar los requisitos solicitados por el cliente </v>
      </c>
      <c r="T115" s="81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3"/>
      <c r="V115" s="4"/>
      <c r="W115" s="22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81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81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1"/>
      <c r="AA115" s="4"/>
      <c r="AB115" s="22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81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81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1"/>
      <c r="AF115" s="4"/>
      <c r="AG115" s="22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81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81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1"/>
      <c r="AK115" s="4"/>
      <c r="AL115" s="22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81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81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1"/>
      <c r="AP115" s="4"/>
      <c r="AQ115" s="22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81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81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1"/>
      <c r="AU115" s="4"/>
      <c r="AV115" s="22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81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81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1"/>
    </row>
    <row r="116" spans="2:51" x14ac:dyDescent="0.3">
      <c r="B116" s="9"/>
      <c r="C116" s="22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81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81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3"/>
      <c r="G116" s="4"/>
      <c r="H116" s="22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81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81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3"/>
      <c r="L116" s="4"/>
      <c r="M116" s="22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81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81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3"/>
      <c r="Q116" s="4"/>
      <c r="R116" s="22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81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46196</v>
      </c>
      <c r="T116" s="81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3"/>
      <c r="V116" s="4"/>
      <c r="W116" s="22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81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81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1"/>
      <c r="AA116" s="4"/>
      <c r="AB116" s="22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81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81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1"/>
      <c r="AF116" s="4"/>
      <c r="AG116" s="22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81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81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1"/>
      <c r="AK116" s="4"/>
      <c r="AL116" s="22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81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81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1"/>
      <c r="AP116" s="4"/>
      <c r="AQ116" s="22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81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81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1"/>
      <c r="AU116" s="4"/>
      <c r="AV116" s="22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81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81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1"/>
    </row>
    <row r="117" spans="2:51" x14ac:dyDescent="0.3">
      <c r="B117" s="9"/>
      <c r="C117" s="22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81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81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3"/>
      <c r="G117" s="4"/>
      <c r="H117" s="22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81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81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3"/>
      <c r="L117" s="4"/>
      <c r="M117" s="22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81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81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3"/>
      <c r="Q117" s="4"/>
      <c r="R117" s="22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81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46200</v>
      </c>
      <c r="T117" s="81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3"/>
      <c r="V117" s="4"/>
      <c r="W117" s="22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81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81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1"/>
      <c r="AA117" s="4"/>
      <c r="AB117" s="22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81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81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1"/>
      <c r="AF117" s="4"/>
      <c r="AG117" s="22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81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81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1"/>
      <c r="AK117" s="4"/>
      <c r="AL117" s="22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81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81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1"/>
      <c r="AP117" s="4"/>
      <c r="AQ117" s="22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81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81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1"/>
      <c r="AU117" s="4"/>
      <c r="AV117" s="22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81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81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1"/>
    </row>
    <row r="118" spans="2:51" x14ac:dyDescent="0.3">
      <c r="B118" s="9"/>
      <c r="C118" s="22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81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81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3"/>
      <c r="G118" s="4"/>
      <c r="H118" s="22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81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81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3"/>
      <c r="L118" s="4"/>
      <c r="M118" s="22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81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81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3"/>
      <c r="Q118" s="4"/>
      <c r="R118" s="22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81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46201</v>
      </c>
      <c r="T118" s="81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3"/>
      <c r="V118" s="4"/>
      <c r="W118" s="22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81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81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1"/>
      <c r="AA118" s="4"/>
      <c r="AB118" s="22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81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81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1"/>
      <c r="AF118" s="4"/>
      <c r="AG118" s="22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81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81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1"/>
      <c r="AK118" s="4"/>
      <c r="AL118" s="22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81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81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1"/>
      <c r="AP118" s="4"/>
      <c r="AQ118" s="22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81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81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1"/>
      <c r="AU118" s="4"/>
      <c r="AV118" s="22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81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81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1"/>
    </row>
    <row r="119" spans="2:51" x14ac:dyDescent="0.3">
      <c r="B119" s="9"/>
      <c r="C119" s="22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81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81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3"/>
      <c r="G119" s="4"/>
      <c r="H119" s="22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81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81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3"/>
      <c r="L119" s="4"/>
      <c r="M119" s="22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81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81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3"/>
      <c r="Q119" s="4"/>
      <c r="R119" s="22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81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6 días</v>
      </c>
      <c r="T119" s="81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3"/>
      <c r="V119" s="4"/>
      <c r="W119" s="22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81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81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1"/>
      <c r="AA119" s="4"/>
      <c r="AB119" s="22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81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81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1"/>
      <c r="AF119" s="4"/>
      <c r="AG119" s="22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81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81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1"/>
      <c r="AK119" s="4"/>
      <c r="AL119" s="22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81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81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1"/>
      <c r="AP119" s="4"/>
      <c r="AQ119" s="22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81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81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1"/>
      <c r="AU119" s="4"/>
      <c r="AV119" s="22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81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81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1"/>
    </row>
    <row r="120" spans="2:51" x14ac:dyDescent="0.3">
      <c r="B120" s="9"/>
      <c r="C120" s="22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81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81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3"/>
      <c r="G120" s="4"/>
      <c r="H120" s="22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81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81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3"/>
      <c r="L120" s="4"/>
      <c r="M120" s="22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81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81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3"/>
      <c r="Q120" s="4"/>
      <c r="R120" s="22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81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1 días</v>
      </c>
      <c r="T120" s="81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3"/>
      <c r="V120" s="4"/>
      <c r="W120" s="22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81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81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1"/>
      <c r="AA120" s="4"/>
      <c r="AB120" s="22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81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81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1"/>
      <c r="AF120" s="4"/>
      <c r="AG120" s="22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81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81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1"/>
      <c r="AK120" s="4"/>
      <c r="AL120" s="22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81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81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1"/>
      <c r="AP120" s="4"/>
      <c r="AQ120" s="22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81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81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1"/>
      <c r="AU120" s="4"/>
      <c r="AV120" s="22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81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81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1"/>
    </row>
    <row r="121" spans="2:51" x14ac:dyDescent="0.3">
      <c r="B121" s="9"/>
      <c r="C121" s="22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81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81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3"/>
      <c r="G121" s="4"/>
      <c r="H121" s="22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81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81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3"/>
      <c r="L121" s="4"/>
      <c r="M121" s="22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81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81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3"/>
      <c r="Q121" s="4"/>
      <c r="R121" s="22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81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Jaramillo, Sosa, Velasquez, Verdezoto</v>
      </c>
      <c r="T121" s="81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3"/>
      <c r="V121" s="4"/>
      <c r="W121" s="22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81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81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1"/>
      <c r="AA121" s="4"/>
      <c r="AB121" s="22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81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81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1"/>
      <c r="AF121" s="4"/>
      <c r="AG121" s="22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81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81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1"/>
      <c r="AK121" s="4"/>
      <c r="AL121" s="22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81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81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1"/>
      <c r="AP121" s="4"/>
      <c r="AQ121" s="22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81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81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1"/>
      <c r="AU121" s="4"/>
      <c r="AV121" s="22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81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81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1"/>
    </row>
    <row r="122" spans="2:51" x14ac:dyDescent="0.3">
      <c r="B122" s="9"/>
      <c r="C122" s="22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81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81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3"/>
      <c r="G122" s="4"/>
      <c r="H122" s="22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81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81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3"/>
      <c r="L122" s="4"/>
      <c r="M122" s="22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81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81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3"/>
      <c r="Q122" s="4"/>
      <c r="R122" s="22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81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81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3"/>
      <c r="V122" s="4"/>
      <c r="W122" s="22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81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81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1"/>
      <c r="AA122" s="4"/>
      <c r="AB122" s="22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81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81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1"/>
      <c r="AF122" s="4"/>
      <c r="AG122" s="22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81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81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1"/>
      <c r="AK122" s="4"/>
      <c r="AL122" s="22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81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81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1"/>
      <c r="AP122" s="4"/>
      <c r="AQ122" s="22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81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81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1"/>
      <c r="AU122" s="4"/>
      <c r="AV122" s="22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81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81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1"/>
    </row>
    <row r="123" spans="2:51" x14ac:dyDescent="0.3">
      <c r="B123" s="9"/>
      <c r="C123" s="22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81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81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3"/>
      <c r="G123" s="4"/>
      <c r="H123" s="22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81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81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3"/>
      <c r="L123" s="4"/>
      <c r="M123" s="22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81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81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3"/>
      <c r="Q123" s="4"/>
      <c r="R123" s="22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17:</v>
      </c>
      <c r="S123" s="81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Creación Opción Editar en la ventana Adminitrador y mejora de la interfaz gráfica</v>
      </c>
      <c r="T123" s="81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3"/>
      <c r="V123" s="4"/>
      <c r="W123" s="22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81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81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1"/>
      <c r="AA123" s="4"/>
      <c r="AB123" s="22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81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81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1"/>
      <c r="AF123" s="4"/>
      <c r="AG123" s="22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81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81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1"/>
      <c r="AK123" s="4"/>
      <c r="AL123" s="22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81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81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1"/>
      <c r="AP123" s="4"/>
      <c r="AQ123" s="22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81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81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1"/>
      <c r="AU123" s="4"/>
      <c r="AV123" s="22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81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81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1"/>
    </row>
    <row r="124" spans="2:51" x14ac:dyDescent="0.3">
      <c r="B124" s="9"/>
      <c r="C124" s="22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81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81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3"/>
      <c r="G124" s="4"/>
      <c r="H124" s="22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81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81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3"/>
      <c r="L124" s="4"/>
      <c r="M124" s="22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81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81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3"/>
      <c r="Q124" s="4"/>
      <c r="R124" s="22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81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Cumplir con las retribuciones obtenidas por el cliente</v>
      </c>
      <c r="T124" s="81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3"/>
      <c r="V124" s="4"/>
      <c r="W124" s="22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81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81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1"/>
      <c r="AA124" s="4"/>
      <c r="AB124" s="22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81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81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1"/>
      <c r="AF124" s="4"/>
      <c r="AG124" s="22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81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81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1"/>
      <c r="AK124" s="4"/>
      <c r="AL124" s="22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81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81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1"/>
      <c r="AP124" s="4"/>
      <c r="AQ124" s="22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81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81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1"/>
      <c r="AU124" s="4"/>
      <c r="AV124" s="22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81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81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1"/>
    </row>
    <row r="125" spans="2:51" x14ac:dyDescent="0.3">
      <c r="B125" s="9"/>
      <c r="C125" s="22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81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81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3"/>
      <c r="G125" s="4"/>
      <c r="H125" s="22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81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81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3"/>
      <c r="L125" s="4"/>
      <c r="M125" s="22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81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81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3"/>
      <c r="Q125" s="4"/>
      <c r="R125" s="22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81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46190</v>
      </c>
      <c r="T125" s="81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3"/>
      <c r="V125" s="4"/>
      <c r="W125" s="22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81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81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1"/>
      <c r="AA125" s="4"/>
      <c r="AB125" s="22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81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81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1"/>
      <c r="AF125" s="4"/>
      <c r="AG125" s="22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81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81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1"/>
      <c r="AK125" s="4"/>
      <c r="AL125" s="22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81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81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1"/>
      <c r="AP125" s="4"/>
      <c r="AQ125" s="22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81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81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1"/>
      <c r="AU125" s="4"/>
      <c r="AV125" s="22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81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81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1"/>
    </row>
    <row r="126" spans="2:51" x14ac:dyDescent="0.3">
      <c r="B126" s="9"/>
      <c r="C126" s="22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81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81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3"/>
      <c r="G126" s="4"/>
      <c r="H126" s="22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81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81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3"/>
      <c r="L126" s="4"/>
      <c r="M126" s="22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81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81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3"/>
      <c r="Q126" s="4"/>
      <c r="R126" s="22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81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46193</v>
      </c>
      <c r="T126" s="81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3"/>
      <c r="V126" s="4"/>
      <c r="W126" s="22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81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81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1"/>
      <c r="AA126" s="4"/>
      <c r="AB126" s="22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81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81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1"/>
      <c r="AF126" s="4"/>
      <c r="AG126" s="22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81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81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1"/>
      <c r="AK126" s="4"/>
      <c r="AL126" s="22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81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81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1"/>
      <c r="AP126" s="4"/>
      <c r="AQ126" s="22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81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81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1"/>
      <c r="AU126" s="4"/>
      <c r="AV126" s="22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81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81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1"/>
    </row>
    <row r="127" spans="2:51" x14ac:dyDescent="0.3">
      <c r="B127" s="9"/>
      <c r="C127" s="22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81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81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3"/>
      <c r="G127" s="4"/>
      <c r="H127" s="22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81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81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3"/>
      <c r="L127" s="4"/>
      <c r="M127" s="22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81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81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3"/>
      <c r="Q127" s="4"/>
      <c r="R127" s="22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81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46193</v>
      </c>
      <c r="T127" s="81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3"/>
      <c r="V127" s="4"/>
      <c r="W127" s="22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81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81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1"/>
      <c r="AA127" s="4"/>
      <c r="AB127" s="22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81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81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1"/>
      <c r="AF127" s="4"/>
      <c r="AG127" s="22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81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81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1"/>
      <c r="AK127" s="4"/>
      <c r="AL127" s="22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81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81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1"/>
      <c r="AP127" s="4"/>
      <c r="AQ127" s="22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81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81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1"/>
      <c r="AU127" s="4"/>
      <c r="AV127" s="22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81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81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1"/>
    </row>
    <row r="128" spans="2:51" x14ac:dyDescent="0.3">
      <c r="B128" s="9"/>
      <c r="C128" s="22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81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81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3"/>
      <c r="G128" s="4"/>
      <c r="H128" s="22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81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81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3"/>
      <c r="L128" s="4"/>
      <c r="M128" s="22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81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81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3"/>
      <c r="Q128" s="4"/>
      <c r="R128" s="22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81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4 días</v>
      </c>
      <c r="T128" s="81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3"/>
      <c r="V128" s="4"/>
      <c r="W128" s="22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81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81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1"/>
      <c r="AA128" s="4"/>
      <c r="AB128" s="22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81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81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1"/>
      <c r="AF128" s="4"/>
      <c r="AG128" s="22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81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81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1"/>
      <c r="AK128" s="4"/>
      <c r="AL128" s="22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81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81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1"/>
      <c r="AP128" s="4"/>
      <c r="AQ128" s="22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81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81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1"/>
      <c r="AU128" s="4"/>
      <c r="AV128" s="22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81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81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1"/>
    </row>
    <row r="129" spans="2:51" x14ac:dyDescent="0.3">
      <c r="B129" s="9"/>
      <c r="C129" s="22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81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81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3"/>
      <c r="G129" s="4"/>
      <c r="H129" s="22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81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81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3"/>
      <c r="L129" s="4"/>
      <c r="M129" s="22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81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81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3"/>
      <c r="Q129" s="4"/>
      <c r="R129" s="22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81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81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3"/>
      <c r="V129" s="4"/>
      <c r="W129" s="22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81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81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1"/>
      <c r="AA129" s="4"/>
      <c r="AB129" s="22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81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81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1"/>
      <c r="AF129" s="4"/>
      <c r="AG129" s="22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81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81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1"/>
      <c r="AK129" s="4"/>
      <c r="AL129" s="22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81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81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1"/>
      <c r="AP129" s="4"/>
      <c r="AQ129" s="22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81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81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1"/>
      <c r="AU129" s="4"/>
      <c r="AV129" s="22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81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81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1"/>
    </row>
    <row r="130" spans="2:51" x14ac:dyDescent="0.3">
      <c r="B130" s="9"/>
      <c r="C130" s="22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81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81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3"/>
      <c r="G130" s="4"/>
      <c r="H130" s="22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81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81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3"/>
      <c r="L130" s="4"/>
      <c r="M130" s="22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81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81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3"/>
      <c r="Q130" s="4"/>
      <c r="R130" s="22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81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Valeria Sosa</v>
      </c>
      <c r="T130" s="81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3"/>
      <c r="V130" s="4"/>
      <c r="W130" s="22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81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81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1"/>
      <c r="AA130" s="4"/>
      <c r="AB130" s="22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81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81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1"/>
      <c r="AF130" s="4"/>
      <c r="AG130" s="22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81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81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1"/>
      <c r="AK130" s="4"/>
      <c r="AL130" s="22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81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81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1"/>
      <c r="AP130" s="4"/>
      <c r="AQ130" s="22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81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81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1"/>
      <c r="AU130" s="4"/>
      <c r="AV130" s="22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81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81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1"/>
    </row>
    <row r="131" spans="2:51" x14ac:dyDescent="0.3">
      <c r="B131" s="9"/>
      <c r="C131" s="22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81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81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3"/>
      <c r="G131" s="4"/>
      <c r="H131" s="22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81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81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3"/>
      <c r="L131" s="4"/>
      <c r="M131" s="22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81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81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3"/>
      <c r="Q131" s="4"/>
      <c r="R131" s="22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81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81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3"/>
      <c r="V131" s="4"/>
      <c r="W131" s="22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81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81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1"/>
      <c r="AA131" s="4"/>
      <c r="AB131" s="22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81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81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1"/>
      <c r="AF131" s="4"/>
      <c r="AG131" s="22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81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81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1"/>
      <c r="AK131" s="4"/>
      <c r="AL131" s="22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81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81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1"/>
      <c r="AP131" s="4"/>
      <c r="AQ131" s="22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81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81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1"/>
      <c r="AU131" s="4"/>
      <c r="AV131" s="22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81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81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1"/>
    </row>
    <row r="132" spans="2:51" x14ac:dyDescent="0.3">
      <c r="B132" s="9"/>
      <c r="C132" s="22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81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81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3"/>
      <c r="G132" s="4"/>
      <c r="H132" s="22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81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81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3"/>
      <c r="L132" s="4"/>
      <c r="M132" s="22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81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81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3"/>
      <c r="Q132" s="4"/>
      <c r="R132" s="22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16:</v>
      </c>
      <c r="S132" s="81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Correción Kanbam</v>
      </c>
      <c r="T132" s="81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3"/>
      <c r="V132" s="4"/>
      <c r="W132" s="22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81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81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1"/>
      <c r="AA132" s="4"/>
      <c r="AB132" s="22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81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81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1"/>
      <c r="AF132" s="4"/>
      <c r="AG132" s="22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81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81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1"/>
      <c r="AK132" s="4"/>
      <c r="AL132" s="22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81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81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1"/>
      <c r="AP132" s="4"/>
      <c r="AQ132" s="22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81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81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1"/>
      <c r="AU132" s="4"/>
      <c r="AV132" s="22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81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81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1"/>
    </row>
    <row r="133" spans="2:51" x14ac:dyDescent="0.3">
      <c r="B133" s="9"/>
      <c r="C133" s="22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81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81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3"/>
      <c r="G133" s="4"/>
      <c r="H133" s="22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81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81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3"/>
      <c r="L133" s="4"/>
      <c r="M133" s="22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81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81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3"/>
      <c r="Q133" s="4"/>
      <c r="R133" s="22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81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 xml:space="preserve">Documentación, para llevar una buena gestión de tareas </v>
      </c>
      <c r="T133" s="81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3"/>
      <c r="V133" s="4"/>
      <c r="W133" s="22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81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81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1"/>
      <c r="AA133" s="4"/>
      <c r="AB133" s="22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81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81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1"/>
      <c r="AF133" s="4"/>
      <c r="AG133" s="22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81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81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1"/>
      <c r="AK133" s="4"/>
      <c r="AL133" s="22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81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81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1"/>
      <c r="AP133" s="4"/>
      <c r="AQ133" s="22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81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81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1"/>
      <c r="AU133" s="4"/>
      <c r="AV133" s="22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81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81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1"/>
    </row>
    <row r="134" spans="2:51" x14ac:dyDescent="0.3">
      <c r="B134" s="9"/>
      <c r="C134" s="22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81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81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3"/>
      <c r="G134" s="4"/>
      <c r="H134" s="22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81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81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3"/>
      <c r="L134" s="4"/>
      <c r="M134" s="22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81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81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3"/>
      <c r="Q134" s="4"/>
      <c r="R134" s="22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81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46189</v>
      </c>
      <c r="T134" s="81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3"/>
      <c r="V134" s="4"/>
      <c r="W134" s="22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81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81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1"/>
      <c r="AA134" s="4"/>
      <c r="AB134" s="22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81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81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1"/>
      <c r="AF134" s="4"/>
      <c r="AG134" s="22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81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81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1"/>
      <c r="AK134" s="4"/>
      <c r="AL134" s="22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81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81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1"/>
      <c r="AP134" s="4"/>
      <c r="AQ134" s="22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81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81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1"/>
      <c r="AU134" s="4"/>
      <c r="AV134" s="22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81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81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1"/>
    </row>
    <row r="135" spans="2:51" x14ac:dyDescent="0.3">
      <c r="B135" s="9"/>
      <c r="C135" s="22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81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81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3"/>
      <c r="G135" s="4"/>
      <c r="H135" s="22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81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81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3"/>
      <c r="L135" s="4"/>
      <c r="M135" s="22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81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81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3"/>
      <c r="Q135" s="4"/>
      <c r="R135" s="22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81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46190</v>
      </c>
      <c r="T135" s="81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3"/>
      <c r="V135" s="4"/>
      <c r="W135" s="22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81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81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1"/>
      <c r="AA135" s="4"/>
      <c r="AB135" s="22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81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81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1"/>
      <c r="AF135" s="4"/>
      <c r="AG135" s="22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81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81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1"/>
      <c r="AK135" s="4"/>
      <c r="AL135" s="22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81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81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1"/>
      <c r="AP135" s="4"/>
      <c r="AQ135" s="22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81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81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1"/>
      <c r="AU135" s="4"/>
      <c r="AV135" s="22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81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81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1"/>
    </row>
    <row r="136" spans="2:51" x14ac:dyDescent="0.3">
      <c r="B136" s="9"/>
      <c r="C136" s="22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81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81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3"/>
      <c r="G136" s="4"/>
      <c r="H136" s="22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81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81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3"/>
      <c r="L136" s="4"/>
      <c r="M136" s="22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81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81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3"/>
      <c r="Q136" s="4"/>
      <c r="R136" s="22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81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46190</v>
      </c>
      <c r="T136" s="81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3"/>
      <c r="V136" s="4"/>
      <c r="W136" s="22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81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81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1"/>
      <c r="AA136" s="4"/>
      <c r="AB136" s="22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81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81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1"/>
      <c r="AF136" s="4"/>
      <c r="AG136" s="22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81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81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1"/>
      <c r="AK136" s="4"/>
      <c r="AL136" s="22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81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81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1"/>
      <c r="AP136" s="4"/>
      <c r="AQ136" s="22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81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81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1"/>
      <c r="AU136" s="4"/>
      <c r="AV136" s="22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81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81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1"/>
    </row>
    <row r="137" spans="2:51" x14ac:dyDescent="0.3">
      <c r="B137" s="9"/>
      <c r="C137" s="22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81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81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3"/>
      <c r="G137" s="4"/>
      <c r="H137" s="22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81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81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3"/>
      <c r="L137" s="4"/>
      <c r="M137" s="22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81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81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3"/>
      <c r="Q137" s="4"/>
      <c r="R137" s="22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81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81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3"/>
      <c r="V137" s="4"/>
      <c r="W137" s="22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81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81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1"/>
      <c r="AA137" s="4"/>
      <c r="AB137" s="22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81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81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1"/>
      <c r="AF137" s="4"/>
      <c r="AG137" s="22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81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81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1"/>
      <c r="AK137" s="4"/>
      <c r="AL137" s="22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81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81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1"/>
      <c r="AP137" s="4"/>
      <c r="AQ137" s="22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81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81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1"/>
      <c r="AU137" s="4"/>
      <c r="AV137" s="22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81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81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1"/>
    </row>
    <row r="138" spans="2:51" x14ac:dyDescent="0.3">
      <c r="B138" s="9"/>
      <c r="C138" s="22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81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81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3"/>
      <c r="G138" s="4"/>
      <c r="H138" s="22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81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81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3"/>
      <c r="L138" s="4"/>
      <c r="M138" s="22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81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81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3"/>
      <c r="Q138" s="4"/>
      <c r="R138" s="22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81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81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3"/>
      <c r="V138" s="4"/>
      <c r="W138" s="22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81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81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1"/>
      <c r="AA138" s="4"/>
      <c r="AB138" s="22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81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81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1"/>
      <c r="AF138" s="4"/>
      <c r="AG138" s="22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81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81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1"/>
      <c r="AK138" s="4"/>
      <c r="AL138" s="22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81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81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1"/>
      <c r="AP138" s="4"/>
      <c r="AQ138" s="22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81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81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1"/>
      <c r="AU138" s="4"/>
      <c r="AV138" s="22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81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81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1"/>
    </row>
    <row r="139" spans="2:51" x14ac:dyDescent="0.3">
      <c r="B139" s="9"/>
      <c r="C139" s="22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81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81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3"/>
      <c r="G139" s="4"/>
      <c r="H139" s="22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81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81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3"/>
      <c r="L139" s="4"/>
      <c r="M139" s="22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81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81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3"/>
      <c r="Q139" s="4"/>
      <c r="R139" s="22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81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Miguel Verdezoto</v>
      </c>
      <c r="T139" s="81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3"/>
      <c r="V139" s="4"/>
      <c r="W139" s="22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81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81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1"/>
      <c r="AA139" s="4"/>
      <c r="AB139" s="22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81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81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1"/>
      <c r="AF139" s="4"/>
      <c r="AG139" s="22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81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81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1"/>
      <c r="AK139" s="4"/>
      <c r="AL139" s="22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81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81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1"/>
      <c r="AP139" s="4"/>
      <c r="AQ139" s="22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81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81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1"/>
      <c r="AU139" s="4"/>
      <c r="AV139" s="22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81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81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1"/>
    </row>
    <row r="140" spans="2:51" x14ac:dyDescent="0.3">
      <c r="B140" s="9"/>
      <c r="C140" s="22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81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81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3"/>
      <c r="G140" s="4"/>
      <c r="H140" s="22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81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81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3"/>
      <c r="L140" s="4"/>
      <c r="M140" s="22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81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81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3"/>
      <c r="Q140" s="4"/>
      <c r="R140" s="22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81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81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3"/>
      <c r="V140" s="4"/>
      <c r="W140" s="22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81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81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1"/>
      <c r="AA140" s="4"/>
      <c r="AB140" s="22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81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81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1"/>
      <c r="AF140" s="4"/>
      <c r="AG140" s="22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81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81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1"/>
      <c r="AK140" s="4"/>
      <c r="AL140" s="22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81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81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1"/>
      <c r="AP140" s="4"/>
      <c r="AQ140" s="22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81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81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1"/>
      <c r="AU140" s="4"/>
      <c r="AV140" s="22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81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81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1"/>
    </row>
    <row r="141" spans="2:51" x14ac:dyDescent="0.3">
      <c r="B141" s="9"/>
      <c r="C141" s="22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81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81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3"/>
      <c r="G141" s="4"/>
      <c r="H141" s="22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81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81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3"/>
      <c r="L141" s="4"/>
      <c r="M141" s="22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81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81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3"/>
      <c r="Q141" s="4"/>
      <c r="R141" s="22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15:</v>
      </c>
      <c r="S141" s="81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Corrección Backlog, aumento de Tareas y subtareas en el Spring 2</v>
      </c>
      <c r="T141" s="81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3"/>
      <c r="V141" s="4"/>
      <c r="W141" s="22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81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81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1"/>
      <c r="AA141" s="4"/>
      <c r="AB141" s="22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81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81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1"/>
      <c r="AF141" s="4"/>
      <c r="AG141" s="22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81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81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1"/>
      <c r="AK141" s="4"/>
      <c r="AL141" s="22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81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81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1"/>
      <c r="AP141" s="4"/>
      <c r="AQ141" s="22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81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81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1"/>
      <c r="AU141" s="4"/>
      <c r="AV141" s="22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81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81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1"/>
    </row>
    <row r="142" spans="2:51" x14ac:dyDescent="0.3">
      <c r="B142" s="9"/>
      <c r="C142" s="22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81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81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3"/>
      <c r="G142" s="4"/>
      <c r="H142" s="22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81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81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3"/>
      <c r="L142" s="4"/>
      <c r="M142" s="22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81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81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3"/>
      <c r="Q142" s="4"/>
      <c r="R142" s="22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81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Correción de documentación, para una escalabilidad futura</v>
      </c>
      <c r="T142" s="81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3"/>
      <c r="V142" s="4"/>
      <c r="W142" s="22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81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81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1"/>
      <c r="AA142" s="4"/>
      <c r="AB142" s="22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81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81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1"/>
      <c r="AF142" s="4"/>
      <c r="AG142" s="22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81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81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1"/>
      <c r="AK142" s="4"/>
      <c r="AL142" s="22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81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81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1"/>
      <c r="AP142" s="4"/>
      <c r="AQ142" s="22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81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81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1"/>
      <c r="AU142" s="4"/>
      <c r="AV142" s="22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81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81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1"/>
    </row>
    <row r="143" spans="2:51" x14ac:dyDescent="0.3">
      <c r="B143" s="9"/>
      <c r="C143" s="22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81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81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3"/>
      <c r="G143" s="4"/>
      <c r="H143" s="22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81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81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3"/>
      <c r="L143" s="4"/>
      <c r="M143" s="22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81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81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3"/>
      <c r="Q143" s="4"/>
      <c r="R143" s="22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81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46189</v>
      </c>
      <c r="T143" s="81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3"/>
      <c r="V143" s="4"/>
      <c r="W143" s="22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81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81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1"/>
      <c r="AA143" s="4"/>
      <c r="AB143" s="22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81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81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1"/>
      <c r="AF143" s="4"/>
      <c r="AG143" s="22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81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81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1"/>
      <c r="AK143" s="4"/>
      <c r="AL143" s="22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81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81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1"/>
      <c r="AP143" s="4"/>
      <c r="AQ143" s="22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81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81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1"/>
      <c r="AU143" s="4"/>
      <c r="AV143" s="22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81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81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1"/>
    </row>
    <row r="144" spans="2:51" x14ac:dyDescent="0.3">
      <c r="B144" s="9"/>
      <c r="C144" s="22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81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81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3"/>
      <c r="G144" s="4"/>
      <c r="H144" s="22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81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81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3"/>
      <c r="L144" s="4"/>
      <c r="M144" s="22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81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81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3"/>
      <c r="Q144" s="4"/>
      <c r="R144" s="22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81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46190</v>
      </c>
      <c r="T144" s="81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3"/>
      <c r="V144" s="4"/>
      <c r="W144" s="22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81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81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1"/>
      <c r="AA144" s="4"/>
      <c r="AB144" s="22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81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81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1"/>
      <c r="AF144" s="4"/>
      <c r="AG144" s="22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81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81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1"/>
      <c r="AK144" s="4"/>
      <c r="AL144" s="22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81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81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1"/>
      <c r="AP144" s="4"/>
      <c r="AQ144" s="22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81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81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1"/>
      <c r="AU144" s="4"/>
      <c r="AV144" s="22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81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81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1"/>
    </row>
    <row r="145" spans="2:51" x14ac:dyDescent="0.3">
      <c r="B145" s="9"/>
      <c r="C145" s="22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81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81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3"/>
      <c r="G145" s="4"/>
      <c r="H145" s="22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81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81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3"/>
      <c r="L145" s="4"/>
      <c r="M145" s="22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81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81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3"/>
      <c r="Q145" s="4"/>
      <c r="R145" s="22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81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46190</v>
      </c>
      <c r="T145" s="81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3"/>
      <c r="V145" s="4"/>
      <c r="W145" s="22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81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81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1"/>
      <c r="AA145" s="4"/>
      <c r="AB145" s="22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81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81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1"/>
      <c r="AF145" s="4"/>
      <c r="AG145" s="22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81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81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1"/>
      <c r="AK145" s="4"/>
      <c r="AL145" s="22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81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81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1"/>
      <c r="AP145" s="4"/>
      <c r="AQ145" s="22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81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81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1"/>
      <c r="AU145" s="4"/>
      <c r="AV145" s="22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81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81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1"/>
    </row>
    <row r="146" spans="2:51" x14ac:dyDescent="0.3">
      <c r="B146" s="9"/>
      <c r="C146" s="22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81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81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3"/>
      <c r="G146" s="4"/>
      <c r="H146" s="22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81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81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3"/>
      <c r="L146" s="4"/>
      <c r="M146" s="22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81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81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3"/>
      <c r="Q146" s="4"/>
      <c r="R146" s="22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81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81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3"/>
      <c r="V146" s="4"/>
      <c r="W146" s="22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81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81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1"/>
      <c r="AA146" s="4"/>
      <c r="AB146" s="22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81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81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1"/>
      <c r="AF146" s="4"/>
      <c r="AG146" s="22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81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81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1"/>
      <c r="AK146" s="4"/>
      <c r="AL146" s="22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81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81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1"/>
      <c r="AP146" s="4"/>
      <c r="AQ146" s="22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81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81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1"/>
      <c r="AU146" s="4"/>
      <c r="AV146" s="22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81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81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1"/>
    </row>
    <row r="147" spans="2:51" x14ac:dyDescent="0.3">
      <c r="B147" s="9"/>
      <c r="C147" s="22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81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81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3"/>
      <c r="G147" s="4"/>
      <c r="H147" s="22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81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81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3"/>
      <c r="L147" s="4"/>
      <c r="M147" s="22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81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81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3"/>
      <c r="Q147" s="4"/>
      <c r="R147" s="22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81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81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3"/>
      <c r="V147" s="4"/>
      <c r="W147" s="22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81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81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1"/>
      <c r="AA147" s="4"/>
      <c r="AB147" s="22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81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81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1"/>
      <c r="AF147" s="4"/>
      <c r="AG147" s="22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81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81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1"/>
      <c r="AK147" s="4"/>
      <c r="AL147" s="22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81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81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1"/>
      <c r="AP147" s="4"/>
      <c r="AQ147" s="22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81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81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1"/>
      <c r="AU147" s="4"/>
      <c r="AV147" s="22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81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81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1"/>
    </row>
    <row r="148" spans="2:51" x14ac:dyDescent="0.3">
      <c r="B148" s="9"/>
      <c r="C148" s="22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81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81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3"/>
      <c r="G148" s="4"/>
      <c r="H148" s="22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81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81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3"/>
      <c r="L148" s="4"/>
      <c r="M148" s="22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81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81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3"/>
      <c r="Q148" s="4"/>
      <c r="R148" s="22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81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Valeria Sosa</v>
      </c>
      <c r="T148" s="81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3"/>
      <c r="V148" s="4"/>
      <c r="W148" s="22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81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81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1"/>
      <c r="AA148" s="4"/>
      <c r="AB148" s="22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81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81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1"/>
      <c r="AF148" s="4"/>
      <c r="AG148" s="22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81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81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1"/>
      <c r="AK148" s="4"/>
      <c r="AL148" s="22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81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81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1"/>
      <c r="AP148" s="4"/>
      <c r="AQ148" s="22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81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81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1"/>
      <c r="AU148" s="4"/>
      <c r="AV148" s="22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81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81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1"/>
    </row>
    <row r="149" spans="2:51" x14ac:dyDescent="0.3">
      <c r="B149" s="9"/>
      <c r="C149" s="22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81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81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3"/>
      <c r="G149" s="4"/>
      <c r="H149" s="22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81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81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3"/>
      <c r="L149" s="4"/>
      <c r="M149" s="22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81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81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3"/>
      <c r="Q149" s="4"/>
      <c r="R149" s="22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81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81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3"/>
      <c r="V149" s="4"/>
      <c r="W149" s="22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81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81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1"/>
      <c r="AA149" s="4"/>
      <c r="AB149" s="22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81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81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1"/>
      <c r="AF149" s="4"/>
      <c r="AG149" s="22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81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81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1"/>
      <c r="AK149" s="4"/>
      <c r="AL149" s="22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81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81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1"/>
      <c r="AP149" s="4"/>
      <c r="AQ149" s="22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81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81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1"/>
      <c r="AU149" s="4"/>
      <c r="AV149" s="22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81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81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1"/>
    </row>
    <row r="150" spans="2:51" x14ac:dyDescent="0.3">
      <c r="B150" s="9"/>
      <c r="C150" s="22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81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81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3"/>
      <c r="G150" s="4"/>
      <c r="H150" s="22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81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81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3"/>
      <c r="L150" s="4"/>
      <c r="M150" s="22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81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81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3"/>
      <c r="Q150" s="4"/>
      <c r="R150" s="22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14:</v>
      </c>
      <c r="S150" s="81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Creacion de Actas Internas</v>
      </c>
      <c r="T150" s="81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3"/>
      <c r="V150" s="4"/>
      <c r="W150" s="22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81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81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1"/>
      <c r="AA150" s="4"/>
      <c r="AB150" s="22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81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81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1"/>
      <c r="AF150" s="4"/>
      <c r="AG150" s="22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81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81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1"/>
      <c r="AK150" s="4"/>
      <c r="AL150" s="22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81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81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1"/>
      <c r="AP150" s="4"/>
      <c r="AQ150" s="22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81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81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1"/>
      <c r="AU150" s="4"/>
      <c r="AV150" s="22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81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81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1"/>
    </row>
    <row r="151" spans="2:51" x14ac:dyDescent="0.3">
      <c r="B151" s="9"/>
      <c r="C151" s="22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81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81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3"/>
      <c r="G151" s="4"/>
      <c r="H151" s="22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81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81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3"/>
      <c r="L151" s="4"/>
      <c r="M151" s="22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81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81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3"/>
      <c r="Q151" s="4"/>
      <c r="R151" s="22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81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Documentación, para llevar un registro de las reuniones y todos los temas tratados</v>
      </c>
      <c r="T151" s="81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3"/>
      <c r="V151" s="4"/>
      <c r="W151" s="22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81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81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1"/>
      <c r="AA151" s="4"/>
      <c r="AB151" s="22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81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81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1"/>
      <c r="AF151" s="4"/>
      <c r="AG151" s="22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81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81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1"/>
      <c r="AK151" s="4"/>
      <c r="AL151" s="22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81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81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1"/>
      <c r="AP151" s="4"/>
      <c r="AQ151" s="22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81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81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1"/>
      <c r="AU151" s="4"/>
      <c r="AV151" s="22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81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81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1"/>
    </row>
    <row r="152" spans="2:51" x14ac:dyDescent="0.3">
      <c r="B152" s="9"/>
      <c r="C152" s="22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81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81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3"/>
      <c r="G152" s="4"/>
      <c r="H152" s="22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81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81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3"/>
      <c r="L152" s="4"/>
      <c r="M152" s="22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81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81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3"/>
      <c r="Q152" s="4"/>
      <c r="R152" s="22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81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46189</v>
      </c>
      <c r="T152" s="81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3"/>
      <c r="V152" s="4"/>
      <c r="W152" s="22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81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81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1"/>
      <c r="AA152" s="4"/>
      <c r="AB152" s="22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81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81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1"/>
      <c r="AF152" s="4"/>
      <c r="AG152" s="22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81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81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1"/>
      <c r="AK152" s="4"/>
      <c r="AL152" s="22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81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81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1"/>
      <c r="AP152" s="4"/>
      <c r="AQ152" s="22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81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81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1"/>
      <c r="AU152" s="4"/>
      <c r="AV152" s="22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81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81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1"/>
    </row>
    <row r="153" spans="2:51" x14ac:dyDescent="0.3">
      <c r="B153" s="9"/>
      <c r="C153" s="22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81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81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3"/>
      <c r="G153" s="4"/>
      <c r="H153" s="22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81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81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3"/>
      <c r="L153" s="4"/>
      <c r="M153" s="22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81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81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3"/>
      <c r="Q153" s="4"/>
      <c r="R153" s="22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81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46190</v>
      </c>
      <c r="T153" s="81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3"/>
      <c r="V153" s="4"/>
      <c r="W153" s="22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81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81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1"/>
      <c r="AA153" s="4"/>
      <c r="AB153" s="22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81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81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1"/>
      <c r="AF153" s="4"/>
      <c r="AG153" s="22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81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81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1"/>
      <c r="AK153" s="4"/>
      <c r="AL153" s="22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81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81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1"/>
      <c r="AP153" s="4"/>
      <c r="AQ153" s="22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81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81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1"/>
      <c r="AU153" s="4"/>
      <c r="AV153" s="22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81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81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1"/>
    </row>
    <row r="154" spans="2:51" x14ac:dyDescent="0.3">
      <c r="B154" s="9"/>
      <c r="C154" s="22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81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81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3"/>
      <c r="G154" s="4"/>
      <c r="H154" s="22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81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81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3"/>
      <c r="L154" s="4"/>
      <c r="M154" s="22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81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81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3"/>
      <c r="Q154" s="4"/>
      <c r="R154" s="22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81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46190</v>
      </c>
      <c r="T154" s="81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3"/>
      <c r="V154" s="4"/>
      <c r="W154" s="22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81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81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1"/>
      <c r="AA154" s="4"/>
      <c r="AB154" s="22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81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81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1"/>
      <c r="AF154" s="4"/>
      <c r="AG154" s="22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81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81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1"/>
      <c r="AK154" s="4"/>
      <c r="AL154" s="22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81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81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1"/>
      <c r="AP154" s="4"/>
      <c r="AQ154" s="22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81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81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1"/>
      <c r="AU154" s="4"/>
      <c r="AV154" s="22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81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81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1"/>
    </row>
    <row r="155" spans="2:51" x14ac:dyDescent="0.3">
      <c r="B155" s="9"/>
      <c r="C155" s="22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81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81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3"/>
      <c r="G155" s="4"/>
      <c r="H155" s="22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81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81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3"/>
      <c r="L155" s="4"/>
      <c r="M155" s="22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81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81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3"/>
      <c r="Q155" s="4"/>
      <c r="R155" s="22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81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2 días</v>
      </c>
      <c r="T155" s="81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3"/>
      <c r="V155" s="4"/>
      <c r="W155" s="22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81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81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1"/>
      <c r="AA155" s="4"/>
      <c r="AB155" s="22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81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81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1"/>
      <c r="AF155" s="4"/>
      <c r="AG155" s="22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81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81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1"/>
      <c r="AK155" s="4"/>
      <c r="AL155" s="22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81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81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1"/>
      <c r="AP155" s="4"/>
      <c r="AQ155" s="22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81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81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1"/>
      <c r="AU155" s="4"/>
      <c r="AV155" s="22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81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81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1"/>
    </row>
    <row r="156" spans="2:51" x14ac:dyDescent="0.3">
      <c r="B156" s="9"/>
      <c r="C156" s="22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81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81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3"/>
      <c r="G156" s="4"/>
      <c r="H156" s="22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81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81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3"/>
      <c r="L156" s="4"/>
      <c r="M156" s="22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81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81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3"/>
      <c r="Q156" s="4"/>
      <c r="R156" s="22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81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81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3"/>
      <c r="V156" s="4"/>
      <c r="W156" s="22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81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81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1"/>
      <c r="AA156" s="4"/>
      <c r="AB156" s="22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81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81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1"/>
      <c r="AF156" s="4"/>
      <c r="AG156" s="22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81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81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1"/>
      <c r="AK156" s="4"/>
      <c r="AL156" s="22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81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81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1"/>
      <c r="AP156" s="4"/>
      <c r="AQ156" s="22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81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81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1"/>
      <c r="AU156" s="4"/>
      <c r="AV156" s="22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81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81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1"/>
    </row>
    <row r="157" spans="2:51" x14ac:dyDescent="0.3">
      <c r="B157" s="9"/>
      <c r="C157" s="22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81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81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3"/>
      <c r="G157" s="4"/>
      <c r="H157" s="22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81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81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3"/>
      <c r="L157" s="4"/>
      <c r="M157" s="22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81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81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3"/>
      <c r="Q157" s="4"/>
      <c r="R157" s="22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81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Mateo Jaramillo</v>
      </c>
      <c r="T157" s="81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3"/>
      <c r="V157" s="4"/>
      <c r="W157" s="22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81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81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1"/>
      <c r="AA157" s="4"/>
      <c r="AB157" s="22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81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81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1"/>
      <c r="AF157" s="4"/>
      <c r="AG157" s="22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81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81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1"/>
      <c r="AK157" s="4"/>
      <c r="AL157" s="22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81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81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1"/>
      <c r="AP157" s="4"/>
      <c r="AQ157" s="22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81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81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1"/>
      <c r="AU157" s="4"/>
      <c r="AV157" s="22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81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81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1"/>
    </row>
    <row r="158" spans="2:51" x14ac:dyDescent="0.3">
      <c r="B158" s="9"/>
      <c r="C158" s="22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81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81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3"/>
      <c r="G158" s="4"/>
      <c r="H158" s="22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81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81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3"/>
      <c r="L158" s="4"/>
      <c r="M158" s="22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81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81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3"/>
      <c r="Q158" s="4"/>
      <c r="R158" s="22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81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81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3"/>
      <c r="V158" s="4"/>
      <c r="W158" s="22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81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81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1"/>
      <c r="AA158" s="4"/>
      <c r="AB158" s="22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81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81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1"/>
      <c r="AF158" s="4"/>
      <c r="AG158" s="22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81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81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1"/>
      <c r="AK158" s="4"/>
      <c r="AL158" s="22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81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81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1"/>
      <c r="AP158" s="4"/>
      <c r="AQ158" s="22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81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81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1"/>
      <c r="AU158" s="4"/>
      <c r="AV158" s="22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81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81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1"/>
    </row>
    <row r="159" spans="2:51" x14ac:dyDescent="0.3">
      <c r="B159" s="9"/>
      <c r="C159" s="22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81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81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3"/>
      <c r="G159" s="4"/>
      <c r="H159" s="22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81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81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3"/>
      <c r="L159" s="4"/>
      <c r="M159" s="22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81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81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3"/>
      <c r="Q159" s="4"/>
      <c r="R159" s="22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13:</v>
      </c>
      <c r="S159" s="81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Correción MZHU, en base a lo pedido por el cliente</v>
      </c>
      <c r="T159" s="81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3"/>
      <c r="V159" s="4"/>
      <c r="W159" s="22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81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81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1"/>
      <c r="AA159" s="4"/>
      <c r="AB159" s="22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81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81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1"/>
      <c r="AF159" s="4"/>
      <c r="AG159" s="22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81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81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1"/>
      <c r="AK159" s="4"/>
      <c r="AL159" s="22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81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81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1"/>
      <c r="AP159" s="4"/>
      <c r="AQ159" s="22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81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81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1"/>
      <c r="AU159" s="4"/>
      <c r="AV159" s="22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81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81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1"/>
    </row>
    <row r="160" spans="2:51" x14ac:dyDescent="0.3">
      <c r="B160" s="9"/>
      <c r="C160" s="22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81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81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3"/>
      <c r="G160" s="4"/>
      <c r="H160" s="22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81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81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3"/>
      <c r="L160" s="4"/>
      <c r="M160" s="22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81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81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3"/>
      <c r="Q160" s="4"/>
      <c r="R160" s="22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81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 xml:space="preserve">Correción documentación </v>
      </c>
      <c r="T160" s="81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3"/>
      <c r="V160" s="4"/>
      <c r="W160" s="22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81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81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1"/>
      <c r="AA160" s="4"/>
      <c r="AB160" s="22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81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81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1"/>
      <c r="AF160" s="4"/>
      <c r="AG160" s="22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81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81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1"/>
      <c r="AK160" s="4"/>
      <c r="AL160" s="22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81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81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1"/>
      <c r="AP160" s="4"/>
      <c r="AQ160" s="22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81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81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1"/>
      <c r="AU160" s="4"/>
      <c r="AV160" s="22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81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81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1"/>
    </row>
    <row r="161" spans="2:51" x14ac:dyDescent="0.3">
      <c r="B161" s="9"/>
      <c r="C161" s="22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81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81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3"/>
      <c r="G161" s="4"/>
      <c r="H161" s="22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81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81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3"/>
      <c r="L161" s="4"/>
      <c r="M161" s="22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81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81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3"/>
      <c r="Q161" s="4"/>
      <c r="R161" s="22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81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46188</v>
      </c>
      <c r="T161" s="81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3"/>
      <c r="V161" s="4"/>
      <c r="W161" s="22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81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81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1"/>
      <c r="AA161" s="4"/>
      <c r="AB161" s="22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81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81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1"/>
      <c r="AF161" s="4"/>
      <c r="AG161" s="22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81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81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1"/>
      <c r="AK161" s="4"/>
      <c r="AL161" s="22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81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81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1"/>
      <c r="AP161" s="4"/>
      <c r="AQ161" s="22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81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81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1"/>
      <c r="AU161" s="4"/>
      <c r="AV161" s="22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81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81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1"/>
    </row>
    <row r="162" spans="2:51" x14ac:dyDescent="0.3">
      <c r="B162" s="9"/>
      <c r="C162" s="22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81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81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3"/>
      <c r="G162" s="4"/>
      <c r="H162" s="22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81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81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3"/>
      <c r="L162" s="4"/>
      <c r="M162" s="22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81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81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3"/>
      <c r="Q162" s="4"/>
      <c r="R162" s="22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81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46189</v>
      </c>
      <c r="T162" s="81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3"/>
      <c r="V162" s="4"/>
      <c r="W162" s="22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81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81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1"/>
      <c r="AA162" s="4"/>
      <c r="AB162" s="22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81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81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1"/>
      <c r="AF162" s="4"/>
      <c r="AG162" s="22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81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81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1"/>
      <c r="AK162" s="4"/>
      <c r="AL162" s="22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81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81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1"/>
      <c r="AP162" s="4"/>
      <c r="AQ162" s="22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81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81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1"/>
      <c r="AU162" s="4"/>
      <c r="AV162" s="22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81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81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1"/>
    </row>
    <row r="163" spans="2:51" x14ac:dyDescent="0.3">
      <c r="B163" s="9"/>
      <c r="C163" s="22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81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81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3"/>
      <c r="G163" s="4"/>
      <c r="H163" s="22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81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81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3"/>
      <c r="L163" s="4"/>
      <c r="M163" s="22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81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81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3"/>
      <c r="Q163" s="4"/>
      <c r="R163" s="22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81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46189</v>
      </c>
      <c r="T163" s="81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3"/>
      <c r="V163" s="4"/>
      <c r="W163" s="22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81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81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1"/>
      <c r="AA163" s="4"/>
      <c r="AB163" s="22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81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81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1"/>
      <c r="AF163" s="4"/>
      <c r="AG163" s="22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81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81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1"/>
      <c r="AK163" s="4"/>
      <c r="AL163" s="22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81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81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1"/>
      <c r="AP163" s="4"/>
      <c r="AQ163" s="22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81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81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1"/>
      <c r="AU163" s="4"/>
      <c r="AV163" s="22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81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81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1"/>
    </row>
    <row r="164" spans="2:51" x14ac:dyDescent="0.3">
      <c r="B164" s="9"/>
      <c r="C164" s="22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81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81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3"/>
      <c r="G164" s="4"/>
      <c r="H164" s="22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81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81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3"/>
      <c r="L164" s="4"/>
      <c r="M164" s="22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81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81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3"/>
      <c r="Q164" s="4"/>
      <c r="R164" s="22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81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81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3"/>
      <c r="V164" s="4"/>
      <c r="W164" s="22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81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81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1"/>
      <c r="AA164" s="4"/>
      <c r="AB164" s="22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81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81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1"/>
      <c r="AF164" s="4"/>
      <c r="AG164" s="22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81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81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1"/>
      <c r="AK164" s="4"/>
      <c r="AL164" s="22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81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81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1"/>
      <c r="AP164" s="4"/>
      <c r="AQ164" s="22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81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81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1"/>
      <c r="AU164" s="4"/>
      <c r="AV164" s="22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81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81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1"/>
    </row>
    <row r="165" spans="2:51" x14ac:dyDescent="0.3">
      <c r="B165" s="9"/>
      <c r="C165" s="22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81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81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3"/>
      <c r="G165" s="4"/>
      <c r="H165" s="22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81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81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3"/>
      <c r="L165" s="4"/>
      <c r="M165" s="22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81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81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3"/>
      <c r="Q165" s="4"/>
      <c r="R165" s="22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81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81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3"/>
      <c r="V165" s="4"/>
      <c r="W165" s="22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81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81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1"/>
      <c r="AA165" s="4"/>
      <c r="AB165" s="22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81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81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1"/>
      <c r="AF165" s="4"/>
      <c r="AG165" s="22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81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81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1"/>
      <c r="AK165" s="4"/>
      <c r="AL165" s="22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81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81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1"/>
      <c r="AP165" s="4"/>
      <c r="AQ165" s="22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81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81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1"/>
      <c r="AU165" s="4"/>
      <c r="AV165" s="22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81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81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1"/>
    </row>
    <row r="166" spans="2:51" x14ac:dyDescent="0.3">
      <c r="B166" s="9"/>
      <c r="C166" s="22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81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81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3"/>
      <c r="G166" s="4"/>
      <c r="H166" s="22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81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81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3"/>
      <c r="L166" s="4"/>
      <c r="M166" s="22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81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81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3"/>
      <c r="Q166" s="4"/>
      <c r="R166" s="22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81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Valeria Sosa</v>
      </c>
      <c r="T166" s="81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3"/>
      <c r="V166" s="4"/>
      <c r="W166" s="22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81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81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1"/>
      <c r="AA166" s="4"/>
      <c r="AB166" s="22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81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81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1"/>
      <c r="AF166" s="4"/>
      <c r="AG166" s="22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81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81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1"/>
      <c r="AK166" s="4"/>
      <c r="AL166" s="22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81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81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1"/>
      <c r="AP166" s="4"/>
      <c r="AQ166" s="22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81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81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1"/>
      <c r="AU166" s="4"/>
      <c r="AV166" s="22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81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81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1"/>
    </row>
    <row r="167" spans="2:51" x14ac:dyDescent="0.3">
      <c r="B167" s="9"/>
      <c r="C167" s="22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81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81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3"/>
      <c r="G167" s="4"/>
      <c r="H167" s="22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81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81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3"/>
      <c r="L167" s="4"/>
      <c r="M167" s="22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81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81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3"/>
      <c r="Q167" s="4"/>
      <c r="R167" s="22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81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81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3"/>
      <c r="V167" s="4"/>
      <c r="W167" s="22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81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81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1"/>
      <c r="AA167" s="4"/>
      <c r="AB167" s="22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81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81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1"/>
      <c r="AF167" s="4"/>
      <c r="AG167" s="22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81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81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1"/>
      <c r="AK167" s="4"/>
      <c r="AL167" s="22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81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81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1"/>
      <c r="AP167" s="4"/>
      <c r="AQ167" s="22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81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81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1"/>
      <c r="AU167" s="4"/>
      <c r="AV167" s="22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81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81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1"/>
    </row>
    <row r="168" spans="2:51" x14ac:dyDescent="0.3">
      <c r="B168" s="9"/>
      <c r="C168" s="22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81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81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3"/>
      <c r="G168" s="4"/>
      <c r="H168" s="22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81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81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3"/>
      <c r="L168" s="4"/>
      <c r="M168" s="22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81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81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3"/>
      <c r="Q168" s="4"/>
      <c r="R168" s="22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12:</v>
      </c>
      <c r="S168" s="81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Elaboración del Excel de Kanbam</v>
      </c>
      <c r="T168" s="81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3"/>
      <c r="V168" s="4"/>
      <c r="W168" s="22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81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81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1"/>
      <c r="AA168" s="4"/>
      <c r="AB168" s="22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81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81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1"/>
      <c r="AF168" s="4"/>
      <c r="AG168" s="22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81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81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1"/>
      <c r="AK168" s="4"/>
      <c r="AL168" s="22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81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81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1"/>
      <c r="AP168" s="4"/>
      <c r="AQ168" s="22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81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81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1"/>
      <c r="AU168" s="4"/>
      <c r="AV168" s="22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81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81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1"/>
    </row>
    <row r="169" spans="2:51" x14ac:dyDescent="0.3">
      <c r="B169" s="9"/>
      <c r="C169" s="22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81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81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3"/>
      <c r="G169" s="4"/>
      <c r="H169" s="22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81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81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3"/>
      <c r="L169" s="4"/>
      <c r="M169" s="22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81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81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3"/>
      <c r="Q169" s="4"/>
      <c r="R169" s="22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81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Crear tablero para controlar el flujo de tareas.</v>
      </c>
      <c r="T169" s="81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3"/>
      <c r="V169" s="4"/>
      <c r="W169" s="22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81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81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1"/>
      <c r="AA169" s="4"/>
      <c r="AB169" s="22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81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81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1"/>
      <c r="AF169" s="4"/>
      <c r="AG169" s="22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81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81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1"/>
      <c r="AK169" s="4"/>
      <c r="AL169" s="22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81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81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1"/>
      <c r="AP169" s="4"/>
      <c r="AQ169" s="22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81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81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1"/>
      <c r="AU169" s="4"/>
      <c r="AV169" s="22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81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81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1"/>
    </row>
    <row r="170" spans="2:51" x14ac:dyDescent="0.3">
      <c r="B170" s="9"/>
      <c r="C170" s="22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81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81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3"/>
      <c r="G170" s="4"/>
      <c r="H170" s="22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81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81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3"/>
      <c r="L170" s="4"/>
      <c r="M170" s="22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81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81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3"/>
      <c r="Q170" s="4"/>
      <c r="R170" s="22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81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46183</v>
      </c>
      <c r="T170" s="81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3"/>
      <c r="V170" s="4"/>
      <c r="W170" s="22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81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81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1"/>
      <c r="AA170" s="4"/>
      <c r="AB170" s="22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81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81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1"/>
      <c r="AF170" s="4"/>
      <c r="AG170" s="22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81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81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1"/>
      <c r="AK170" s="4"/>
      <c r="AL170" s="22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81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81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1"/>
      <c r="AP170" s="4"/>
      <c r="AQ170" s="22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81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81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1"/>
      <c r="AU170" s="4"/>
      <c r="AV170" s="22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81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81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1"/>
    </row>
    <row r="171" spans="2:51" x14ac:dyDescent="0.3">
      <c r="B171" s="9"/>
      <c r="C171" s="22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81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81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3"/>
      <c r="G171" s="4"/>
      <c r="H171" s="22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81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81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3"/>
      <c r="L171" s="4"/>
      <c r="M171" s="22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81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81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3"/>
      <c r="Q171" s="4"/>
      <c r="R171" s="22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81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46185</v>
      </c>
      <c r="T171" s="81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3"/>
      <c r="V171" s="4"/>
      <c r="W171" s="22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81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81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1"/>
      <c r="AA171" s="4"/>
      <c r="AB171" s="22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81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81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1"/>
      <c r="AF171" s="4"/>
      <c r="AG171" s="22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81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81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1"/>
      <c r="AK171" s="4"/>
      <c r="AL171" s="22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81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81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1"/>
      <c r="AP171" s="4"/>
      <c r="AQ171" s="22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81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81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1"/>
      <c r="AU171" s="4"/>
      <c r="AV171" s="22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81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81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1"/>
    </row>
    <row r="172" spans="2:51" x14ac:dyDescent="0.3">
      <c r="B172" s="9"/>
      <c r="C172" s="22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81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81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3"/>
      <c r="G172" s="4"/>
      <c r="H172" s="22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81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81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3"/>
      <c r="L172" s="4"/>
      <c r="M172" s="22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81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81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3"/>
      <c r="Q172" s="4"/>
      <c r="R172" s="22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81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46185</v>
      </c>
      <c r="T172" s="81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3"/>
      <c r="V172" s="4"/>
      <c r="W172" s="22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81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81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1"/>
      <c r="AA172" s="4"/>
      <c r="AB172" s="22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81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81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1"/>
      <c r="AF172" s="4"/>
      <c r="AG172" s="22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81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81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1"/>
      <c r="AK172" s="4"/>
      <c r="AL172" s="22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81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81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1"/>
      <c r="AP172" s="4"/>
      <c r="AQ172" s="22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81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81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1"/>
      <c r="AU172" s="4"/>
      <c r="AV172" s="22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81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81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1"/>
    </row>
    <row r="173" spans="2:51" x14ac:dyDescent="0.3">
      <c r="B173" s="9"/>
      <c r="C173" s="22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81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81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3"/>
      <c r="G173" s="4"/>
      <c r="H173" s="22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81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81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3"/>
      <c r="L173" s="4"/>
      <c r="M173" s="22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81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81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3"/>
      <c r="Q173" s="4"/>
      <c r="R173" s="22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81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3 días</v>
      </c>
      <c r="T173" s="81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3"/>
      <c r="V173" s="4"/>
      <c r="W173" s="22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81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81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1"/>
      <c r="AA173" s="4"/>
      <c r="AB173" s="22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81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81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1"/>
      <c r="AF173" s="4"/>
      <c r="AG173" s="22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81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81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1"/>
      <c r="AK173" s="4"/>
      <c r="AL173" s="22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81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81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1"/>
      <c r="AP173" s="4"/>
      <c r="AQ173" s="22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81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81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1"/>
      <c r="AU173" s="4"/>
      <c r="AV173" s="22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81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81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1"/>
    </row>
    <row r="174" spans="2:51" x14ac:dyDescent="0.3">
      <c r="B174" s="9"/>
      <c r="C174" s="22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81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81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3"/>
      <c r="G174" s="4"/>
      <c r="H174" s="22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81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81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3"/>
      <c r="L174" s="4"/>
      <c r="M174" s="22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81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81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3"/>
      <c r="Q174" s="4"/>
      <c r="R174" s="22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81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81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3"/>
      <c r="V174" s="4"/>
      <c r="W174" s="22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81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81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1"/>
      <c r="AA174" s="4"/>
      <c r="AB174" s="22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81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81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1"/>
      <c r="AF174" s="4"/>
      <c r="AG174" s="22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81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81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1"/>
      <c r="AK174" s="4"/>
      <c r="AL174" s="22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81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81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1"/>
      <c r="AP174" s="4"/>
      <c r="AQ174" s="22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81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81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1"/>
      <c r="AU174" s="4"/>
      <c r="AV174" s="22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81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81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1"/>
    </row>
    <row r="175" spans="2:51" x14ac:dyDescent="0.3">
      <c r="B175" s="9"/>
      <c r="C175" s="22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81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81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3"/>
      <c r="G175" s="4"/>
      <c r="H175" s="22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81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81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3"/>
      <c r="L175" s="4"/>
      <c r="M175" s="22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81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81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3"/>
      <c r="Q175" s="4"/>
      <c r="R175" s="22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81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Jaramillo, Sosa, Velasquez, Verdezoto</v>
      </c>
      <c r="T175" s="81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3"/>
      <c r="V175" s="4"/>
      <c r="W175" s="22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81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81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1"/>
      <c r="AA175" s="4"/>
      <c r="AB175" s="22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81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81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1"/>
      <c r="AF175" s="4"/>
      <c r="AG175" s="22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81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81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1"/>
      <c r="AK175" s="4"/>
      <c r="AL175" s="22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81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81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1"/>
      <c r="AP175" s="4"/>
      <c r="AQ175" s="22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81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81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1"/>
      <c r="AU175" s="4"/>
      <c r="AV175" s="22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81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81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1"/>
    </row>
    <row r="176" spans="2:51" x14ac:dyDescent="0.3">
      <c r="B176" s="9"/>
      <c r="C176" s="22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81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81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3"/>
      <c r="G176" s="4"/>
      <c r="H176" s="22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81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81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3"/>
      <c r="L176" s="4"/>
      <c r="M176" s="22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81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81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3"/>
      <c r="Q176" s="4"/>
      <c r="R176" s="22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81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81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3"/>
      <c r="V176" s="4"/>
      <c r="W176" s="22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81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81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1"/>
      <c r="AA176" s="4"/>
      <c r="AB176" s="22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81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81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1"/>
      <c r="AF176" s="4"/>
      <c r="AG176" s="22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81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81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1"/>
      <c r="AK176" s="4"/>
      <c r="AL176" s="22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81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81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1"/>
      <c r="AP176" s="4"/>
      <c r="AQ176" s="22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81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81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1"/>
      <c r="AU176" s="4"/>
      <c r="AV176" s="22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81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81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1"/>
    </row>
    <row r="177" spans="2:51" x14ac:dyDescent="0.3">
      <c r="B177" s="9"/>
      <c r="C177" s="22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81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81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3"/>
      <c r="G177" s="4"/>
      <c r="H177" s="22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81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81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3"/>
      <c r="L177" s="4"/>
      <c r="M177" s="22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81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81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3"/>
      <c r="Q177" s="4"/>
      <c r="R177" s="22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11:</v>
      </c>
      <c r="S177" s="81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Tercera entrevista, presentacion ventana Administrador y Gestion de Colaborador</v>
      </c>
      <c r="T177" s="81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3"/>
      <c r="V177" s="4"/>
      <c r="W177" s="22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81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81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1"/>
      <c r="AA177" s="4"/>
      <c r="AB177" s="22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81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81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1"/>
      <c r="AF177" s="4"/>
      <c r="AG177" s="22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81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81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1"/>
      <c r="AK177" s="4"/>
      <c r="AL177" s="22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81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81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1"/>
      <c r="AP177" s="4"/>
      <c r="AQ177" s="22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81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81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1"/>
      <c r="AU177" s="4"/>
      <c r="AV177" s="22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81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81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1"/>
    </row>
    <row r="178" spans="2:51" x14ac:dyDescent="0.3">
      <c r="B178" s="9"/>
      <c r="C178" s="22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81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81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3"/>
      <c r="G178" s="4"/>
      <c r="H178" s="22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81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81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3"/>
      <c r="L178" s="4"/>
      <c r="M178" s="22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81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81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3"/>
      <c r="Q178" s="4"/>
      <c r="R178" s="22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81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Mostrar módulos de administración al cliente.</v>
      </c>
      <c r="T178" s="81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3"/>
      <c r="V178" s="4"/>
      <c r="W178" s="22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81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81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1"/>
      <c r="AA178" s="4"/>
      <c r="AB178" s="22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81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81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1"/>
      <c r="AF178" s="4"/>
      <c r="AG178" s="22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81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81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1"/>
      <c r="AK178" s="4"/>
      <c r="AL178" s="22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81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81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1"/>
      <c r="AP178" s="4"/>
      <c r="AQ178" s="22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81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81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1"/>
      <c r="AU178" s="4"/>
      <c r="AV178" s="22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81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81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1"/>
    </row>
    <row r="179" spans="2:51" x14ac:dyDescent="0.3">
      <c r="B179" s="9"/>
      <c r="C179" s="22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81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81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3"/>
      <c r="G179" s="4"/>
      <c r="H179" s="22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81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81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3"/>
      <c r="L179" s="4"/>
      <c r="M179" s="22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81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81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3"/>
      <c r="Q179" s="4"/>
      <c r="R179" s="22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81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46177</v>
      </c>
      <c r="T179" s="81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3"/>
      <c r="V179" s="4"/>
      <c r="W179" s="22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81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81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1"/>
      <c r="AA179" s="4"/>
      <c r="AB179" s="22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81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81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1"/>
      <c r="AF179" s="4"/>
      <c r="AG179" s="22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81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81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1"/>
      <c r="AK179" s="4"/>
      <c r="AL179" s="22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81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81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1"/>
      <c r="AP179" s="4"/>
      <c r="AQ179" s="22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81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81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1"/>
      <c r="AU179" s="4"/>
      <c r="AV179" s="22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81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81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1"/>
    </row>
    <row r="180" spans="2:51" x14ac:dyDescent="0.3">
      <c r="B180" s="9"/>
      <c r="C180" s="22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81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81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3"/>
      <c r="G180" s="4"/>
      <c r="H180" s="22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81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81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3"/>
      <c r="L180" s="4"/>
      <c r="M180" s="22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81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81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3"/>
      <c r="Q180" s="4"/>
      <c r="R180" s="22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81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46178</v>
      </c>
      <c r="T180" s="81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3"/>
      <c r="V180" s="4"/>
      <c r="W180" s="22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81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81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1"/>
      <c r="AA180" s="4"/>
      <c r="AB180" s="22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81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81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1"/>
      <c r="AF180" s="4"/>
      <c r="AG180" s="22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81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81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1"/>
      <c r="AK180" s="4"/>
      <c r="AL180" s="22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81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81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1"/>
      <c r="AP180" s="4"/>
      <c r="AQ180" s="22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81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81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1"/>
      <c r="AU180" s="4"/>
      <c r="AV180" s="22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81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81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1"/>
    </row>
    <row r="181" spans="2:51" x14ac:dyDescent="0.3">
      <c r="B181" s="9"/>
      <c r="C181" s="22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81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81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3"/>
      <c r="G181" s="4"/>
      <c r="H181" s="22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81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81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3"/>
      <c r="L181" s="4"/>
      <c r="M181" s="22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81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81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3"/>
      <c r="Q181" s="4"/>
      <c r="R181" s="22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81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46178</v>
      </c>
      <c r="T181" s="81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3"/>
      <c r="V181" s="4"/>
      <c r="W181" s="22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81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81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1"/>
      <c r="AA181" s="4"/>
      <c r="AB181" s="22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81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81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1"/>
      <c r="AF181" s="4"/>
      <c r="AG181" s="22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81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81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1"/>
      <c r="AK181" s="4"/>
      <c r="AL181" s="22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81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81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1"/>
      <c r="AP181" s="4"/>
      <c r="AQ181" s="22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81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81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1"/>
      <c r="AU181" s="4"/>
      <c r="AV181" s="22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81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81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1"/>
    </row>
    <row r="182" spans="2:51" x14ac:dyDescent="0.3">
      <c r="B182" s="9"/>
      <c r="C182" s="22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81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81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3"/>
      <c r="G182" s="4"/>
      <c r="H182" s="22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81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81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3"/>
      <c r="L182" s="4"/>
      <c r="M182" s="22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81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81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3"/>
      <c r="Q182" s="4"/>
      <c r="R182" s="22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81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81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3"/>
      <c r="V182" s="4"/>
      <c r="W182" s="22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81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81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1"/>
      <c r="AA182" s="4"/>
      <c r="AB182" s="22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81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81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1"/>
      <c r="AF182" s="4"/>
      <c r="AG182" s="22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81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81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1"/>
      <c r="AK182" s="4"/>
      <c r="AL182" s="22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81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81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1"/>
      <c r="AP182" s="4"/>
      <c r="AQ182" s="22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81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81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1"/>
      <c r="AU182" s="4"/>
      <c r="AV182" s="22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81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81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1"/>
    </row>
    <row r="183" spans="2:51" x14ac:dyDescent="0.3">
      <c r="B183" s="9"/>
      <c r="C183" s="22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81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81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3"/>
      <c r="G183" s="4"/>
      <c r="H183" s="22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81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81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3"/>
      <c r="L183" s="4"/>
      <c r="M183" s="22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81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81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3"/>
      <c r="Q183" s="4"/>
      <c r="R183" s="22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81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81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3"/>
      <c r="V183" s="4"/>
      <c r="W183" s="22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81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81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1"/>
      <c r="AA183" s="4"/>
      <c r="AB183" s="22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81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81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1"/>
      <c r="AF183" s="4"/>
      <c r="AG183" s="22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81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81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1"/>
      <c r="AK183" s="4"/>
      <c r="AL183" s="22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81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81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1"/>
      <c r="AP183" s="4"/>
      <c r="AQ183" s="22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81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81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1"/>
      <c r="AU183" s="4"/>
      <c r="AV183" s="22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81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81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1"/>
    </row>
    <row r="184" spans="2:51" x14ac:dyDescent="0.3">
      <c r="B184" s="9"/>
      <c r="C184" s="22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81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81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3"/>
      <c r="G184" s="4"/>
      <c r="H184" s="22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81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81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3"/>
      <c r="L184" s="4"/>
      <c r="M184" s="22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81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81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3"/>
      <c r="Q184" s="4"/>
      <c r="R184" s="22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81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Jaramillo, Sosa, Velasquez, Verdezoto</v>
      </c>
      <c r="T184" s="81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3"/>
      <c r="V184" s="4"/>
      <c r="W184" s="22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81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81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1"/>
      <c r="AA184" s="4"/>
      <c r="AB184" s="22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81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81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1"/>
      <c r="AF184" s="4"/>
      <c r="AG184" s="22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81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81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1"/>
      <c r="AK184" s="4"/>
      <c r="AL184" s="22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81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81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1"/>
      <c r="AP184" s="4"/>
      <c r="AQ184" s="22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81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81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1"/>
      <c r="AU184" s="4"/>
      <c r="AV184" s="22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81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81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1"/>
    </row>
    <row r="185" spans="2:51" x14ac:dyDescent="0.3">
      <c r="B185" s="9"/>
      <c r="C185" s="22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81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81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3"/>
      <c r="G185" s="4"/>
      <c r="H185" s="22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81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81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3"/>
      <c r="L185" s="4"/>
      <c r="M185" s="22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81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81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3"/>
      <c r="Q185" s="4"/>
      <c r="R185" s="22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81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81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3"/>
      <c r="V185" s="4"/>
      <c r="W185" s="22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81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81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1"/>
      <c r="AA185" s="4"/>
      <c r="AB185" s="22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81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81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1"/>
      <c r="AF185" s="4"/>
      <c r="AG185" s="22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81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81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1"/>
      <c r="AK185" s="4"/>
      <c r="AL185" s="22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81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81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1"/>
      <c r="AP185" s="4"/>
      <c r="AQ185" s="22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81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81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1"/>
      <c r="AU185" s="4"/>
      <c r="AV185" s="22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81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81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1"/>
    </row>
    <row r="186" spans="2:51" x14ac:dyDescent="0.3">
      <c r="B186" s="9"/>
      <c r="C186" s="22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81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81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3"/>
      <c r="G186" s="4"/>
      <c r="H186" s="22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81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81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3"/>
      <c r="L186" s="4"/>
      <c r="M186" s="22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81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81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3"/>
      <c r="Q186" s="4"/>
      <c r="R186" s="22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10:</v>
      </c>
      <c r="S186" s="81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Creación ventana Administrador y Gestion de Colaborador</v>
      </c>
      <c r="T186" s="81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3"/>
      <c r="V186" s="4"/>
      <c r="W186" s="22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81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81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1"/>
      <c r="AA186" s="4"/>
      <c r="AB186" s="22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81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81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1"/>
      <c r="AF186" s="4"/>
      <c r="AG186" s="22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81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81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1"/>
      <c r="AK186" s="4"/>
      <c r="AL186" s="22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81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81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1"/>
      <c r="AP186" s="4"/>
      <c r="AQ186" s="22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81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81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1"/>
      <c r="AU186" s="4"/>
      <c r="AV186" s="22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81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81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1"/>
    </row>
    <row r="187" spans="2:51" x14ac:dyDescent="0.3">
      <c r="B187" s="9"/>
      <c r="C187" s="22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81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81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3"/>
      <c r="G187" s="4"/>
      <c r="H187" s="22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81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81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3"/>
      <c r="L187" s="4"/>
      <c r="M187" s="22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81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81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3"/>
      <c r="Q187" s="4"/>
      <c r="R187" s="22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81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Desarrollar módulos de control y personal.</v>
      </c>
      <c r="T187" s="81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3"/>
      <c r="V187" s="4"/>
      <c r="W187" s="22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81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81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1"/>
      <c r="AA187" s="4"/>
      <c r="AB187" s="22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81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81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1"/>
      <c r="AF187" s="4"/>
      <c r="AG187" s="22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81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81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1"/>
      <c r="AK187" s="4"/>
      <c r="AL187" s="22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81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81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1"/>
      <c r="AP187" s="4"/>
      <c r="AQ187" s="22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81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81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1"/>
      <c r="AU187" s="4"/>
      <c r="AV187" s="22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81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81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1"/>
    </row>
    <row r="188" spans="2:51" x14ac:dyDescent="0.3">
      <c r="B188" s="9"/>
      <c r="C188" s="22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81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81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3"/>
      <c r="G188" s="4"/>
      <c r="H188" s="22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81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81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3"/>
      <c r="L188" s="4"/>
      <c r="M188" s="22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81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81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3"/>
      <c r="Q188" s="4"/>
      <c r="R188" s="22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81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46170</v>
      </c>
      <c r="T188" s="81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3"/>
      <c r="V188" s="4"/>
      <c r="W188" s="22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81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81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1"/>
      <c r="AA188" s="4"/>
      <c r="AB188" s="22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81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81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1"/>
      <c r="AF188" s="4"/>
      <c r="AG188" s="22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81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81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1"/>
      <c r="AK188" s="4"/>
      <c r="AL188" s="22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81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81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1"/>
      <c r="AP188" s="4"/>
      <c r="AQ188" s="22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81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81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1"/>
      <c r="AU188" s="4"/>
      <c r="AV188" s="22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81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81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1"/>
    </row>
    <row r="189" spans="2:51" x14ac:dyDescent="0.3">
      <c r="B189" s="9"/>
      <c r="C189" s="22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81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81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3"/>
      <c r="G189" s="4"/>
      <c r="H189" s="22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81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81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3"/>
      <c r="L189" s="4"/>
      <c r="M189" s="22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81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81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3"/>
      <c r="Q189" s="4"/>
      <c r="R189" s="22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81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46172</v>
      </c>
      <c r="T189" s="81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3"/>
      <c r="V189" s="4"/>
      <c r="W189" s="22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81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81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1"/>
      <c r="AA189" s="4"/>
      <c r="AB189" s="22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81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81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1"/>
      <c r="AF189" s="4"/>
      <c r="AG189" s="22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81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81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1"/>
      <c r="AK189" s="4"/>
      <c r="AL189" s="22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81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81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1"/>
      <c r="AP189" s="4"/>
      <c r="AQ189" s="22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81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81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1"/>
      <c r="AU189" s="4"/>
      <c r="AV189" s="22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81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81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1"/>
    </row>
    <row r="190" spans="2:51" x14ac:dyDescent="0.3">
      <c r="B190" s="9"/>
      <c r="C190" s="22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81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81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3"/>
      <c r="G190" s="4"/>
      <c r="H190" s="22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81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81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3"/>
      <c r="L190" s="4"/>
      <c r="M190" s="22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81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81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3"/>
      <c r="Q190" s="4"/>
      <c r="R190" s="22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81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46172</v>
      </c>
      <c r="T190" s="81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3"/>
      <c r="V190" s="4"/>
      <c r="W190" s="22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81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81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1"/>
      <c r="AA190" s="4"/>
      <c r="AB190" s="22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81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81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1"/>
      <c r="AF190" s="4"/>
      <c r="AG190" s="22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81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81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1"/>
      <c r="AK190" s="4"/>
      <c r="AL190" s="22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81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81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1"/>
      <c r="AP190" s="4"/>
      <c r="AQ190" s="22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81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81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1"/>
      <c r="AU190" s="4"/>
      <c r="AV190" s="22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81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81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1"/>
    </row>
    <row r="191" spans="2:51" x14ac:dyDescent="0.3">
      <c r="B191" s="9"/>
      <c r="C191" s="22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81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81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3"/>
      <c r="G191" s="4"/>
      <c r="H191" s="22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81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81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3"/>
      <c r="L191" s="4"/>
      <c r="M191" s="22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81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81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3"/>
      <c r="Q191" s="4"/>
      <c r="R191" s="22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81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3 días</v>
      </c>
      <c r="T191" s="81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3"/>
      <c r="V191" s="4"/>
      <c r="W191" s="22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81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81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1"/>
      <c r="AA191" s="4"/>
      <c r="AB191" s="22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81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81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1"/>
      <c r="AF191" s="4"/>
      <c r="AG191" s="22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81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81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1"/>
      <c r="AK191" s="4"/>
      <c r="AL191" s="22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81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81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1"/>
      <c r="AP191" s="4"/>
      <c r="AQ191" s="22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81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81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1"/>
      <c r="AU191" s="4"/>
      <c r="AV191" s="22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81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81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1"/>
    </row>
    <row r="192" spans="2:51" x14ac:dyDescent="0.3">
      <c r="B192" s="9"/>
      <c r="C192" s="22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81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81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3"/>
      <c r="G192" s="4"/>
      <c r="H192" s="22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81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81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3"/>
      <c r="L192" s="4"/>
      <c r="M192" s="22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81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81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3"/>
      <c r="Q192" s="4"/>
      <c r="R192" s="22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81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81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3"/>
      <c r="V192" s="4"/>
      <c r="W192" s="22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81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81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1"/>
      <c r="AA192" s="4"/>
      <c r="AB192" s="22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81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81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1"/>
      <c r="AF192" s="4"/>
      <c r="AG192" s="22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81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81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1"/>
      <c r="AK192" s="4"/>
      <c r="AL192" s="22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81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81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1"/>
      <c r="AP192" s="4"/>
      <c r="AQ192" s="22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81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81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1"/>
      <c r="AU192" s="4"/>
      <c r="AV192" s="22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81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81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1"/>
    </row>
    <row r="193" spans="2:51" x14ac:dyDescent="0.3">
      <c r="B193" s="9"/>
      <c r="C193" s="22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81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81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3"/>
      <c r="G193" s="4"/>
      <c r="H193" s="22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81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81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3"/>
      <c r="L193" s="4"/>
      <c r="M193" s="22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81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81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3"/>
      <c r="Q193" s="4"/>
      <c r="R193" s="22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81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Mateo Jaramillo</v>
      </c>
      <c r="T193" s="81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3"/>
      <c r="V193" s="4"/>
      <c r="W193" s="22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81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81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1"/>
      <c r="AA193" s="4"/>
      <c r="AB193" s="22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81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81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1"/>
      <c r="AF193" s="4"/>
      <c r="AG193" s="22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81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81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1"/>
      <c r="AK193" s="4"/>
      <c r="AL193" s="22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81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81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1"/>
      <c r="AP193" s="4"/>
      <c r="AQ193" s="22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81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81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1"/>
      <c r="AU193" s="4"/>
      <c r="AV193" s="22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81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81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1"/>
    </row>
    <row r="194" spans="2:51" x14ac:dyDescent="0.3">
      <c r="B194" s="9"/>
      <c r="C194" s="22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81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81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3"/>
      <c r="G194" s="4"/>
      <c r="H194" s="22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81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81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3"/>
      <c r="L194" s="4"/>
      <c r="M194" s="22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81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81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3"/>
      <c r="Q194" s="4"/>
      <c r="R194" s="22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81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81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3"/>
      <c r="V194" s="4"/>
      <c r="W194" s="22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81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81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1"/>
      <c r="AA194" s="4"/>
      <c r="AB194" s="22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81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81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1"/>
      <c r="AF194" s="4"/>
      <c r="AG194" s="22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81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81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1"/>
      <c r="AK194" s="4"/>
      <c r="AL194" s="22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81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81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1"/>
      <c r="AP194" s="4"/>
      <c r="AQ194" s="22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81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81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1"/>
      <c r="AU194" s="4"/>
      <c r="AV194" s="22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81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81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1"/>
    </row>
    <row r="195" spans="2:51" x14ac:dyDescent="0.3">
      <c r="B195" s="9"/>
      <c r="C195" s="22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81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81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3"/>
      <c r="G195" s="4"/>
      <c r="H195" s="22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81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81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3"/>
      <c r="L195" s="4"/>
      <c r="M195" s="22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81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81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3"/>
      <c r="Q195" s="4"/>
      <c r="R195" s="22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9:</v>
      </c>
      <c r="S195" s="81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Propuesta/ Entrevista con el cliente para avanzar con la ventana Administrador y Gestion de Colaborador</v>
      </c>
      <c r="T195" s="81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3"/>
      <c r="V195" s="4"/>
      <c r="W195" s="22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81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81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1"/>
      <c r="AA195" s="4"/>
      <c r="AB195" s="22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81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81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1"/>
      <c r="AF195" s="4"/>
      <c r="AG195" s="22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81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81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1"/>
      <c r="AK195" s="4"/>
      <c r="AL195" s="22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81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81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1"/>
      <c r="AP195" s="4"/>
      <c r="AQ195" s="22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81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81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1"/>
      <c r="AU195" s="4"/>
      <c r="AV195" s="22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81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81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1"/>
    </row>
    <row r="196" spans="2:51" x14ac:dyDescent="0.3">
      <c r="B196" s="9"/>
      <c r="C196" s="22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81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81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3"/>
      <c r="G196" s="4"/>
      <c r="H196" s="22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81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81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3"/>
      <c r="L196" s="4"/>
      <c r="M196" s="22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81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81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3"/>
      <c r="Q196" s="4"/>
      <c r="R196" s="22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81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Alinear requerimientos de administración con el cliente.</v>
      </c>
      <c r="T196" s="81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3"/>
      <c r="V196" s="4"/>
      <c r="W196" s="22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81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81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1"/>
      <c r="AA196" s="4"/>
      <c r="AB196" s="22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81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81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1"/>
      <c r="AF196" s="4"/>
      <c r="AG196" s="22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81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81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1"/>
      <c r="AK196" s="4"/>
      <c r="AL196" s="22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81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81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1"/>
      <c r="AP196" s="4"/>
      <c r="AQ196" s="22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81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81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1"/>
      <c r="AU196" s="4"/>
      <c r="AV196" s="22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81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81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1"/>
    </row>
    <row r="197" spans="2:51" x14ac:dyDescent="0.3">
      <c r="B197" s="9"/>
      <c r="C197" s="22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81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81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3"/>
      <c r="G197" s="4"/>
      <c r="H197" s="22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81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81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3"/>
      <c r="L197" s="4"/>
      <c r="M197" s="22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81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81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3"/>
      <c r="Q197" s="4"/>
      <c r="R197" s="22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81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46169</v>
      </c>
      <c r="T197" s="81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3"/>
      <c r="V197" s="4"/>
      <c r="W197" s="22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81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81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1"/>
      <c r="AA197" s="4"/>
      <c r="AB197" s="22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81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81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1"/>
      <c r="AF197" s="4"/>
      <c r="AG197" s="22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81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81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1"/>
      <c r="AK197" s="4"/>
      <c r="AL197" s="22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81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81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1"/>
      <c r="AP197" s="4"/>
      <c r="AQ197" s="22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81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81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1"/>
      <c r="AU197" s="4"/>
      <c r="AV197" s="22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81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81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1"/>
    </row>
    <row r="198" spans="2:51" x14ac:dyDescent="0.3">
      <c r="B198" s="9"/>
      <c r="C198" s="22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81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81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3"/>
      <c r="G198" s="4"/>
      <c r="H198" s="22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81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81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3"/>
      <c r="L198" s="4"/>
      <c r="M198" s="22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81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81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3"/>
      <c r="Q198" s="4"/>
      <c r="R198" s="22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81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46170</v>
      </c>
      <c r="T198" s="81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3"/>
      <c r="V198" s="4"/>
      <c r="W198" s="22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81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81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1"/>
      <c r="AA198" s="4"/>
      <c r="AB198" s="22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81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81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1"/>
      <c r="AF198" s="4"/>
      <c r="AG198" s="22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81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81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1"/>
      <c r="AK198" s="4"/>
      <c r="AL198" s="22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81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81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1"/>
      <c r="AP198" s="4"/>
      <c r="AQ198" s="22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81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81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1"/>
      <c r="AU198" s="4"/>
      <c r="AV198" s="22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81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81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1"/>
    </row>
    <row r="199" spans="2:51" x14ac:dyDescent="0.3">
      <c r="B199" s="9"/>
      <c r="C199" s="22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81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81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3"/>
      <c r="G199" s="4"/>
      <c r="H199" s="22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81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81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3"/>
      <c r="L199" s="4"/>
      <c r="M199" s="22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81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81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3"/>
      <c r="Q199" s="4"/>
      <c r="R199" s="22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81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46170</v>
      </c>
      <c r="T199" s="81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3"/>
      <c r="V199" s="4"/>
      <c r="W199" s="22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81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81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1"/>
      <c r="AA199" s="4"/>
      <c r="AB199" s="22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81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81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1"/>
      <c r="AF199" s="4"/>
      <c r="AG199" s="22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81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81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1"/>
      <c r="AK199" s="4"/>
      <c r="AL199" s="22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81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81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1"/>
      <c r="AP199" s="4"/>
      <c r="AQ199" s="22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81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81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1"/>
      <c r="AU199" s="4"/>
      <c r="AV199" s="22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81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81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1"/>
    </row>
    <row r="200" spans="2:51" x14ac:dyDescent="0.3">
      <c r="B200" s="9"/>
      <c r="C200" s="22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81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81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3"/>
      <c r="G200" s="4"/>
      <c r="H200" s="22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81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81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3"/>
      <c r="L200" s="4"/>
      <c r="M200" s="22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81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81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3"/>
      <c r="Q200" s="4"/>
      <c r="R200" s="22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81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81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3"/>
      <c r="V200" s="4"/>
      <c r="W200" s="22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81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81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1"/>
      <c r="AA200" s="4"/>
      <c r="AB200" s="22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81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81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1"/>
      <c r="AF200" s="4"/>
      <c r="AG200" s="22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81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81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1"/>
      <c r="AK200" s="4"/>
      <c r="AL200" s="22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81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81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1"/>
      <c r="AP200" s="4"/>
      <c r="AQ200" s="22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81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81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1"/>
      <c r="AU200" s="4"/>
      <c r="AV200" s="22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81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81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1"/>
    </row>
    <row r="201" spans="2:51" ht="15" thickBot="1" x14ac:dyDescent="0.35">
      <c r="B201" s="12"/>
      <c r="C201" s="13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82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82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4"/>
      <c r="G201" s="15"/>
      <c r="H201" s="13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82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82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4"/>
      <c r="L201" s="15"/>
      <c r="M201" s="13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82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82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4"/>
      <c r="Q201" s="15"/>
      <c r="R201" s="13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82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82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4"/>
      <c r="V201" s="15"/>
      <c r="W201" s="13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82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82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6"/>
      <c r="AA201" s="15"/>
      <c r="AB201" s="13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82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82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6"/>
      <c r="AF201" s="15"/>
      <c r="AG201" s="13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82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82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6"/>
      <c r="AK201" s="15"/>
      <c r="AL201" s="13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82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82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6"/>
      <c r="AP201" s="15"/>
      <c r="AQ201" s="13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82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82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6"/>
      <c r="AU201" s="15"/>
      <c r="AV201" s="13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82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82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6"/>
    </row>
    <row r="202" spans="2:51" x14ac:dyDescent="0.3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6" priority="1" stopIfTrue="1">
      <formula>AND(B6=miCabeceraRetraso&amp;":",IFERROR(--LEFT(C6,FIND(" ",C6)-1),0)&gt;0)</formula>
    </cfRule>
    <cfRule type="expression" dxfId="15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4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5" zoomScaleNormal="95" workbookViewId="0">
      <pane ySplit="1" topLeftCell="A13" activePane="bottomLeft" state="frozen"/>
      <selection pane="bottomLeft" activeCell="D22" sqref="D22"/>
    </sheetView>
  </sheetViews>
  <sheetFormatPr baseColWidth="10" defaultColWidth="0" defaultRowHeight="15" zeroHeight="1" x14ac:dyDescent="0.3"/>
  <cols>
    <col min="1" max="1" width="15.5546875" style="135" customWidth="1"/>
    <col min="2" max="2" width="13.5546875" style="135" bestFit="1" customWidth="1"/>
    <col min="3" max="4" width="32.5546875" style="136" customWidth="1"/>
    <col min="5" max="5" width="12.5546875" style="137" customWidth="1"/>
    <col min="6" max="6" width="14.109375" style="137" bestFit="1" customWidth="1"/>
    <col min="7" max="8" width="12.5546875" style="137" customWidth="1"/>
    <col min="9" max="9" width="13.5546875" style="137" bestFit="1" customWidth="1"/>
    <col min="10" max="10" width="32.5546875" style="135" customWidth="1"/>
    <col min="11" max="11" width="10.88671875" style="135" customWidth="1"/>
    <col min="12" max="16384" width="10.88671875" style="94" hidden="1"/>
  </cols>
  <sheetData>
    <row r="1" spans="1:11" x14ac:dyDescent="0.3">
      <c r="A1" s="89" t="str">
        <f>Idiomas!$A$7</f>
        <v>Estados</v>
      </c>
      <c r="B1" s="90" t="str">
        <f>Idiomas!$A$8</f>
        <v>Criticidad</v>
      </c>
      <c r="C1" s="91" t="str">
        <f>Idiomas!$A$12</f>
        <v>Tarea</v>
      </c>
      <c r="D1" s="91" t="str">
        <f>Idiomas!$A$13</f>
        <v>Descripción</v>
      </c>
      <c r="E1" s="92" t="str">
        <f>Idiomas!$A$14</f>
        <v>Inicio</v>
      </c>
      <c r="F1" s="92" t="str">
        <f>Idiomas!$A$15</f>
        <v>Previsto</v>
      </c>
      <c r="G1" s="92" t="str">
        <f>Idiomas!$A$16</f>
        <v>Final</v>
      </c>
      <c r="H1" s="92" t="str">
        <f>Idiomas!$A$17</f>
        <v>Duración</v>
      </c>
      <c r="I1" s="92" t="str">
        <f>Idiomas!$A$18</f>
        <v>Retraso</v>
      </c>
      <c r="J1" s="90" t="str">
        <f>Idiomas!$A$19</f>
        <v>Asignado</v>
      </c>
      <c r="K1" s="93" t="s">
        <v>1</v>
      </c>
    </row>
    <row r="2" spans="1:11" s="102" customFormat="1" x14ac:dyDescent="0.3">
      <c r="A2" s="95" t="s">
        <v>5</v>
      </c>
      <c r="B2" s="96" t="s">
        <v>6</v>
      </c>
      <c r="C2" s="97" t="s">
        <v>219</v>
      </c>
      <c r="D2" s="98" t="s">
        <v>231</v>
      </c>
      <c r="E2" s="99">
        <v>46154</v>
      </c>
      <c r="F2" s="99">
        <v>46156</v>
      </c>
      <c r="G2" s="99">
        <v>46156</v>
      </c>
      <c r="H2" s="100" t="str">
        <f>IF(Datos!$G2&gt;0,Datos!$G2-Datos!$E2+1 &amp; " " &amp; Idiomas!$A$29,"")</f>
        <v>3 días</v>
      </c>
      <c r="I2" s="100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6" t="s">
        <v>243</v>
      </c>
      <c r="K2" s="101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s="111" customFormat="1" x14ac:dyDescent="0.3">
      <c r="A3" s="103" t="s">
        <v>5</v>
      </c>
      <c r="B3" s="104" t="s">
        <v>8</v>
      </c>
      <c r="C3" s="105" t="s">
        <v>220</v>
      </c>
      <c r="D3" s="106" t="s">
        <v>232</v>
      </c>
      <c r="E3" s="107">
        <v>46162</v>
      </c>
      <c r="F3" s="108">
        <v>46164</v>
      </c>
      <c r="G3" s="108">
        <v>46164</v>
      </c>
      <c r="H3" s="109" t="str">
        <f>IF(Datos!$G3&gt;0,Datos!$G3-Datos!$E3+1 &amp; " " &amp; Idiomas!$A$29,"")</f>
        <v>3 días</v>
      </c>
      <c r="I3" s="109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104" t="s">
        <v>243</v>
      </c>
      <c r="K3" s="110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s="102" customFormat="1" ht="30" x14ac:dyDescent="0.3">
      <c r="A4" s="95" t="s">
        <v>5</v>
      </c>
      <c r="B4" s="96" t="s">
        <v>8</v>
      </c>
      <c r="C4" s="97" t="s">
        <v>221</v>
      </c>
      <c r="D4" s="98" t="s">
        <v>233</v>
      </c>
      <c r="E4" s="112">
        <v>46168</v>
      </c>
      <c r="F4" s="112">
        <v>46168</v>
      </c>
      <c r="G4" s="112">
        <v>46168</v>
      </c>
      <c r="H4" s="100" t="str">
        <f>IF(Datos!$G4&gt;0,Datos!$G4-Datos!$E4+1 &amp; " " &amp; Idiomas!$A$29,"")</f>
        <v>1 días</v>
      </c>
      <c r="I4" s="100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6" t="s">
        <v>247</v>
      </c>
      <c r="K4" s="101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s="111" customFormat="1" x14ac:dyDescent="0.3">
      <c r="A5" s="103" t="s">
        <v>5</v>
      </c>
      <c r="B5" s="104" t="s">
        <v>3</v>
      </c>
      <c r="C5" s="105" t="s">
        <v>222</v>
      </c>
      <c r="D5" s="106" t="s">
        <v>234</v>
      </c>
      <c r="E5" s="107">
        <v>46169</v>
      </c>
      <c r="F5" s="108">
        <v>46169</v>
      </c>
      <c r="G5" s="108">
        <v>46169</v>
      </c>
      <c r="H5" s="109" t="str">
        <f>IF(Datos!$G5&gt;0,Datos!$G5-Datos!$E5+1 &amp; " " &amp; Idiomas!$A$29,"")</f>
        <v>1 días</v>
      </c>
      <c r="I5" s="109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104" t="s">
        <v>247</v>
      </c>
      <c r="K5" s="110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s="102" customFormat="1" x14ac:dyDescent="0.3">
      <c r="A6" s="95" t="s">
        <v>5</v>
      </c>
      <c r="B6" s="96" t="s">
        <v>8</v>
      </c>
      <c r="C6" s="97" t="s">
        <v>223</v>
      </c>
      <c r="D6" s="98" t="s">
        <v>235</v>
      </c>
      <c r="E6" s="112">
        <v>46169</v>
      </c>
      <c r="F6" s="112">
        <v>46170</v>
      </c>
      <c r="G6" s="112">
        <v>46170</v>
      </c>
      <c r="H6" s="100" t="str">
        <f>IF(Datos!$G6&gt;0,Datos!$G6-Datos!$E6+1 &amp; " " &amp; Idiomas!$A$29,"")</f>
        <v>2 días</v>
      </c>
      <c r="I6" s="100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6" t="s">
        <v>247</v>
      </c>
      <c r="K6" s="101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s="111" customFormat="1" ht="30" x14ac:dyDescent="0.3">
      <c r="A7" s="103" t="s">
        <v>5</v>
      </c>
      <c r="B7" s="104" t="s">
        <v>8</v>
      </c>
      <c r="C7" s="105" t="s">
        <v>224</v>
      </c>
      <c r="D7" s="106" t="s">
        <v>236</v>
      </c>
      <c r="E7" s="107">
        <v>46169</v>
      </c>
      <c r="F7" s="107">
        <v>46171</v>
      </c>
      <c r="G7" s="107">
        <v>46171</v>
      </c>
      <c r="H7" s="109" t="str">
        <f>IF(Datos!$G7&gt;0,Datos!$G7-Datos!$E7+1 &amp; " " &amp; Idiomas!$A$29,"")</f>
        <v>3 días</v>
      </c>
      <c r="I7" s="109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104" t="s">
        <v>243</v>
      </c>
      <c r="K7" s="110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s="102" customFormat="1" ht="30" x14ac:dyDescent="0.3">
      <c r="A8" s="95" t="s">
        <v>5</v>
      </c>
      <c r="B8" s="96" t="s">
        <v>6</v>
      </c>
      <c r="C8" s="97" t="s">
        <v>225</v>
      </c>
      <c r="D8" s="98" t="s">
        <v>237</v>
      </c>
      <c r="E8" s="112">
        <v>46169</v>
      </c>
      <c r="F8" s="112">
        <v>46171</v>
      </c>
      <c r="G8" s="112">
        <v>46171</v>
      </c>
      <c r="H8" s="100" t="str">
        <f>IF(Datos!$G8&gt;0,Datos!$G8-Datos!$E8+1 &amp; " " &amp; Idiomas!$A$29,"")</f>
        <v>3 días</v>
      </c>
      <c r="I8" s="100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6" t="s">
        <v>247</v>
      </c>
      <c r="K8" s="101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s="111" customFormat="1" ht="30" x14ac:dyDescent="0.3">
      <c r="A9" s="103" t="s">
        <v>5</v>
      </c>
      <c r="B9" s="104" t="s">
        <v>6</v>
      </c>
      <c r="C9" s="105" t="s">
        <v>226</v>
      </c>
      <c r="D9" s="106" t="s">
        <v>238</v>
      </c>
      <c r="E9" s="107">
        <v>46171</v>
      </c>
      <c r="F9" s="107">
        <v>46176</v>
      </c>
      <c r="G9" s="107">
        <v>46176</v>
      </c>
      <c r="H9" s="109" t="str">
        <f>IF(Datos!$G9&gt;0,Datos!$G9-Datos!$E9+1 &amp; " " &amp; Idiomas!$A$29,"")</f>
        <v>6 días</v>
      </c>
      <c r="I9" s="109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104" t="s">
        <v>248</v>
      </c>
      <c r="K9" s="110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s="102" customFormat="1" ht="60" x14ac:dyDescent="0.3">
      <c r="A10" s="95" t="s">
        <v>5</v>
      </c>
      <c r="B10" s="96" t="s">
        <v>3</v>
      </c>
      <c r="C10" s="97" t="s">
        <v>227</v>
      </c>
      <c r="D10" s="98" t="s">
        <v>239</v>
      </c>
      <c r="E10" s="112">
        <v>46169</v>
      </c>
      <c r="F10" s="112">
        <v>46170</v>
      </c>
      <c r="G10" s="112">
        <v>46170</v>
      </c>
      <c r="H10" s="100" t="str">
        <f>IF(Datos!$G10&gt;0,Datos!$G10-Datos!$E10+1 &amp; " " &amp; Idiomas!$A$29,"")</f>
        <v>2 días</v>
      </c>
      <c r="I10" s="100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6" t="s">
        <v>247</v>
      </c>
      <c r="K10" s="101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s="113" customFormat="1" ht="30" x14ac:dyDescent="0.3">
      <c r="A11" s="103" t="s">
        <v>5</v>
      </c>
      <c r="B11" s="104" t="s">
        <v>8</v>
      </c>
      <c r="C11" s="105" t="s">
        <v>228</v>
      </c>
      <c r="D11" s="106" t="s">
        <v>240</v>
      </c>
      <c r="E11" s="108">
        <v>46170</v>
      </c>
      <c r="F11" s="108">
        <v>46172</v>
      </c>
      <c r="G11" s="108">
        <v>46172</v>
      </c>
      <c r="H11" s="109" t="str">
        <f>IF(Datos!$G11&gt;0,Datos!$G11-Datos!$E11+1 &amp; " " &amp; Idiomas!$A$29,"")</f>
        <v>3 días</v>
      </c>
      <c r="I11" s="109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104" t="s">
        <v>246</v>
      </c>
      <c r="K11" s="110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s="115" customFormat="1" ht="45" x14ac:dyDescent="0.3">
      <c r="A12" s="95" t="s">
        <v>5</v>
      </c>
      <c r="B12" s="96" t="s">
        <v>3</v>
      </c>
      <c r="C12" s="97" t="s">
        <v>229</v>
      </c>
      <c r="D12" s="98" t="s">
        <v>241</v>
      </c>
      <c r="E12" s="114">
        <v>46177</v>
      </c>
      <c r="F12" s="114">
        <v>46178</v>
      </c>
      <c r="G12" s="114">
        <v>46178</v>
      </c>
      <c r="H12" s="100" t="str">
        <f>IF(Datos!$G12&gt;0,Datos!$G12-Datos!$E12+1 &amp; " " &amp; Idiomas!$A$29,"")</f>
        <v>2 días</v>
      </c>
      <c r="I12" s="100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6" t="s">
        <v>247</v>
      </c>
      <c r="K12" s="101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s="113" customFormat="1" ht="30" x14ac:dyDescent="0.3">
      <c r="A13" s="103" t="s">
        <v>5</v>
      </c>
      <c r="B13" s="104" t="s">
        <v>8</v>
      </c>
      <c r="C13" s="105" t="s">
        <v>230</v>
      </c>
      <c r="D13" s="106" t="s">
        <v>242</v>
      </c>
      <c r="E13" s="116">
        <v>46183</v>
      </c>
      <c r="F13" s="116">
        <v>46185</v>
      </c>
      <c r="G13" s="116">
        <v>46185</v>
      </c>
      <c r="H13" s="109" t="str">
        <f>IF(Datos!$G13&gt;0,Datos!$G13-Datos!$E13+1 &amp; " " &amp; Idiomas!$A$29,"")</f>
        <v>3 días</v>
      </c>
      <c r="I13" s="109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104" t="s">
        <v>247</v>
      </c>
      <c r="K13" s="110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s="115" customFormat="1" ht="30" x14ac:dyDescent="0.3">
      <c r="A14" s="95" t="s">
        <v>5</v>
      </c>
      <c r="B14" s="96" t="s">
        <v>3</v>
      </c>
      <c r="C14" s="97" t="s">
        <v>251</v>
      </c>
      <c r="D14" s="98" t="s">
        <v>260</v>
      </c>
      <c r="E14" s="114">
        <v>46188</v>
      </c>
      <c r="F14" s="114">
        <v>46189</v>
      </c>
      <c r="G14" s="114">
        <v>46189</v>
      </c>
      <c r="H14" s="100" t="str">
        <f>IF(Datos!$G14&gt;0,Datos!$G14-Datos!$E14+1 &amp; " " &amp; Idiomas!$A$29,"")</f>
        <v>2 días</v>
      </c>
      <c r="I14" s="100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6" t="s">
        <v>245</v>
      </c>
      <c r="K14" s="117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s="113" customFormat="1" ht="45" x14ac:dyDescent="0.3">
      <c r="A15" s="103" t="s">
        <v>5</v>
      </c>
      <c r="B15" s="104" t="s">
        <v>3</v>
      </c>
      <c r="C15" s="105" t="s">
        <v>252</v>
      </c>
      <c r="D15" s="118" t="s">
        <v>259</v>
      </c>
      <c r="E15" s="116">
        <v>46189</v>
      </c>
      <c r="F15" s="116">
        <v>46190</v>
      </c>
      <c r="G15" s="116">
        <v>46190</v>
      </c>
      <c r="H15" s="109" t="str">
        <f>IF(Datos!$G15&gt;0,Datos!$G15-Datos!$E15+1 &amp; " " &amp; Idiomas!$A$29,"")</f>
        <v>2 días</v>
      </c>
      <c r="I15" s="109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104" t="s">
        <v>246</v>
      </c>
      <c r="K15" s="110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s="121" customFormat="1" ht="30" x14ac:dyDescent="0.3">
      <c r="A16" s="95" t="s">
        <v>5</v>
      </c>
      <c r="B16" s="96" t="s">
        <v>3</v>
      </c>
      <c r="C16" s="119" t="s">
        <v>253</v>
      </c>
      <c r="D16" s="120" t="s">
        <v>257</v>
      </c>
      <c r="E16" s="112">
        <v>46189</v>
      </c>
      <c r="F16" s="112">
        <v>46190</v>
      </c>
      <c r="G16" s="112">
        <v>46190</v>
      </c>
      <c r="H16" s="100" t="str">
        <f>IF(Datos!$G16&gt;0,Datos!$G16-Datos!$E16+1 &amp; " " &amp; Idiomas!$A$29,"")</f>
        <v>2 días</v>
      </c>
      <c r="I16" s="100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6" t="s">
        <v>245</v>
      </c>
      <c r="K16" s="101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s="121" customFormat="1" ht="30" x14ac:dyDescent="0.3">
      <c r="A17" s="122" t="s">
        <v>5</v>
      </c>
      <c r="B17" s="123" t="s">
        <v>3</v>
      </c>
      <c r="C17" s="124" t="s">
        <v>254</v>
      </c>
      <c r="D17" s="118" t="s">
        <v>258</v>
      </c>
      <c r="E17" s="125">
        <v>46189</v>
      </c>
      <c r="F17" s="126">
        <v>46190</v>
      </c>
      <c r="G17" s="126">
        <v>46190</v>
      </c>
      <c r="H17" s="127" t="str">
        <f>IF(Datos!$G17&gt;0,Datos!$G17-Datos!$E17+1 &amp; " " &amp; Idiomas!$A$29,"")</f>
        <v>2 días</v>
      </c>
      <c r="I17" s="127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123" t="s">
        <v>243</v>
      </c>
      <c r="K17" s="128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s="121" customFormat="1" ht="45" x14ac:dyDescent="0.3">
      <c r="A18" s="95" t="s">
        <v>5</v>
      </c>
      <c r="B18" s="96" t="s">
        <v>6</v>
      </c>
      <c r="C18" s="119" t="s">
        <v>255</v>
      </c>
      <c r="D18" s="120" t="s">
        <v>256</v>
      </c>
      <c r="E18" s="112">
        <v>46190</v>
      </c>
      <c r="F18" s="112">
        <v>46193</v>
      </c>
      <c r="G18" s="112">
        <v>46193</v>
      </c>
      <c r="H18" s="100" t="str">
        <f>IF(Datos!$G18&gt;0,Datos!$G18-Datos!$E18+1 &amp; " " &amp; Idiomas!$A$29,"")</f>
        <v>4 días</v>
      </c>
      <c r="I18" s="100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6" t="s">
        <v>245</v>
      </c>
      <c r="K18" s="101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s="121" customFormat="1" ht="45" x14ac:dyDescent="0.3">
      <c r="A19" s="122" t="s">
        <v>5</v>
      </c>
      <c r="B19" s="123" t="s">
        <v>3</v>
      </c>
      <c r="C19" s="124" t="s">
        <v>262</v>
      </c>
      <c r="D19" s="124" t="s">
        <v>264</v>
      </c>
      <c r="E19" s="125">
        <v>46196</v>
      </c>
      <c r="F19" s="125">
        <v>46200</v>
      </c>
      <c r="G19" s="125">
        <v>46201</v>
      </c>
      <c r="H19" s="127" t="str">
        <f>IF(Datos!$G19&gt;0,Datos!$G19-Datos!$E19+1 &amp; " " &amp; Idiomas!$A$29,"")</f>
        <v>6 días</v>
      </c>
      <c r="I19" s="127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1 días</v>
      </c>
      <c r="J19" s="123" t="s">
        <v>247</v>
      </c>
      <c r="K19" s="128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s="121" customFormat="1" ht="60" x14ac:dyDescent="0.3">
      <c r="A20" s="95" t="s">
        <v>5</v>
      </c>
      <c r="B20" s="96" t="s">
        <v>3</v>
      </c>
      <c r="C20" s="119" t="s">
        <v>263</v>
      </c>
      <c r="D20" s="120" t="s">
        <v>261</v>
      </c>
      <c r="E20" s="112">
        <v>46201</v>
      </c>
      <c r="F20" s="112">
        <v>46202</v>
      </c>
      <c r="G20" s="112">
        <v>46202</v>
      </c>
      <c r="H20" s="100" t="str">
        <f>IF(Datos!$G20&gt;0,Datos!$G20-Datos!$E20+1 &amp; " " &amp; Idiomas!$A$29,"")</f>
        <v>2 días</v>
      </c>
      <c r="I20" s="100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6" t="s">
        <v>247</v>
      </c>
      <c r="K20" s="101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s="121" customFormat="1" ht="45" x14ac:dyDescent="0.3">
      <c r="A21" s="122" t="s">
        <v>5</v>
      </c>
      <c r="B21" s="123" t="s">
        <v>8</v>
      </c>
      <c r="C21" s="124" t="s">
        <v>265</v>
      </c>
      <c r="D21" s="118" t="s">
        <v>281</v>
      </c>
      <c r="E21" s="125">
        <v>46202</v>
      </c>
      <c r="F21" s="125">
        <v>46203</v>
      </c>
      <c r="G21" s="125">
        <v>46203</v>
      </c>
      <c r="H21" s="127" t="str">
        <f>IF(Datos!$G21&gt;0,Datos!$G21-Datos!$E21+1 &amp; " " &amp; Idiomas!$A$29,"")</f>
        <v>2 días</v>
      </c>
      <c r="I21" s="127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123" t="s">
        <v>218</v>
      </c>
      <c r="K21" s="128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s="121" customFormat="1" ht="45" x14ac:dyDescent="0.3">
      <c r="A22" s="95" t="s">
        <v>5</v>
      </c>
      <c r="B22" s="96" t="s">
        <v>3</v>
      </c>
      <c r="C22" s="119" t="s">
        <v>266</v>
      </c>
      <c r="D22" s="120" t="s">
        <v>279</v>
      </c>
      <c r="E22" s="112">
        <v>46204</v>
      </c>
      <c r="F22" s="112">
        <v>46207</v>
      </c>
      <c r="G22" s="112">
        <v>46207</v>
      </c>
      <c r="H22" s="100" t="str">
        <f>IF(Datos!$G22&gt;0,Datos!$G22-Datos!$E22+1 &amp; " " &amp; Idiomas!$A$29,"")</f>
        <v>4 días</v>
      </c>
      <c r="I22" s="100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6" t="s">
        <v>245</v>
      </c>
      <c r="K22" s="101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s="121" customFormat="1" ht="45" x14ac:dyDescent="0.3">
      <c r="A23" s="122" t="s">
        <v>5</v>
      </c>
      <c r="B23" s="123" t="s">
        <v>3</v>
      </c>
      <c r="C23" s="124" t="s">
        <v>267</v>
      </c>
      <c r="D23" s="120" t="s">
        <v>279</v>
      </c>
      <c r="E23" s="125">
        <v>46207</v>
      </c>
      <c r="F23" s="125">
        <v>46209</v>
      </c>
      <c r="G23" s="125">
        <v>46209</v>
      </c>
      <c r="H23" s="127" t="str">
        <f>IF(Datos!$G23&gt;0,Datos!$G23-Datos!$E23+1 &amp; " " &amp; Idiomas!$A$29,"")</f>
        <v>3 días</v>
      </c>
      <c r="I23" s="127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123" t="s">
        <v>245</v>
      </c>
      <c r="K23" s="128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s="121" customFormat="1" ht="60" x14ac:dyDescent="0.3">
      <c r="A24" s="95" t="s">
        <v>5</v>
      </c>
      <c r="B24" s="96" t="s">
        <v>6</v>
      </c>
      <c r="C24" s="119" t="s">
        <v>268</v>
      </c>
      <c r="D24" s="120" t="s">
        <v>280</v>
      </c>
      <c r="E24" s="112">
        <v>46209</v>
      </c>
      <c r="F24" s="112">
        <v>46209</v>
      </c>
      <c r="G24" s="112">
        <v>46209</v>
      </c>
      <c r="H24" s="100" t="str">
        <f>IF(Datos!$G24&gt;0,Datos!$G24-Datos!$E24+1 &amp; " " &amp; Idiomas!$A$29,"")</f>
        <v>1 días</v>
      </c>
      <c r="I24" s="100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6" t="s">
        <v>247</v>
      </c>
      <c r="K24" s="101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s="121" customFormat="1" ht="60" x14ac:dyDescent="0.3">
      <c r="A25" s="122" t="s">
        <v>5</v>
      </c>
      <c r="B25" s="123" t="s">
        <v>6</v>
      </c>
      <c r="C25" s="124" t="s">
        <v>269</v>
      </c>
      <c r="D25" s="118" t="s">
        <v>261</v>
      </c>
      <c r="E25" s="125">
        <v>46210</v>
      </c>
      <c r="F25" s="125">
        <v>46210</v>
      </c>
      <c r="G25" s="125">
        <v>46210</v>
      </c>
      <c r="H25" s="127" t="str">
        <f>IF(Datos!$G25&gt;0,Datos!$G25-Datos!$E25+1 &amp; " " &amp; Idiomas!$A$29,"")</f>
        <v>1 días</v>
      </c>
      <c r="I25" s="127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123" t="s">
        <v>276</v>
      </c>
      <c r="K25" s="128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s="121" customFormat="1" ht="45" x14ac:dyDescent="0.3">
      <c r="A26" s="95" t="s">
        <v>5</v>
      </c>
      <c r="B26" s="96" t="s">
        <v>3</v>
      </c>
      <c r="C26" s="119" t="s">
        <v>270</v>
      </c>
      <c r="D26" s="120" t="s">
        <v>279</v>
      </c>
      <c r="E26" s="112">
        <v>46211</v>
      </c>
      <c r="F26" s="112">
        <v>46211</v>
      </c>
      <c r="G26" s="112">
        <v>46211</v>
      </c>
      <c r="H26" s="100" t="str">
        <f>IF(Datos!$G26&gt;0,Datos!$G26-Datos!$E26+1 &amp; " " &amp; Idiomas!$A$29,"")</f>
        <v>1 días</v>
      </c>
      <c r="I26" s="100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6" t="s">
        <v>246</v>
      </c>
      <c r="K26" s="101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s="121" customFormat="1" ht="45" x14ac:dyDescent="0.3">
      <c r="A27" s="122" t="s">
        <v>5</v>
      </c>
      <c r="B27" s="123" t="s">
        <v>3</v>
      </c>
      <c r="C27" s="124" t="s">
        <v>271</v>
      </c>
      <c r="D27" s="118" t="s">
        <v>279</v>
      </c>
      <c r="E27" s="125">
        <v>46212</v>
      </c>
      <c r="F27" s="125">
        <v>46212</v>
      </c>
      <c r="G27" s="125">
        <v>46212</v>
      </c>
      <c r="H27" s="127" t="str">
        <f>IF(Datos!$G27&gt;0,Datos!$G27-Datos!$E27+1 &amp; " " &amp; Idiomas!$A$29,"")</f>
        <v>1 días</v>
      </c>
      <c r="I27" s="127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123" t="s">
        <v>245</v>
      </c>
      <c r="K27" s="128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s="121" customFormat="1" ht="45" x14ac:dyDescent="0.3">
      <c r="A28" s="95" t="s">
        <v>5</v>
      </c>
      <c r="B28" s="96" t="s">
        <v>3</v>
      </c>
      <c r="C28" s="119" t="s">
        <v>272</v>
      </c>
      <c r="D28" s="120" t="s">
        <v>279</v>
      </c>
      <c r="E28" s="112">
        <v>46213</v>
      </c>
      <c r="F28" s="112">
        <v>46213</v>
      </c>
      <c r="G28" s="112">
        <v>46213</v>
      </c>
      <c r="H28" s="100" t="str">
        <f>IF(Datos!$G28&gt;0,Datos!$G28-Datos!$E28+1 &amp; " " &amp; Idiomas!$A$29,"")</f>
        <v>1 días</v>
      </c>
      <c r="I28" s="100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6" t="s">
        <v>243</v>
      </c>
      <c r="K28" s="101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s="121" customFormat="1" ht="60" x14ac:dyDescent="0.3">
      <c r="A29" s="122" t="s">
        <v>5</v>
      </c>
      <c r="B29" s="123" t="s">
        <v>8</v>
      </c>
      <c r="C29" s="124" t="s">
        <v>273</v>
      </c>
      <c r="D29" s="118" t="s">
        <v>278</v>
      </c>
      <c r="E29" s="125">
        <v>46214</v>
      </c>
      <c r="F29" s="125">
        <v>46214</v>
      </c>
      <c r="G29" s="125">
        <v>46214</v>
      </c>
      <c r="H29" s="127" t="str">
        <f>IF(Datos!$G29&gt;0,Datos!$G29-Datos!$E29+1 &amp; " " &amp; Idiomas!$A$29,"")</f>
        <v>1 días</v>
      </c>
      <c r="I29" s="127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123" t="s">
        <v>275</v>
      </c>
      <c r="K29" s="128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s="121" customFormat="1" ht="75" x14ac:dyDescent="0.3">
      <c r="A30" s="95" t="s">
        <v>5</v>
      </c>
      <c r="B30" s="96" t="s">
        <v>6</v>
      </c>
      <c r="C30" s="119" t="s">
        <v>274</v>
      </c>
      <c r="D30" s="120" t="s">
        <v>277</v>
      </c>
      <c r="E30" s="112">
        <v>46215</v>
      </c>
      <c r="F30" s="112">
        <v>46215</v>
      </c>
      <c r="G30" s="112">
        <v>46215</v>
      </c>
      <c r="H30" s="100" t="str">
        <f>IF(Datos!$G30&gt;0,Datos!$G30-Datos!$E30+1 &amp; " " &amp; Idiomas!$A$29,"")</f>
        <v>1 días</v>
      </c>
      <c r="I30" s="100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6" t="s">
        <v>276</v>
      </c>
      <c r="K30" s="101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s="121" customFormat="1" x14ac:dyDescent="0.3">
      <c r="A31" s="122"/>
      <c r="B31" s="123"/>
      <c r="C31" s="124"/>
      <c r="D31" s="118"/>
      <c r="E31" s="125"/>
      <c r="F31" s="125"/>
      <c r="G31" s="125"/>
      <c r="H31" s="127" t="str">
        <f>IF(Datos!$G31&gt;0,Datos!$G31-Datos!$E31+1 &amp; " " &amp; Idiomas!$A$29,"")</f>
        <v/>
      </c>
      <c r="I31" s="127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123"/>
      <c r="K31" s="128" t="str" cm="1">
        <f t="array" aca="1" ref="K31" ca="1">HYPERLINK("["&amp;Archivo_Nombre&amp;"]KANBAN!"&amp;IF(Tareas!$P31="","B2",Tareas!$P31),IF(Datos!$A31="","",Idiomas!$A$12&amp;" "&amp;ROW()-1))</f>
        <v/>
      </c>
    </row>
    <row r="32" spans="1:11" s="121" customFormat="1" x14ac:dyDescent="0.3">
      <c r="A32" s="95"/>
      <c r="B32" s="96"/>
      <c r="C32" s="119"/>
      <c r="D32" s="120"/>
      <c r="E32" s="112"/>
      <c r="F32" s="112"/>
      <c r="G32" s="112"/>
      <c r="H32" s="100" t="str">
        <f>IF(Datos!$G32&gt;0,Datos!$G32-Datos!$E32+1 &amp; " " &amp; Idiomas!$A$29,"")</f>
        <v/>
      </c>
      <c r="I32" s="100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6"/>
      <c r="K32" s="101" t="str" cm="1">
        <f t="array" aca="1" ref="K32" ca="1">HYPERLINK("["&amp;Archivo_Nombre&amp;"]KANBAN!"&amp;IF(Tareas!$P32="","B2",Tareas!$P32),IF(Datos!$A32="","",Idiomas!$A$12&amp;" "&amp;ROW()-1))</f>
        <v/>
      </c>
    </row>
    <row r="33" spans="1:11" s="121" customFormat="1" x14ac:dyDescent="0.3">
      <c r="A33" s="122"/>
      <c r="B33" s="123"/>
      <c r="C33" s="124"/>
      <c r="D33" s="118"/>
      <c r="E33" s="125"/>
      <c r="F33" s="125"/>
      <c r="G33" s="125"/>
      <c r="H33" s="127" t="str">
        <f>IF(Datos!$G33&gt;0,Datos!$G33-Datos!$E33+1 &amp; " " &amp; Idiomas!$A$29,"")</f>
        <v/>
      </c>
      <c r="I33" s="127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123"/>
      <c r="K33" s="128" t="str" cm="1">
        <f t="array" aca="1" ref="K33" ca="1">HYPERLINK("["&amp;Archivo_Nombre&amp;"]KANBAN!"&amp;IF(Tareas!$P33="","B2",Tareas!$P33),IF(Datos!$A33="","",Idiomas!$A$12&amp;" "&amp;ROW()-1))</f>
        <v/>
      </c>
    </row>
    <row r="34" spans="1:11" s="121" customFormat="1" x14ac:dyDescent="0.3">
      <c r="A34" s="95"/>
      <c r="B34" s="96"/>
      <c r="C34" s="119"/>
      <c r="D34" s="120"/>
      <c r="E34" s="112"/>
      <c r="F34" s="112"/>
      <c r="G34" s="112"/>
      <c r="H34" s="100" t="str">
        <f>IF(Datos!$G34&gt;0,Datos!$G34-Datos!$E34+1 &amp; " " &amp; Idiomas!$A$29,"")</f>
        <v/>
      </c>
      <c r="I34" s="100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6"/>
      <c r="K34" s="101" t="str" cm="1">
        <f t="array" aca="1" ref="K34" ca="1">HYPERLINK("["&amp;Archivo_Nombre&amp;"]KANBAN!"&amp;IF(Tareas!$P34="","B2",Tareas!$P34),IF(Datos!$A34="","",Idiomas!$A$12&amp;" "&amp;ROW()-1))</f>
        <v/>
      </c>
    </row>
    <row r="35" spans="1:11" s="121" customFormat="1" x14ac:dyDescent="0.3">
      <c r="A35" s="122"/>
      <c r="B35" s="123"/>
      <c r="C35" s="124"/>
      <c r="D35" s="118"/>
      <c r="E35" s="125"/>
      <c r="F35" s="125"/>
      <c r="G35" s="125"/>
      <c r="H35" s="127" t="str">
        <f>IF(Datos!$G35&gt;0,Datos!$G35-Datos!$E35+1 &amp; " " &amp; Idiomas!$A$29,"")</f>
        <v/>
      </c>
      <c r="I35" s="127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123"/>
      <c r="K35" s="128" t="str" cm="1">
        <f t="array" aca="1" ref="K35" ca="1">HYPERLINK("["&amp;Archivo_Nombre&amp;"]KANBAN!"&amp;IF(Tareas!$P35="","B2",Tareas!$P35),IF(Datos!$A35="","",Idiomas!$A$12&amp;" "&amp;ROW()-1))</f>
        <v/>
      </c>
    </row>
    <row r="36" spans="1:11" s="121" customFormat="1" x14ac:dyDescent="0.3">
      <c r="A36" s="95"/>
      <c r="B36" s="96"/>
      <c r="C36" s="119"/>
      <c r="D36" s="120"/>
      <c r="E36" s="112"/>
      <c r="F36" s="112"/>
      <c r="G36" s="112"/>
      <c r="H36" s="100" t="str">
        <f>IF(Datos!$G36&gt;0,Datos!$G36-Datos!$E36+1 &amp; " " &amp; Idiomas!$A$29,"")</f>
        <v/>
      </c>
      <c r="I36" s="100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6"/>
      <c r="K36" s="101" t="str" cm="1">
        <f t="array" aca="1" ref="K36" ca="1">HYPERLINK("["&amp;Archivo_Nombre&amp;"]KANBAN!"&amp;IF(Tareas!$P36="","B2",Tareas!$P36),IF(Datos!$A36="","",Idiomas!$A$12&amp;" "&amp;ROW()-1))</f>
        <v/>
      </c>
    </row>
    <row r="37" spans="1:11" s="121" customFormat="1" x14ac:dyDescent="0.3">
      <c r="A37" s="122"/>
      <c r="B37" s="123"/>
      <c r="C37" s="124"/>
      <c r="D37" s="118"/>
      <c r="E37" s="125"/>
      <c r="F37" s="125"/>
      <c r="G37" s="125"/>
      <c r="H37" s="127" t="str">
        <f>IF(Datos!$G37&gt;0,Datos!$G37-Datos!$E37+1 &amp; " " &amp; Idiomas!$A$29,"")</f>
        <v/>
      </c>
      <c r="I37" s="127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123"/>
      <c r="K37" s="128" t="str" cm="1">
        <f t="array" aca="1" ref="K37" ca="1">HYPERLINK("["&amp;Archivo_Nombre&amp;"]KANBAN!"&amp;IF(Tareas!$P37="","B2",Tareas!$P37),IF(Datos!$A37="","",Idiomas!$A$12&amp;" "&amp;ROW()-1))</f>
        <v/>
      </c>
    </row>
    <row r="38" spans="1:11" s="121" customFormat="1" x14ac:dyDescent="0.3">
      <c r="A38" s="95"/>
      <c r="B38" s="96"/>
      <c r="C38" s="119"/>
      <c r="D38" s="120"/>
      <c r="E38" s="112"/>
      <c r="F38" s="112"/>
      <c r="G38" s="112"/>
      <c r="H38" s="100" t="str">
        <f>IF(Datos!$G38&gt;0,Datos!$G38-Datos!$E38+1 &amp; " " &amp; Idiomas!$A$29,"")</f>
        <v/>
      </c>
      <c r="I38" s="100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6"/>
      <c r="K38" s="101" t="str" cm="1">
        <f t="array" aca="1" ref="K38" ca="1">HYPERLINK("["&amp;Archivo_Nombre&amp;"]KANBAN!"&amp;IF(Tareas!$P38="","B2",Tareas!$P38),IF(Datos!$A38="","",Idiomas!$A$12&amp;" "&amp;ROW()-1))</f>
        <v/>
      </c>
    </row>
    <row r="39" spans="1:11" s="121" customFormat="1" x14ac:dyDescent="0.3">
      <c r="A39" s="122"/>
      <c r="B39" s="123"/>
      <c r="C39" s="124"/>
      <c r="D39" s="118"/>
      <c r="E39" s="125"/>
      <c r="F39" s="125"/>
      <c r="G39" s="125"/>
      <c r="H39" s="127" t="str">
        <f>IF(Datos!$G39&gt;0,Datos!$G39-Datos!$E39+1 &amp; " " &amp; Idiomas!$A$29,"")</f>
        <v/>
      </c>
      <c r="I39" s="127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123"/>
      <c r="K39" s="128" t="str" cm="1">
        <f t="array" aca="1" ref="K39" ca="1">HYPERLINK("["&amp;Archivo_Nombre&amp;"]KANBAN!"&amp;IF(Tareas!$P39="","B2",Tareas!$P39),IF(Datos!$A39="","",Idiomas!$A$12&amp;" "&amp;ROW()-1))</f>
        <v/>
      </c>
    </row>
    <row r="40" spans="1:11" s="121" customFormat="1" x14ac:dyDescent="0.3">
      <c r="A40" s="95"/>
      <c r="B40" s="96"/>
      <c r="C40" s="119"/>
      <c r="D40" s="120"/>
      <c r="E40" s="112"/>
      <c r="F40" s="112"/>
      <c r="G40" s="112"/>
      <c r="H40" s="100" t="str">
        <f>IF(Datos!$G40&gt;0,Datos!$G40-Datos!$E40+1 &amp; " " &amp; Idiomas!$A$29,"")</f>
        <v/>
      </c>
      <c r="I40" s="100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6"/>
      <c r="K40" s="101" t="str" cm="1">
        <f t="array" aca="1" ref="K40" ca="1">HYPERLINK("["&amp;Archivo_Nombre&amp;"]KANBAN!"&amp;IF(Tareas!$P40="","B2",Tareas!$P40),IF(Datos!$A40="","",Idiomas!$A$12&amp;" "&amp;ROW()-1))</f>
        <v/>
      </c>
    </row>
    <row r="41" spans="1:11" s="121" customFormat="1" x14ac:dyDescent="0.3">
      <c r="A41" s="122"/>
      <c r="B41" s="123"/>
      <c r="C41" s="124"/>
      <c r="D41" s="118"/>
      <c r="E41" s="125"/>
      <c r="F41" s="125"/>
      <c r="G41" s="125"/>
      <c r="H41" s="127" t="str">
        <f>IF(Datos!$G41&gt;0,Datos!$G41-Datos!$E41+1 &amp; " " &amp; Idiomas!$A$29,"")</f>
        <v/>
      </c>
      <c r="I41" s="127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123"/>
      <c r="K41" s="128" t="str" cm="1">
        <f t="array" aca="1" ref="K41" ca="1">HYPERLINK("["&amp;Archivo_Nombre&amp;"]KANBAN!"&amp;IF(Tareas!$P41="","B2",Tareas!$P41),IF(Datos!$A41="","",Idiomas!$A$12&amp;" "&amp;ROW()-1))</f>
        <v/>
      </c>
    </row>
    <row r="42" spans="1:11" s="121" customFormat="1" x14ac:dyDescent="0.3">
      <c r="A42" s="95"/>
      <c r="B42" s="96"/>
      <c r="C42" s="119"/>
      <c r="D42" s="120"/>
      <c r="E42" s="112"/>
      <c r="F42" s="112"/>
      <c r="G42" s="112"/>
      <c r="H42" s="100" t="str">
        <f>IF(Datos!$G42&gt;0,Datos!$G42-Datos!$E42+1 &amp; " " &amp; Idiomas!$A$29,"")</f>
        <v/>
      </c>
      <c r="I42" s="100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6"/>
      <c r="K42" s="101" t="str" cm="1">
        <f t="array" aca="1" ref="K42" ca="1">HYPERLINK("["&amp;Archivo_Nombre&amp;"]KANBAN!"&amp;IF(Tareas!$P42="","B2",Tareas!$P42),IF(Datos!$A42="","",Idiomas!$A$12&amp;" "&amp;ROW()-1))</f>
        <v/>
      </c>
    </row>
    <row r="43" spans="1:11" s="121" customFormat="1" x14ac:dyDescent="0.3">
      <c r="A43" s="122"/>
      <c r="B43" s="123"/>
      <c r="C43" s="118"/>
      <c r="D43" s="118"/>
      <c r="E43" s="126"/>
      <c r="F43" s="126"/>
      <c r="G43" s="126"/>
      <c r="H43" s="127" t="str">
        <f>IF(Datos!$G43&gt;0,Datos!$G43-Datos!$E43+1 &amp; " " &amp; Idiomas!$A$29,"")</f>
        <v/>
      </c>
      <c r="I43" s="127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123"/>
      <c r="K43" s="128" t="str" cm="1">
        <f t="array" aca="1" ref="K43" ca="1">HYPERLINK("["&amp;Archivo_Nombre&amp;"]KANBAN!"&amp;IF(Tareas!$P43="","B2",Tareas!$P43),IF(Datos!$A43="","",Idiomas!$A$12&amp;" "&amp;ROW()-1))</f>
        <v/>
      </c>
    </row>
    <row r="44" spans="1:11" s="121" customFormat="1" x14ac:dyDescent="0.3">
      <c r="A44" s="95"/>
      <c r="B44" s="96"/>
      <c r="C44" s="120"/>
      <c r="D44" s="120"/>
      <c r="E44" s="99"/>
      <c r="F44" s="99"/>
      <c r="G44" s="99"/>
      <c r="H44" s="100" t="str">
        <f>IF(Datos!$G44&gt;0,Datos!$G44-Datos!$E44+1 &amp; " " &amp; Idiomas!$A$29,"")</f>
        <v/>
      </c>
      <c r="I44" s="100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6"/>
      <c r="K44" s="101" t="str" cm="1">
        <f t="array" aca="1" ref="K44" ca="1">HYPERLINK("["&amp;Archivo_Nombre&amp;"]KANBAN!"&amp;IF(Tareas!$P44="","B2",Tareas!$P44),IF(Datos!$A44="","",Idiomas!$A$12&amp;" "&amp;ROW()-1))</f>
        <v/>
      </c>
    </row>
    <row r="45" spans="1:11" s="121" customFormat="1" x14ac:dyDescent="0.3">
      <c r="A45" s="122"/>
      <c r="B45" s="123"/>
      <c r="C45" s="118"/>
      <c r="D45" s="118"/>
      <c r="E45" s="126"/>
      <c r="F45" s="126"/>
      <c r="G45" s="126"/>
      <c r="H45" s="127" t="str">
        <f>IF(Datos!$G45&gt;0,Datos!$G45-Datos!$E45+1 &amp; " " &amp; Idiomas!$A$29,"")</f>
        <v/>
      </c>
      <c r="I45" s="127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123"/>
      <c r="K45" s="128" t="str" cm="1">
        <f t="array" aca="1" ref="K45" ca="1">HYPERLINK("["&amp;Archivo_Nombre&amp;"]KANBAN!"&amp;IF(Tareas!$P45="","B2",Tareas!$P45),IF(Datos!$A45="","",Idiomas!$A$12&amp;" "&amp;ROW()-1))</f>
        <v/>
      </c>
    </row>
    <row r="46" spans="1:11" s="121" customFormat="1" x14ac:dyDescent="0.3">
      <c r="A46" s="95"/>
      <c r="B46" s="96"/>
      <c r="C46" s="120"/>
      <c r="D46" s="120"/>
      <c r="E46" s="99"/>
      <c r="F46" s="99"/>
      <c r="G46" s="99"/>
      <c r="H46" s="100" t="str">
        <f>IF(Datos!$G46&gt;0,Datos!$G46-Datos!$E46+1 &amp; " " &amp; Idiomas!$A$29,"")</f>
        <v/>
      </c>
      <c r="I46" s="100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6"/>
      <c r="K46" s="101" t="str" cm="1">
        <f t="array" aca="1" ref="K46" ca="1">HYPERLINK("["&amp;Archivo_Nombre&amp;"]KANBAN!"&amp;IF(Tareas!$P46="","B2",Tareas!$P46),IF(Datos!$A46="","",Idiomas!$A$12&amp;" "&amp;ROW()-1))</f>
        <v/>
      </c>
    </row>
    <row r="47" spans="1:11" s="121" customFormat="1" x14ac:dyDescent="0.3">
      <c r="A47" s="122"/>
      <c r="B47" s="123"/>
      <c r="C47" s="118"/>
      <c r="D47" s="118"/>
      <c r="E47" s="126"/>
      <c r="F47" s="126"/>
      <c r="G47" s="126"/>
      <c r="H47" s="127" t="str">
        <f>IF(Datos!$G47&gt;0,Datos!$G47-Datos!$E47+1 &amp; " " &amp; Idiomas!$A$29,"")</f>
        <v/>
      </c>
      <c r="I47" s="127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123"/>
      <c r="K47" s="128" t="str" cm="1">
        <f t="array" aca="1" ref="K47" ca="1">HYPERLINK("["&amp;Archivo_Nombre&amp;"]KANBAN!"&amp;IF(Tareas!$P47="","B2",Tareas!$P47),IF(Datos!$A47="","",Idiomas!$A$12&amp;" "&amp;ROW()-1))</f>
        <v/>
      </c>
    </row>
    <row r="48" spans="1:11" s="121" customFormat="1" x14ac:dyDescent="0.3">
      <c r="A48" s="95"/>
      <c r="B48" s="96"/>
      <c r="C48" s="120"/>
      <c r="D48" s="120"/>
      <c r="E48" s="99"/>
      <c r="F48" s="99"/>
      <c r="G48" s="99"/>
      <c r="H48" s="100" t="str">
        <f>IF(Datos!$G48&gt;0,Datos!$G48-Datos!$E48+1 &amp; " " &amp; Idiomas!$A$29,"")</f>
        <v/>
      </c>
      <c r="I48" s="100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6"/>
      <c r="K48" s="101" t="str" cm="1">
        <f t="array" aca="1" ref="K48" ca="1">HYPERLINK("["&amp;Archivo_Nombre&amp;"]KANBAN!"&amp;IF(Tareas!$P48="","B2",Tareas!$P48),IF(Datos!$A48="","",Idiomas!$A$12&amp;" "&amp;ROW()-1))</f>
        <v/>
      </c>
    </row>
    <row r="49" spans="1:11" s="121" customFormat="1" x14ac:dyDescent="0.3">
      <c r="A49" s="122"/>
      <c r="B49" s="123"/>
      <c r="C49" s="118"/>
      <c r="D49" s="118"/>
      <c r="E49" s="126"/>
      <c r="F49" s="126"/>
      <c r="G49" s="126"/>
      <c r="H49" s="127" t="str">
        <f>IF(Datos!$G49&gt;0,Datos!$G49-Datos!$E49+1 &amp; " " &amp; Idiomas!$A$29,"")</f>
        <v/>
      </c>
      <c r="I49" s="127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123"/>
      <c r="K49" s="128" t="str" cm="1">
        <f t="array" aca="1" ref="K49" ca="1">HYPERLINK("["&amp;Archivo_Nombre&amp;"]KANBAN!"&amp;IF(Tareas!$P49="","B2",Tareas!$P49),IF(Datos!$A49="","",Idiomas!$A$12&amp;" "&amp;ROW()-1))</f>
        <v/>
      </c>
    </row>
    <row r="50" spans="1:11" s="121" customFormat="1" x14ac:dyDescent="0.3">
      <c r="A50" s="95"/>
      <c r="B50" s="96"/>
      <c r="C50" s="120"/>
      <c r="D50" s="120"/>
      <c r="E50" s="99"/>
      <c r="F50" s="99"/>
      <c r="G50" s="99"/>
      <c r="H50" s="100" t="str">
        <f>IF(Datos!$G50&gt;0,Datos!$G50-Datos!$E50+1 &amp; " " &amp; Idiomas!$A$29,"")</f>
        <v/>
      </c>
      <c r="I50" s="100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6"/>
      <c r="K50" s="101" t="str" cm="1">
        <f t="array" aca="1" ref="K50" ca="1">HYPERLINK("["&amp;Archivo_Nombre&amp;"]KANBAN!"&amp;IF(Tareas!$P50="","B2",Tareas!$P50),IF(Datos!$A50="","",Idiomas!$A$12&amp;" "&amp;ROW()-1))</f>
        <v/>
      </c>
    </row>
    <row r="51" spans="1:11" s="121" customFormat="1" x14ac:dyDescent="0.3">
      <c r="A51" s="122"/>
      <c r="B51" s="123"/>
      <c r="C51" s="118"/>
      <c r="D51" s="118"/>
      <c r="E51" s="126"/>
      <c r="F51" s="126"/>
      <c r="G51" s="126"/>
      <c r="H51" s="127" t="str">
        <f>IF(Datos!$G51&gt;0,Datos!$G51-Datos!$E51+1 &amp; " " &amp; Idiomas!$A$29,"")</f>
        <v/>
      </c>
      <c r="I51" s="127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123"/>
      <c r="K51" s="128" t="str" cm="1">
        <f t="array" aca="1" ref="K51" ca="1">HYPERLINK("["&amp;Archivo_Nombre&amp;"]KANBAN!"&amp;IF(Tareas!$P51="","B2",Tareas!$P51),IF(Datos!$A51="","",Idiomas!$A$12&amp;" "&amp;ROW()-1))</f>
        <v/>
      </c>
    </row>
    <row r="52" spans="1:11" s="121" customFormat="1" x14ac:dyDescent="0.3">
      <c r="A52" s="95"/>
      <c r="B52" s="96"/>
      <c r="C52" s="120"/>
      <c r="D52" s="120"/>
      <c r="E52" s="99"/>
      <c r="F52" s="99"/>
      <c r="G52" s="99"/>
      <c r="H52" s="100" t="str">
        <f>IF(Datos!$G52&gt;0,Datos!$G52-Datos!$E52+1 &amp; " " &amp; Idiomas!$A$29,"")</f>
        <v/>
      </c>
      <c r="I52" s="100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6"/>
      <c r="K52" s="101" t="str" cm="1">
        <f t="array" aca="1" ref="K52" ca="1">HYPERLINK("["&amp;Archivo_Nombre&amp;"]KANBAN!"&amp;IF(Tareas!$P52="","B2",Tareas!$P52),IF(Datos!$A52="","",Idiomas!$A$12&amp;" "&amp;ROW()-1))</f>
        <v/>
      </c>
    </row>
    <row r="53" spans="1:11" s="121" customFormat="1" x14ac:dyDescent="0.3">
      <c r="A53" s="122"/>
      <c r="B53" s="123"/>
      <c r="C53" s="118"/>
      <c r="D53" s="118"/>
      <c r="E53" s="126"/>
      <c r="F53" s="126"/>
      <c r="G53" s="126"/>
      <c r="H53" s="127" t="str">
        <f>IF(Datos!$G53&gt;0,Datos!$G53-Datos!$E53+1 &amp; " " &amp; Idiomas!$A$29,"")</f>
        <v/>
      </c>
      <c r="I53" s="127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123"/>
      <c r="K53" s="128" t="str" cm="1">
        <f t="array" aca="1" ref="K53" ca="1">HYPERLINK("["&amp;Archivo_Nombre&amp;"]KANBAN!"&amp;IF(Tareas!$P53="","B2",Tareas!$P53),IF(Datos!$A53="","",Idiomas!$A$12&amp;" "&amp;ROW()-1))</f>
        <v/>
      </c>
    </row>
    <row r="54" spans="1:11" s="121" customFormat="1" x14ac:dyDescent="0.3">
      <c r="A54" s="95"/>
      <c r="B54" s="96"/>
      <c r="C54" s="120"/>
      <c r="D54" s="120"/>
      <c r="E54" s="99"/>
      <c r="F54" s="99"/>
      <c r="G54" s="99"/>
      <c r="H54" s="100" t="str">
        <f>IF(Datos!$G54&gt;0,Datos!$G54-Datos!$E54+1 &amp; " " &amp; Idiomas!$A$29,"")</f>
        <v/>
      </c>
      <c r="I54" s="100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6"/>
      <c r="K54" s="101" t="str" cm="1">
        <f t="array" aca="1" ref="K54" ca="1">HYPERLINK("["&amp;Archivo_Nombre&amp;"]KANBAN!"&amp;IF(Tareas!$P54="","B2",Tareas!$P54),IF(Datos!$A54="","",Idiomas!$A$12&amp;" "&amp;ROW()-1))</f>
        <v/>
      </c>
    </row>
    <row r="55" spans="1:11" s="121" customFormat="1" x14ac:dyDescent="0.3">
      <c r="A55" s="122"/>
      <c r="B55" s="123"/>
      <c r="C55" s="118"/>
      <c r="D55" s="118"/>
      <c r="E55" s="126"/>
      <c r="F55" s="126"/>
      <c r="G55" s="126"/>
      <c r="H55" s="127" t="str">
        <f>IF(Datos!$G55&gt;0,Datos!$G55-Datos!$E55+1 &amp; " " &amp; Idiomas!$A$29,"")</f>
        <v/>
      </c>
      <c r="I55" s="127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123"/>
      <c r="K55" s="128" t="str" cm="1">
        <f t="array" aca="1" ref="K55" ca="1">HYPERLINK("["&amp;Archivo_Nombre&amp;"]KANBAN!"&amp;IF(Tareas!$P55="","B2",Tareas!$P55),IF(Datos!$A55="","",Idiomas!$A$12&amp;" "&amp;ROW()-1))</f>
        <v/>
      </c>
    </row>
    <row r="56" spans="1:11" s="121" customFormat="1" x14ac:dyDescent="0.3">
      <c r="A56" s="95"/>
      <c r="B56" s="96"/>
      <c r="C56" s="120"/>
      <c r="D56" s="120"/>
      <c r="E56" s="99"/>
      <c r="F56" s="99"/>
      <c r="G56" s="99"/>
      <c r="H56" s="100" t="str">
        <f>IF(Datos!$G56&gt;0,Datos!$G56-Datos!$E56+1 &amp; " " &amp; Idiomas!$A$29,"")</f>
        <v/>
      </c>
      <c r="I56" s="100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6"/>
      <c r="K56" s="101" t="str" cm="1">
        <f t="array" aca="1" ref="K56" ca="1">HYPERLINK("["&amp;Archivo_Nombre&amp;"]KANBAN!"&amp;IF(Tareas!$P56="","B2",Tareas!$P56),IF(Datos!$A56="","",Idiomas!$A$12&amp;" "&amp;ROW()-1))</f>
        <v/>
      </c>
    </row>
    <row r="57" spans="1:11" s="121" customFormat="1" x14ac:dyDescent="0.3">
      <c r="A57" s="122"/>
      <c r="B57" s="123"/>
      <c r="C57" s="118"/>
      <c r="D57" s="118"/>
      <c r="E57" s="126"/>
      <c r="F57" s="126"/>
      <c r="G57" s="126"/>
      <c r="H57" s="127" t="str">
        <f>IF(Datos!$G57&gt;0,Datos!$G57-Datos!$E57+1 &amp; " " &amp; Idiomas!$A$29,"")</f>
        <v/>
      </c>
      <c r="I57" s="127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123"/>
      <c r="K57" s="128" t="str" cm="1">
        <f t="array" aca="1" ref="K57" ca="1">HYPERLINK("["&amp;Archivo_Nombre&amp;"]KANBAN!"&amp;IF(Tareas!$P57="","B2",Tareas!$P57),IF(Datos!$A57="","",Idiomas!$A$12&amp;" "&amp;ROW()-1))</f>
        <v/>
      </c>
    </row>
    <row r="58" spans="1:11" s="121" customFormat="1" x14ac:dyDescent="0.3">
      <c r="A58" s="95"/>
      <c r="B58" s="96"/>
      <c r="C58" s="120"/>
      <c r="D58" s="120"/>
      <c r="E58" s="99"/>
      <c r="F58" s="99"/>
      <c r="G58" s="99"/>
      <c r="H58" s="100" t="str">
        <f>IF(Datos!$G58&gt;0,Datos!$G58-Datos!$E58+1 &amp; " " &amp; Idiomas!$A$29,"")</f>
        <v/>
      </c>
      <c r="I58" s="100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6"/>
      <c r="K58" s="101" t="str" cm="1">
        <f t="array" aca="1" ref="K58" ca="1">HYPERLINK("["&amp;Archivo_Nombre&amp;"]KANBAN!"&amp;IF(Tareas!$P58="","B2",Tareas!$P58),IF(Datos!$A58="","",Idiomas!$A$12&amp;" "&amp;ROW()-1))</f>
        <v/>
      </c>
    </row>
    <row r="59" spans="1:11" s="121" customFormat="1" x14ac:dyDescent="0.3">
      <c r="A59" s="122"/>
      <c r="B59" s="123"/>
      <c r="C59" s="118"/>
      <c r="D59" s="118"/>
      <c r="E59" s="126"/>
      <c r="F59" s="126"/>
      <c r="G59" s="126"/>
      <c r="H59" s="127" t="str">
        <f>IF(Datos!$G59&gt;0,Datos!$G59-Datos!$E59+1 &amp; " " &amp; Idiomas!$A$29,"")</f>
        <v/>
      </c>
      <c r="I59" s="127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123"/>
      <c r="K59" s="128" t="str" cm="1">
        <f t="array" aca="1" ref="K59" ca="1">HYPERLINK("["&amp;Archivo_Nombre&amp;"]KANBAN!"&amp;IF(Tareas!$P59="","B2",Tareas!$P59),IF(Datos!$A59="","",Idiomas!$A$12&amp;" "&amp;ROW()-1))</f>
        <v/>
      </c>
    </row>
    <row r="60" spans="1:11" s="121" customFormat="1" x14ac:dyDescent="0.3">
      <c r="A60" s="95"/>
      <c r="B60" s="96"/>
      <c r="C60" s="120"/>
      <c r="D60" s="120"/>
      <c r="E60" s="99"/>
      <c r="F60" s="99"/>
      <c r="G60" s="99"/>
      <c r="H60" s="100" t="str">
        <f>IF(Datos!$G60&gt;0,Datos!$G60-Datos!$E60+1 &amp; " " &amp; Idiomas!$A$29,"")</f>
        <v/>
      </c>
      <c r="I60" s="100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6"/>
      <c r="K60" s="101" t="str" cm="1">
        <f t="array" aca="1" ref="K60" ca="1">HYPERLINK("["&amp;Archivo_Nombre&amp;"]KANBAN!"&amp;IF(Tareas!$P60="","B2",Tareas!$P60),IF(Datos!$A60="","",Idiomas!$A$12&amp;" "&amp;ROW()-1))</f>
        <v/>
      </c>
    </row>
    <row r="61" spans="1:11" s="121" customFormat="1" x14ac:dyDescent="0.3">
      <c r="A61" s="122"/>
      <c r="B61" s="123"/>
      <c r="C61" s="118"/>
      <c r="D61" s="118"/>
      <c r="E61" s="126"/>
      <c r="F61" s="126"/>
      <c r="G61" s="126"/>
      <c r="H61" s="127" t="str">
        <f>IF(Datos!$G61&gt;0,Datos!$G61-Datos!$E61+1 &amp; " " &amp; Idiomas!$A$29,"")</f>
        <v/>
      </c>
      <c r="I61" s="127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123"/>
      <c r="K61" s="128" t="str" cm="1">
        <f t="array" aca="1" ref="K61" ca="1">HYPERLINK("["&amp;Archivo_Nombre&amp;"]KANBAN!"&amp;IF(Tareas!$P61="","B2",Tareas!$P61),IF(Datos!$A61="","",Idiomas!$A$12&amp;" "&amp;ROW()-1))</f>
        <v/>
      </c>
    </row>
    <row r="62" spans="1:11" s="121" customFormat="1" x14ac:dyDescent="0.3">
      <c r="A62" s="95"/>
      <c r="B62" s="96"/>
      <c r="C62" s="120"/>
      <c r="D62" s="120"/>
      <c r="E62" s="99"/>
      <c r="F62" s="99"/>
      <c r="G62" s="99"/>
      <c r="H62" s="100" t="str">
        <f>IF(Datos!$G62&gt;0,Datos!$G62-Datos!$E62+1 &amp; " " &amp; Idiomas!$A$29,"")</f>
        <v/>
      </c>
      <c r="I62" s="100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6"/>
      <c r="K62" s="101" t="str" cm="1">
        <f t="array" aca="1" ref="K62" ca="1">HYPERLINK("["&amp;Archivo_Nombre&amp;"]KANBAN!"&amp;IF(Tareas!$P62="","B2",Tareas!$P62),IF(Datos!$A62="","",Idiomas!$A$12&amp;" "&amp;ROW()-1))</f>
        <v/>
      </c>
    </row>
    <row r="63" spans="1:11" s="121" customFormat="1" x14ac:dyDescent="0.3">
      <c r="A63" s="122"/>
      <c r="B63" s="123"/>
      <c r="C63" s="118"/>
      <c r="D63" s="118"/>
      <c r="E63" s="126"/>
      <c r="F63" s="126"/>
      <c r="G63" s="126"/>
      <c r="H63" s="127" t="str">
        <f>IF(Datos!$G63&gt;0,Datos!$G63-Datos!$E63+1 &amp; " " &amp; Idiomas!$A$29,"")</f>
        <v/>
      </c>
      <c r="I63" s="127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123"/>
      <c r="K63" s="128" t="str" cm="1">
        <f t="array" aca="1" ref="K63" ca="1">HYPERLINK("["&amp;Archivo_Nombre&amp;"]KANBAN!"&amp;IF(Tareas!$P63="","B2",Tareas!$P63),IF(Datos!$A63="","",Idiomas!$A$12&amp;" "&amp;ROW()-1))</f>
        <v/>
      </c>
    </row>
    <row r="64" spans="1:11" s="121" customFormat="1" x14ac:dyDescent="0.3">
      <c r="A64" s="95"/>
      <c r="B64" s="96"/>
      <c r="C64" s="120"/>
      <c r="D64" s="120"/>
      <c r="E64" s="99"/>
      <c r="F64" s="99"/>
      <c r="G64" s="99"/>
      <c r="H64" s="100" t="str">
        <f>IF(Datos!$G64&gt;0,Datos!$G64-Datos!$E64+1 &amp; " " &amp; Idiomas!$A$29,"")</f>
        <v/>
      </c>
      <c r="I64" s="100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6"/>
      <c r="K64" s="101" t="str" cm="1">
        <f t="array" aca="1" ref="K64" ca="1">HYPERLINK("["&amp;Archivo_Nombre&amp;"]KANBAN!"&amp;IF(Tareas!$P64="","B2",Tareas!$P64),IF(Datos!$A64="","",Idiomas!$A$12&amp;" "&amp;ROW()-1))</f>
        <v/>
      </c>
    </row>
    <row r="65" spans="1:11" s="121" customFormat="1" x14ac:dyDescent="0.3">
      <c r="A65" s="122"/>
      <c r="B65" s="123"/>
      <c r="C65" s="118"/>
      <c r="D65" s="118"/>
      <c r="E65" s="126"/>
      <c r="F65" s="126"/>
      <c r="G65" s="126"/>
      <c r="H65" s="127" t="str">
        <f>IF(Datos!$G65&gt;0,Datos!$G65-Datos!$E65+1 &amp; " " &amp; Idiomas!$A$29,"")</f>
        <v/>
      </c>
      <c r="I65" s="127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123"/>
      <c r="K65" s="128" t="str" cm="1">
        <f t="array" aca="1" ref="K65" ca="1">HYPERLINK("["&amp;Archivo_Nombre&amp;"]KANBAN!"&amp;IF(Tareas!$P65="","B2",Tareas!$P65),IF(Datos!$A65="","",Idiomas!$A$12&amp;" "&amp;ROW()-1))</f>
        <v/>
      </c>
    </row>
    <row r="66" spans="1:11" s="121" customFormat="1" x14ac:dyDescent="0.3">
      <c r="A66" s="95"/>
      <c r="B66" s="96"/>
      <c r="C66" s="120"/>
      <c r="D66" s="120"/>
      <c r="E66" s="99"/>
      <c r="F66" s="99"/>
      <c r="G66" s="99"/>
      <c r="H66" s="100" t="str">
        <f>IF(Datos!$G66&gt;0,Datos!$G66-Datos!$E66+1 &amp; " " &amp; Idiomas!$A$29,"")</f>
        <v/>
      </c>
      <c r="I66" s="100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6"/>
      <c r="K66" s="101" t="str" cm="1">
        <f t="array" aca="1" ref="K66" ca="1">HYPERLINK("["&amp;Archivo_Nombre&amp;"]KANBAN!"&amp;IF(Tareas!$P66="","B2",Tareas!$P66),IF(Datos!$A66="","",Idiomas!$A$12&amp;" "&amp;ROW()-1))</f>
        <v/>
      </c>
    </row>
    <row r="67" spans="1:11" s="121" customFormat="1" x14ac:dyDescent="0.3">
      <c r="A67" s="122"/>
      <c r="B67" s="123"/>
      <c r="C67" s="118"/>
      <c r="D67" s="118"/>
      <c r="E67" s="126"/>
      <c r="F67" s="126"/>
      <c r="G67" s="126"/>
      <c r="H67" s="127" t="str">
        <f>IF(Datos!$G67&gt;0,Datos!$G67-Datos!$E67+1 &amp; " " &amp; Idiomas!$A$29,"")</f>
        <v/>
      </c>
      <c r="I67" s="127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123"/>
      <c r="K67" s="128" t="str" cm="1">
        <f t="array" aca="1" ref="K67" ca="1">HYPERLINK("["&amp;Archivo_Nombre&amp;"]KANBAN!"&amp;IF(Tareas!$P67="","B2",Tareas!$P67),IF(Datos!$A67="","",Idiomas!$A$12&amp;" "&amp;ROW()-1))</f>
        <v/>
      </c>
    </row>
    <row r="68" spans="1:11" s="121" customFormat="1" x14ac:dyDescent="0.3">
      <c r="A68" s="95"/>
      <c r="B68" s="96"/>
      <c r="C68" s="120"/>
      <c r="D68" s="120"/>
      <c r="E68" s="99"/>
      <c r="F68" s="99"/>
      <c r="G68" s="99"/>
      <c r="H68" s="100" t="str">
        <f>IF(Datos!$G68&gt;0,Datos!$G68-Datos!$E68+1 &amp; " " &amp; Idiomas!$A$29,"")</f>
        <v/>
      </c>
      <c r="I68" s="100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6"/>
      <c r="K68" s="101" t="str" cm="1">
        <f t="array" aca="1" ref="K68" ca="1">HYPERLINK("["&amp;Archivo_Nombre&amp;"]KANBAN!"&amp;IF(Tareas!$P68="","B2",Tareas!$P68),IF(Datos!$A68="","",Idiomas!$A$12&amp;" "&amp;ROW()-1))</f>
        <v/>
      </c>
    </row>
    <row r="69" spans="1:11" s="121" customFormat="1" x14ac:dyDescent="0.3">
      <c r="A69" s="122"/>
      <c r="B69" s="123"/>
      <c r="C69" s="118"/>
      <c r="D69" s="118"/>
      <c r="E69" s="126"/>
      <c r="F69" s="126"/>
      <c r="G69" s="126"/>
      <c r="H69" s="127" t="str">
        <f>IF(Datos!$G69&gt;0,Datos!$G69-Datos!$E69+1 &amp; " " &amp; Idiomas!$A$29,"")</f>
        <v/>
      </c>
      <c r="I69" s="127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123"/>
      <c r="K69" s="128" t="str" cm="1">
        <f t="array" aca="1" ref="K69" ca="1">HYPERLINK("["&amp;Archivo_Nombre&amp;"]KANBAN!"&amp;IF(Tareas!$P69="","B2",Tareas!$P69),IF(Datos!$A69="","",Idiomas!$A$12&amp;" "&amp;ROW()-1))</f>
        <v/>
      </c>
    </row>
    <row r="70" spans="1:11" s="121" customFormat="1" x14ac:dyDescent="0.3">
      <c r="A70" s="95"/>
      <c r="B70" s="96"/>
      <c r="C70" s="120"/>
      <c r="D70" s="120"/>
      <c r="E70" s="99"/>
      <c r="F70" s="99"/>
      <c r="G70" s="99"/>
      <c r="H70" s="100" t="str">
        <f>IF(Datos!$G70&gt;0,Datos!$G70-Datos!$E70+1 &amp; " " &amp; Idiomas!$A$29,"")</f>
        <v/>
      </c>
      <c r="I70" s="100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6"/>
      <c r="K70" s="101" t="str" cm="1">
        <f t="array" aca="1" ref="K70" ca="1">HYPERLINK("["&amp;Archivo_Nombre&amp;"]KANBAN!"&amp;IF(Tareas!$P70="","B2",Tareas!$P70),IF(Datos!$A70="","",Idiomas!$A$12&amp;" "&amp;ROW()-1))</f>
        <v/>
      </c>
    </row>
    <row r="71" spans="1:11" s="121" customFormat="1" x14ac:dyDescent="0.3">
      <c r="A71" s="122"/>
      <c r="B71" s="123"/>
      <c r="C71" s="118"/>
      <c r="D71" s="118"/>
      <c r="E71" s="126"/>
      <c r="F71" s="126"/>
      <c r="G71" s="126"/>
      <c r="H71" s="127" t="str">
        <f>IF(Datos!$G71&gt;0,Datos!$G71-Datos!$E71+1 &amp; " " &amp; Idiomas!$A$29,"")</f>
        <v/>
      </c>
      <c r="I71" s="127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123"/>
      <c r="K71" s="128" t="str" cm="1">
        <f t="array" aca="1" ref="K71" ca="1">HYPERLINK("["&amp;Archivo_Nombre&amp;"]KANBAN!"&amp;IF(Tareas!$P71="","B2",Tareas!$P71),IF(Datos!$A71="","",Idiomas!$A$12&amp;" "&amp;ROW()-1))</f>
        <v/>
      </c>
    </row>
    <row r="72" spans="1:11" s="121" customFormat="1" x14ac:dyDescent="0.3">
      <c r="A72" s="95"/>
      <c r="B72" s="96"/>
      <c r="C72" s="120"/>
      <c r="D72" s="120"/>
      <c r="E72" s="99"/>
      <c r="F72" s="99"/>
      <c r="G72" s="99"/>
      <c r="H72" s="100" t="str">
        <f>IF(Datos!$G72&gt;0,Datos!$G72-Datos!$E72+1 &amp; " " &amp; Idiomas!$A$29,"")</f>
        <v/>
      </c>
      <c r="I72" s="100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6"/>
      <c r="K72" s="101" t="str" cm="1">
        <f t="array" aca="1" ref="K72" ca="1">HYPERLINK("["&amp;Archivo_Nombre&amp;"]KANBAN!"&amp;IF(Tareas!$P72="","B2",Tareas!$P72),IF(Datos!$A72="","",Idiomas!$A$12&amp;" "&amp;ROW()-1))</f>
        <v/>
      </c>
    </row>
    <row r="73" spans="1:11" s="121" customFormat="1" x14ac:dyDescent="0.3">
      <c r="A73" s="122"/>
      <c r="B73" s="123"/>
      <c r="C73" s="118"/>
      <c r="D73" s="118"/>
      <c r="E73" s="126"/>
      <c r="F73" s="126"/>
      <c r="G73" s="126"/>
      <c r="H73" s="127" t="str">
        <f>IF(Datos!$G73&gt;0,Datos!$G73-Datos!$E73+1 &amp; " " &amp; Idiomas!$A$29,"")</f>
        <v/>
      </c>
      <c r="I73" s="127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123"/>
      <c r="K73" s="128" t="str" cm="1">
        <f t="array" aca="1" ref="K73" ca="1">HYPERLINK("["&amp;Archivo_Nombre&amp;"]KANBAN!"&amp;IF(Tareas!$P73="","B2",Tareas!$P73),IF(Datos!$A73="","",Idiomas!$A$12&amp;" "&amp;ROW()-1))</f>
        <v/>
      </c>
    </row>
    <row r="74" spans="1:11" s="121" customFormat="1" x14ac:dyDescent="0.3">
      <c r="A74" s="95"/>
      <c r="B74" s="96"/>
      <c r="C74" s="120"/>
      <c r="D74" s="120"/>
      <c r="E74" s="99"/>
      <c r="F74" s="99"/>
      <c r="G74" s="99"/>
      <c r="H74" s="100" t="str">
        <f>IF(Datos!$G74&gt;0,Datos!$G74-Datos!$E74+1 &amp; " " &amp; Idiomas!$A$29,"")</f>
        <v/>
      </c>
      <c r="I74" s="100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6"/>
      <c r="K74" s="101" t="str" cm="1">
        <f t="array" aca="1" ref="K74" ca="1">HYPERLINK("["&amp;Archivo_Nombre&amp;"]KANBAN!"&amp;IF(Tareas!$P74="","B2",Tareas!$P74),IF(Datos!$A74="","",Idiomas!$A$12&amp;" "&amp;ROW()-1))</f>
        <v/>
      </c>
    </row>
    <row r="75" spans="1:11" s="121" customFormat="1" x14ac:dyDescent="0.3">
      <c r="A75" s="122"/>
      <c r="B75" s="123"/>
      <c r="C75" s="118"/>
      <c r="D75" s="118"/>
      <c r="E75" s="126"/>
      <c r="F75" s="126"/>
      <c r="G75" s="126"/>
      <c r="H75" s="127" t="str">
        <f>IF(Datos!$G75&gt;0,Datos!$G75-Datos!$E75+1 &amp; " " &amp; Idiomas!$A$29,"")</f>
        <v/>
      </c>
      <c r="I75" s="127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123"/>
      <c r="K75" s="128" t="str" cm="1">
        <f t="array" aca="1" ref="K75" ca="1">HYPERLINK("["&amp;Archivo_Nombre&amp;"]KANBAN!"&amp;IF(Tareas!$P75="","B2",Tareas!$P75),IF(Datos!$A75="","",Idiomas!$A$12&amp;" "&amp;ROW()-1))</f>
        <v/>
      </c>
    </row>
    <row r="76" spans="1:11" s="121" customFormat="1" x14ac:dyDescent="0.3">
      <c r="A76" s="95"/>
      <c r="B76" s="96"/>
      <c r="C76" s="120"/>
      <c r="D76" s="120"/>
      <c r="E76" s="99"/>
      <c r="F76" s="99"/>
      <c r="G76" s="99"/>
      <c r="H76" s="100" t="str">
        <f>IF(Datos!$G76&gt;0,Datos!$G76-Datos!$E76+1 &amp; " " &amp; Idiomas!$A$29,"")</f>
        <v/>
      </c>
      <c r="I76" s="100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6"/>
      <c r="K76" s="101" t="str" cm="1">
        <f t="array" aca="1" ref="K76" ca="1">HYPERLINK("["&amp;Archivo_Nombre&amp;"]KANBAN!"&amp;IF(Tareas!$P76="","B2",Tareas!$P76),IF(Datos!$A76="","",Idiomas!$A$12&amp;" "&amp;ROW()-1))</f>
        <v/>
      </c>
    </row>
    <row r="77" spans="1:11" s="121" customFormat="1" x14ac:dyDescent="0.3">
      <c r="A77" s="122"/>
      <c r="B77" s="123"/>
      <c r="C77" s="118"/>
      <c r="D77" s="118"/>
      <c r="E77" s="126"/>
      <c r="F77" s="126"/>
      <c r="G77" s="126"/>
      <c r="H77" s="127" t="str">
        <f>IF(Datos!$G77&gt;0,Datos!$G77-Datos!$E77+1 &amp; " " &amp; Idiomas!$A$29,"")</f>
        <v/>
      </c>
      <c r="I77" s="127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123"/>
      <c r="K77" s="128" t="str" cm="1">
        <f t="array" aca="1" ref="K77" ca="1">HYPERLINK("["&amp;Archivo_Nombre&amp;"]KANBAN!"&amp;IF(Tareas!$P77="","B2",Tareas!$P77),IF(Datos!$A77="","",Idiomas!$A$12&amp;" "&amp;ROW()-1))</f>
        <v/>
      </c>
    </row>
    <row r="78" spans="1:11" s="121" customFormat="1" x14ac:dyDescent="0.3">
      <c r="A78" s="95"/>
      <c r="B78" s="96"/>
      <c r="C78" s="120"/>
      <c r="D78" s="120"/>
      <c r="E78" s="99"/>
      <c r="F78" s="99"/>
      <c r="G78" s="99"/>
      <c r="H78" s="100" t="str">
        <f>IF(Datos!$G78&gt;0,Datos!$G78-Datos!$E78+1 &amp; " " &amp; Idiomas!$A$29,"")</f>
        <v/>
      </c>
      <c r="I78" s="100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6"/>
      <c r="K78" s="101" t="str" cm="1">
        <f t="array" aca="1" ref="K78" ca="1">HYPERLINK("["&amp;Archivo_Nombre&amp;"]KANBAN!"&amp;IF(Tareas!$P78="","B2",Tareas!$P78),IF(Datos!$A78="","",Idiomas!$A$12&amp;" "&amp;ROW()-1))</f>
        <v/>
      </c>
    </row>
    <row r="79" spans="1:11" s="121" customFormat="1" x14ac:dyDescent="0.3">
      <c r="A79" s="122"/>
      <c r="B79" s="123"/>
      <c r="C79" s="118"/>
      <c r="D79" s="118"/>
      <c r="E79" s="126"/>
      <c r="F79" s="126"/>
      <c r="G79" s="126"/>
      <c r="H79" s="127" t="str">
        <f>IF(Datos!$G79&gt;0,Datos!$G79-Datos!$E79+1 &amp; " " &amp; Idiomas!$A$29,"")</f>
        <v/>
      </c>
      <c r="I79" s="127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123"/>
      <c r="K79" s="128" t="str" cm="1">
        <f t="array" aca="1" ref="K79" ca="1">HYPERLINK("["&amp;Archivo_Nombre&amp;"]KANBAN!"&amp;IF(Tareas!$P79="","B2",Tareas!$P79),IF(Datos!$A79="","",Idiomas!$A$12&amp;" "&amp;ROW()-1))</f>
        <v/>
      </c>
    </row>
    <row r="80" spans="1:11" s="121" customFormat="1" x14ac:dyDescent="0.3">
      <c r="A80" s="95"/>
      <c r="B80" s="96"/>
      <c r="C80" s="120"/>
      <c r="D80" s="120"/>
      <c r="E80" s="99"/>
      <c r="F80" s="99"/>
      <c r="G80" s="99"/>
      <c r="H80" s="100" t="str">
        <f>IF(Datos!$G80&gt;0,Datos!$G80-Datos!$E80+1 &amp; " " &amp; Idiomas!$A$29,"")</f>
        <v/>
      </c>
      <c r="I80" s="100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6"/>
      <c r="K80" s="101" t="str" cm="1">
        <f t="array" aca="1" ref="K80" ca="1">HYPERLINK("["&amp;Archivo_Nombre&amp;"]KANBAN!"&amp;IF(Tareas!$P80="","B2",Tareas!$P80),IF(Datos!$A80="","",Idiomas!$A$12&amp;" "&amp;ROW()-1))</f>
        <v/>
      </c>
    </row>
    <row r="81" spans="1:11" s="121" customFormat="1" x14ac:dyDescent="0.3">
      <c r="A81" s="122"/>
      <c r="B81" s="123"/>
      <c r="C81" s="118"/>
      <c r="D81" s="118"/>
      <c r="E81" s="126"/>
      <c r="F81" s="126"/>
      <c r="G81" s="126"/>
      <c r="H81" s="127" t="str">
        <f>IF(Datos!$G81&gt;0,Datos!$G81-Datos!$E81+1 &amp; " " &amp; Idiomas!$A$29,"")</f>
        <v/>
      </c>
      <c r="I81" s="127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123"/>
      <c r="K81" s="128" t="str" cm="1">
        <f t="array" aca="1" ref="K81" ca="1">HYPERLINK("["&amp;Archivo_Nombre&amp;"]KANBAN!"&amp;IF(Tareas!$P81="","B2",Tareas!$P81),IF(Datos!$A81="","",Idiomas!$A$12&amp;" "&amp;ROW()-1))</f>
        <v/>
      </c>
    </row>
    <row r="82" spans="1:11" s="121" customFormat="1" x14ac:dyDescent="0.3">
      <c r="A82" s="95"/>
      <c r="B82" s="96"/>
      <c r="C82" s="120"/>
      <c r="D82" s="120"/>
      <c r="E82" s="99"/>
      <c r="F82" s="99"/>
      <c r="G82" s="99"/>
      <c r="H82" s="100" t="str">
        <f>IF(Datos!$G82&gt;0,Datos!$G82-Datos!$E82+1 &amp; " " &amp; Idiomas!$A$29,"")</f>
        <v/>
      </c>
      <c r="I82" s="100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6"/>
      <c r="K82" s="101" t="str" cm="1">
        <f t="array" aca="1" ref="K82" ca="1">HYPERLINK("["&amp;Archivo_Nombre&amp;"]KANBAN!"&amp;IF(Tareas!$P82="","B2",Tareas!$P82),IF(Datos!$A82="","",Idiomas!$A$12&amp;" "&amp;ROW()-1))</f>
        <v/>
      </c>
    </row>
    <row r="83" spans="1:11" s="121" customFormat="1" x14ac:dyDescent="0.3">
      <c r="A83" s="122"/>
      <c r="B83" s="123"/>
      <c r="C83" s="118"/>
      <c r="D83" s="118"/>
      <c r="E83" s="126"/>
      <c r="F83" s="126"/>
      <c r="G83" s="126"/>
      <c r="H83" s="127" t="str">
        <f>IF(Datos!$G83&gt;0,Datos!$G83-Datos!$E83+1 &amp; " " &amp; Idiomas!$A$29,"")</f>
        <v/>
      </c>
      <c r="I83" s="127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123"/>
      <c r="K83" s="128" t="str" cm="1">
        <f t="array" aca="1" ref="K83" ca="1">HYPERLINK("["&amp;Archivo_Nombre&amp;"]KANBAN!"&amp;IF(Tareas!$P83="","B2",Tareas!$P83),IF(Datos!$A83="","",Idiomas!$A$12&amp;" "&amp;ROW()-1))</f>
        <v/>
      </c>
    </row>
    <row r="84" spans="1:11" s="121" customFormat="1" x14ac:dyDescent="0.3">
      <c r="A84" s="95"/>
      <c r="B84" s="96"/>
      <c r="C84" s="120"/>
      <c r="D84" s="120"/>
      <c r="E84" s="99"/>
      <c r="F84" s="99"/>
      <c r="G84" s="99"/>
      <c r="H84" s="100" t="str">
        <f>IF(Datos!$G84&gt;0,Datos!$G84-Datos!$E84+1 &amp; " " &amp; Idiomas!$A$29,"")</f>
        <v/>
      </c>
      <c r="I84" s="100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6"/>
      <c r="K84" s="101" t="str" cm="1">
        <f t="array" aca="1" ref="K84" ca="1">HYPERLINK("["&amp;Archivo_Nombre&amp;"]KANBAN!"&amp;IF(Tareas!$P84="","B2",Tareas!$P84),IF(Datos!$A84="","",Idiomas!$A$12&amp;" "&amp;ROW()-1))</f>
        <v/>
      </c>
    </row>
    <row r="85" spans="1:11" s="121" customFormat="1" ht="45" x14ac:dyDescent="0.3">
      <c r="A85" s="122" t="s">
        <v>5</v>
      </c>
      <c r="B85" s="123" t="s">
        <v>8</v>
      </c>
      <c r="C85" s="118" t="s">
        <v>10</v>
      </c>
      <c r="D85" s="118" t="s">
        <v>11</v>
      </c>
      <c r="E85" s="126">
        <v>45687</v>
      </c>
      <c r="F85" s="126">
        <v>45687</v>
      </c>
      <c r="G85" s="126">
        <v>45687</v>
      </c>
      <c r="H85" s="127" t="str">
        <f>IF(Datos!$G85&gt;0,Datos!$G85-Datos!$E85+1 &amp; " " &amp; Idiomas!$A$29,"")</f>
        <v>1 días</v>
      </c>
      <c r="I85" s="127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123" t="s">
        <v>4</v>
      </c>
      <c r="K85" s="128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s="121" customFormat="1" x14ac:dyDescent="0.3">
      <c r="A86" s="95"/>
      <c r="B86" s="96"/>
      <c r="C86" s="120"/>
      <c r="D86" s="120"/>
      <c r="E86" s="99"/>
      <c r="F86" s="99"/>
      <c r="G86" s="99"/>
      <c r="H86" s="100" t="str">
        <f>IF(Datos!$G86&gt;0,Datos!$G86-Datos!$E86+1 &amp; " " &amp; Idiomas!$A$29,"")</f>
        <v/>
      </c>
      <c r="I86" s="100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6"/>
      <c r="K86" s="101" t="str" cm="1">
        <f t="array" aca="1" ref="K86" ca="1">HYPERLINK("["&amp;Archivo_Nombre&amp;"]KANBAN!"&amp;IF(Tareas!$P86="","B2",Tareas!$P86),IF(Datos!$A86="","",Idiomas!$A$12&amp;" "&amp;ROW()-1))</f>
        <v/>
      </c>
    </row>
    <row r="87" spans="1:11" s="121" customFormat="1" x14ac:dyDescent="0.3">
      <c r="A87" s="122"/>
      <c r="B87" s="123"/>
      <c r="C87" s="118"/>
      <c r="D87" s="118"/>
      <c r="E87" s="126"/>
      <c r="F87" s="126"/>
      <c r="G87" s="126"/>
      <c r="H87" s="127" t="str">
        <f>IF(Datos!$G87&gt;0,Datos!$G87-Datos!$E87+1 &amp; " " &amp; Idiomas!$A$29,"")</f>
        <v/>
      </c>
      <c r="I87" s="127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123"/>
      <c r="K87" s="128" t="str" cm="1">
        <f t="array" aca="1" ref="K87" ca="1">HYPERLINK("["&amp;Archivo_Nombre&amp;"]KANBAN!"&amp;IF(Tareas!$P87="","B2",Tareas!$P87),IF(Datos!$A87="","",Idiomas!$A$12&amp;" "&amp;ROW()-1))</f>
        <v/>
      </c>
    </row>
    <row r="88" spans="1:11" s="121" customFormat="1" x14ac:dyDescent="0.3">
      <c r="A88" s="95"/>
      <c r="B88" s="96"/>
      <c r="C88" s="120"/>
      <c r="D88" s="120"/>
      <c r="E88" s="99"/>
      <c r="F88" s="99"/>
      <c r="G88" s="99"/>
      <c r="H88" s="100" t="str">
        <f>IF(Datos!$G88&gt;0,Datos!$G88-Datos!$E88+1 &amp; " " &amp; Idiomas!$A$29,"")</f>
        <v/>
      </c>
      <c r="I88" s="100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6"/>
      <c r="K88" s="101" t="str" cm="1">
        <f t="array" aca="1" ref="K88" ca="1">HYPERLINK("["&amp;Archivo_Nombre&amp;"]KANBAN!"&amp;IF(Tareas!$P88="","B2",Tareas!$P88),IF(Datos!$A88="","",Idiomas!$A$12&amp;" "&amp;ROW()-1))</f>
        <v/>
      </c>
    </row>
    <row r="89" spans="1:11" s="121" customFormat="1" x14ac:dyDescent="0.3">
      <c r="A89" s="122"/>
      <c r="B89" s="123"/>
      <c r="C89" s="118"/>
      <c r="D89" s="118"/>
      <c r="E89" s="126"/>
      <c r="F89" s="126"/>
      <c r="G89" s="126"/>
      <c r="H89" s="127" t="str">
        <f>IF(Datos!$G89&gt;0,Datos!$G89-Datos!$E89+1 &amp; " " &amp; Idiomas!$A$29,"")</f>
        <v/>
      </c>
      <c r="I89" s="127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123"/>
      <c r="K89" s="128" t="str" cm="1">
        <f t="array" aca="1" ref="K89" ca="1">HYPERLINK("["&amp;Archivo_Nombre&amp;"]KANBAN!"&amp;IF(Tareas!$P89="","B2",Tareas!$P89),IF(Datos!$A89="","",Idiomas!$A$12&amp;" "&amp;ROW()-1))</f>
        <v/>
      </c>
    </row>
    <row r="90" spans="1:11" s="121" customFormat="1" x14ac:dyDescent="0.3">
      <c r="A90" s="95"/>
      <c r="B90" s="96"/>
      <c r="C90" s="120"/>
      <c r="D90" s="120"/>
      <c r="E90" s="99"/>
      <c r="F90" s="99"/>
      <c r="G90" s="99"/>
      <c r="H90" s="100" t="str">
        <f>IF(Datos!$G90&gt;0,Datos!$G90-Datos!$E90+1 &amp; " " &amp; Idiomas!$A$29,"")</f>
        <v/>
      </c>
      <c r="I90" s="100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6"/>
      <c r="K90" s="101" t="str" cm="1">
        <f t="array" aca="1" ref="K90" ca="1">HYPERLINK("["&amp;Archivo_Nombre&amp;"]KANBAN!"&amp;IF(Tareas!$P90="","B2",Tareas!$P90),IF(Datos!$A90="","",Idiomas!$A$12&amp;" "&amp;ROW()-1))</f>
        <v/>
      </c>
    </row>
    <row r="91" spans="1:11" s="121" customFormat="1" x14ac:dyDescent="0.3">
      <c r="A91" s="122"/>
      <c r="B91" s="123"/>
      <c r="C91" s="118"/>
      <c r="D91" s="118"/>
      <c r="E91" s="126"/>
      <c r="F91" s="126"/>
      <c r="G91" s="126"/>
      <c r="H91" s="127" t="str">
        <f>IF(Datos!$G91&gt;0,Datos!$G91-Datos!$E91+1 &amp; " " &amp; Idiomas!$A$29,"")</f>
        <v/>
      </c>
      <c r="I91" s="127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123"/>
      <c r="K91" s="128" t="str" cm="1">
        <f t="array" aca="1" ref="K91" ca="1">HYPERLINK("["&amp;Archivo_Nombre&amp;"]KANBAN!"&amp;IF(Tareas!$P91="","B2",Tareas!$P91),IF(Datos!$A91="","",Idiomas!$A$12&amp;" "&amp;ROW()-1))</f>
        <v/>
      </c>
    </row>
    <row r="92" spans="1:11" s="121" customFormat="1" x14ac:dyDescent="0.3">
      <c r="A92" s="95"/>
      <c r="B92" s="96"/>
      <c r="C92" s="120"/>
      <c r="D92" s="120"/>
      <c r="E92" s="99"/>
      <c r="F92" s="99"/>
      <c r="G92" s="99"/>
      <c r="H92" s="100" t="str">
        <f>IF(Datos!$G92&gt;0,Datos!$G92-Datos!$E92+1 &amp; " " &amp; Idiomas!$A$29,"")</f>
        <v/>
      </c>
      <c r="I92" s="100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6"/>
      <c r="K92" s="101" t="str" cm="1">
        <f t="array" aca="1" ref="K92" ca="1">HYPERLINK("["&amp;Archivo_Nombre&amp;"]KANBAN!"&amp;IF(Tareas!$P92="","B2",Tareas!$P92),IF(Datos!$A92="","",Idiomas!$A$12&amp;" "&amp;ROW()-1))</f>
        <v/>
      </c>
    </row>
    <row r="93" spans="1:11" s="121" customFormat="1" x14ac:dyDescent="0.3">
      <c r="A93" s="122"/>
      <c r="B93" s="123"/>
      <c r="C93" s="118"/>
      <c r="D93" s="118"/>
      <c r="E93" s="126"/>
      <c r="F93" s="126"/>
      <c r="G93" s="126"/>
      <c r="H93" s="127" t="str">
        <f>IF(Datos!$G93&gt;0,Datos!$G93-Datos!$E93+1 &amp; " " &amp; Idiomas!$A$29,"")</f>
        <v/>
      </c>
      <c r="I93" s="127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123"/>
      <c r="K93" s="128" t="str" cm="1">
        <f t="array" aca="1" ref="K93" ca="1">HYPERLINK("["&amp;Archivo_Nombre&amp;"]KANBAN!"&amp;IF(Tareas!$P93="","B2",Tareas!$P93),IF(Datos!$A93="","",Idiomas!$A$12&amp;" "&amp;ROW()-1))</f>
        <v/>
      </c>
    </row>
    <row r="94" spans="1:11" s="121" customFormat="1" x14ac:dyDescent="0.3">
      <c r="A94" s="95"/>
      <c r="B94" s="96"/>
      <c r="C94" s="120"/>
      <c r="D94" s="120"/>
      <c r="E94" s="99"/>
      <c r="F94" s="99"/>
      <c r="G94" s="99"/>
      <c r="H94" s="100" t="str">
        <f>IF(Datos!$G94&gt;0,Datos!$G94-Datos!$E94+1 &amp; " " &amp; Idiomas!$A$29,"")</f>
        <v/>
      </c>
      <c r="I94" s="100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6"/>
      <c r="K94" s="101" t="str" cm="1">
        <f t="array" aca="1" ref="K94" ca="1">HYPERLINK("["&amp;Archivo_Nombre&amp;"]KANBAN!"&amp;IF(Tareas!$P94="","B2",Tareas!$P94),IF(Datos!$A94="","",Idiomas!$A$12&amp;" "&amp;ROW()-1))</f>
        <v/>
      </c>
    </row>
    <row r="95" spans="1:11" s="121" customFormat="1" x14ac:dyDescent="0.3">
      <c r="A95" s="122"/>
      <c r="B95" s="123"/>
      <c r="C95" s="118"/>
      <c r="D95" s="118"/>
      <c r="E95" s="126"/>
      <c r="F95" s="126"/>
      <c r="G95" s="126"/>
      <c r="H95" s="127" t="str">
        <f>IF(Datos!$G95&gt;0,Datos!$G95-Datos!$E95+1 &amp; " " &amp; Idiomas!$A$29,"")</f>
        <v/>
      </c>
      <c r="I95" s="127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123"/>
      <c r="K95" s="128" t="str" cm="1">
        <f t="array" aca="1" ref="K95" ca="1">HYPERLINK("["&amp;Archivo_Nombre&amp;"]KANBAN!"&amp;IF(Tareas!$P95="","B2",Tareas!$P95),IF(Datos!$A95="","",Idiomas!$A$12&amp;" "&amp;ROW()-1))</f>
        <v/>
      </c>
    </row>
    <row r="96" spans="1:11" s="121" customFormat="1" x14ac:dyDescent="0.3">
      <c r="A96" s="95"/>
      <c r="B96" s="96"/>
      <c r="C96" s="120"/>
      <c r="D96" s="120"/>
      <c r="E96" s="99"/>
      <c r="F96" s="99"/>
      <c r="G96" s="99"/>
      <c r="H96" s="100" t="str">
        <f>IF(Datos!$G96&gt;0,Datos!$G96-Datos!$E96+1 &amp; " " &amp; Idiomas!$A$29,"")</f>
        <v/>
      </c>
      <c r="I96" s="100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6"/>
      <c r="K96" s="101" t="str" cm="1">
        <f t="array" aca="1" ref="K96" ca="1">HYPERLINK("["&amp;Archivo_Nombre&amp;"]KANBAN!"&amp;IF(Tareas!$P96="","B2",Tareas!$P96),IF(Datos!$A96="","",Idiomas!$A$12&amp;" "&amp;ROW()-1))</f>
        <v/>
      </c>
    </row>
    <row r="97" spans="1:11" s="121" customFormat="1" x14ac:dyDescent="0.3">
      <c r="A97" s="122"/>
      <c r="B97" s="123"/>
      <c r="C97" s="118"/>
      <c r="D97" s="118"/>
      <c r="E97" s="126"/>
      <c r="F97" s="126"/>
      <c r="G97" s="126"/>
      <c r="H97" s="127" t="str">
        <f>IF(Datos!$G97&gt;0,Datos!$G97-Datos!$E97+1 &amp; " " &amp; Idiomas!$A$29,"")</f>
        <v/>
      </c>
      <c r="I97" s="127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123"/>
      <c r="K97" s="128" t="str" cm="1">
        <f t="array" aca="1" ref="K97" ca="1">HYPERLINK("["&amp;Archivo_Nombre&amp;"]KANBAN!"&amp;IF(Tareas!$P97="","B2",Tareas!$P97),IF(Datos!$A97="","",Idiomas!$A$12&amp;" "&amp;ROW()-1))</f>
        <v/>
      </c>
    </row>
    <row r="98" spans="1:11" s="121" customFormat="1" x14ac:dyDescent="0.3">
      <c r="A98" s="95"/>
      <c r="B98" s="96"/>
      <c r="C98" s="120"/>
      <c r="D98" s="120"/>
      <c r="E98" s="99"/>
      <c r="F98" s="99"/>
      <c r="G98" s="99"/>
      <c r="H98" s="100" t="str">
        <f>IF(Datos!$G98&gt;0,Datos!$G98-Datos!$E98+1 &amp; " " &amp; Idiomas!$A$29,"")</f>
        <v/>
      </c>
      <c r="I98" s="100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6"/>
      <c r="K98" s="101" t="str" cm="1">
        <f t="array" aca="1" ref="K98" ca="1">HYPERLINK("["&amp;Archivo_Nombre&amp;"]KANBAN!"&amp;IF(Tareas!$P98="","B2",Tareas!$P98),IF(Datos!$A98="","",Idiomas!$A$12&amp;" "&amp;ROW()-1))</f>
        <v/>
      </c>
    </row>
    <row r="99" spans="1:11" s="121" customFormat="1" x14ac:dyDescent="0.3">
      <c r="A99" s="122"/>
      <c r="B99" s="123"/>
      <c r="C99" s="118"/>
      <c r="D99" s="118"/>
      <c r="E99" s="126"/>
      <c r="F99" s="126"/>
      <c r="G99" s="126"/>
      <c r="H99" s="127" t="str">
        <f>IF(Datos!$G99&gt;0,Datos!$G99-Datos!$E99+1 &amp; " " &amp; Idiomas!$A$29,"")</f>
        <v/>
      </c>
      <c r="I99" s="127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123"/>
      <c r="K99" s="128" t="str" cm="1">
        <f t="array" aca="1" ref="K99" ca="1">HYPERLINK("["&amp;Archivo_Nombre&amp;"]KANBAN!"&amp;IF(Tareas!$P99="","B2",Tareas!$P99),IF(Datos!$A99="","",Idiomas!$A$12&amp;" "&amp;ROW()-1))</f>
        <v/>
      </c>
    </row>
    <row r="100" spans="1:11" s="121" customFormat="1" x14ac:dyDescent="0.3">
      <c r="A100" s="95"/>
      <c r="B100" s="96"/>
      <c r="C100" s="120"/>
      <c r="D100" s="120"/>
      <c r="E100" s="99"/>
      <c r="F100" s="99"/>
      <c r="G100" s="99"/>
      <c r="H100" s="100" t="str">
        <f>IF(Datos!$G100&gt;0,Datos!$G100-Datos!$E100+1 &amp; " " &amp; Idiomas!$A$29,"")</f>
        <v/>
      </c>
      <c r="I100" s="100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6"/>
      <c r="K100" s="101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s="121" customFormat="1" x14ac:dyDescent="0.3">
      <c r="A101" s="129"/>
      <c r="B101" s="130"/>
      <c r="C101" s="131"/>
      <c r="D101" s="131"/>
      <c r="E101" s="132"/>
      <c r="F101" s="132"/>
      <c r="G101" s="132"/>
      <c r="H101" s="133" t="str">
        <f>IF(Datos!$G101&gt;0,Datos!$G101-Datos!$E101+1 &amp; " " &amp; Idiomas!$A$29,"")</f>
        <v/>
      </c>
      <c r="I101" s="133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30"/>
      <c r="K101" s="134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autoFilter="0"/>
  <autoFilter ref="A1:K101" xr:uid="{00000000-0001-0000-0100-000000000000}"/>
  <phoneticPr fontId="2" type="noConversion"/>
  <conditionalFormatting sqref="E3:E101">
    <cfRule type="expression" dxfId="4" priority="13" stopIfTrue="1">
      <formula>AND($A3&lt;&gt;"",$E3="")</formula>
    </cfRule>
  </conditionalFormatting>
  <conditionalFormatting sqref="F11:G11">
    <cfRule type="expression" dxfId="3" priority="1" stopIfTrue="1">
      <formula>AND($A11&lt;&gt;"",$E11="")</formula>
    </cfRule>
  </conditionalFormatting>
  <conditionalFormatting sqref="I2:I101">
    <cfRule type="expression" dxfId="2" priority="12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 E48:E101 F17:G17 F5:G5 F46:G101 F2:G3 E11:G1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4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5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6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77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9" sqref="F19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80" t="str">
        <f>"                " &amp; Idiomas!$A$2 &amp; " v3 ©️            "</f>
        <v xml:space="preserve">                Tablero KANBAN v3 ©️            </v>
      </c>
      <c r="C2" s="80"/>
      <c r="E2" s="5" t="s">
        <v>12</v>
      </c>
      <c r="F2" s="87" t="str">
        <f>Idiomas!$A$2 &amp; " | #ExcelPedroWave"</f>
        <v>Tablero KANBAN | #ExcelPedroWave</v>
      </c>
      <c r="G2" s="87"/>
      <c r="H2" s="87"/>
    </row>
    <row r="3" spans="2:9" ht="15" customHeight="1" x14ac:dyDescent="0.3">
      <c r="E3" s="6" t="s">
        <v>13</v>
      </c>
      <c r="F3" s="87" t="s">
        <v>14</v>
      </c>
      <c r="G3" s="87"/>
      <c r="H3" s="87"/>
    </row>
    <row r="4" spans="2:9" x14ac:dyDescent="0.3">
      <c r="B4" s="78" t="str">
        <f>Idiomas!$A$3</f>
        <v>Idioma</v>
      </c>
      <c r="E4" s="6" t="s">
        <v>15</v>
      </c>
      <c r="F4" s="88" t="s">
        <v>16</v>
      </c>
      <c r="G4" s="88"/>
      <c r="H4" s="88"/>
    </row>
    <row r="5" spans="2:9" ht="15" customHeight="1" x14ac:dyDescent="0.3">
      <c r="B5" s="79" t="s">
        <v>17</v>
      </c>
      <c r="C5" s="35"/>
      <c r="D5" s="37"/>
      <c r="E5" s="37"/>
      <c r="F5" s="37"/>
    </row>
    <row r="6" spans="2:9" ht="15" customHeight="1" x14ac:dyDescent="0.3">
      <c r="B6" s="71" t="str">
        <f>Idiomas!$A$4 &amp; " " &amp; Idiomas!$A$5 &amp; " " &amp; Idiomas!A$6</f>
        <v>AVISO: Es preciso traducir Estados y Criticidad</v>
      </c>
      <c r="D6" s="37"/>
      <c r="E6" s="37"/>
      <c r="F6" s="37"/>
    </row>
    <row r="7" spans="2:9" ht="15" customHeight="1" thickBot="1" x14ac:dyDescent="0.35">
      <c r="C7" s="36"/>
      <c r="D7" s="37"/>
      <c r="E7" s="37"/>
      <c r="F7" s="37"/>
    </row>
    <row r="8" spans="2:9" ht="15" thickBot="1" x14ac:dyDescent="0.35">
      <c r="B8" s="33" t="str">
        <f>Idiomas!$A$7</f>
        <v>Estados</v>
      </c>
      <c r="D8" s="32" t="str">
        <f>Idiomas!$A$8</f>
        <v>Criticidad</v>
      </c>
      <c r="F8" s="31" t="str">
        <f>Idiomas!$A$9</f>
        <v>Miembros del equipo</v>
      </c>
      <c r="H8" s="54" t="str">
        <f>Idiomas!$A$30</f>
        <v>Orden en tarjetas</v>
      </c>
      <c r="I8" s="70" t="s">
        <v>18</v>
      </c>
    </row>
    <row r="9" spans="2:9" x14ac:dyDescent="0.3">
      <c r="B9" s="64" t="s">
        <v>9</v>
      </c>
      <c r="D9" s="61" t="s">
        <v>6</v>
      </c>
      <c r="F9" s="57" t="s">
        <v>243</v>
      </c>
      <c r="H9" s="55" t="str">
        <f>Idiomas!$A$12</f>
        <v>Tarea</v>
      </c>
      <c r="I9" s="74">
        <v>1</v>
      </c>
    </row>
    <row r="10" spans="2:9" x14ac:dyDescent="0.3">
      <c r="B10" s="65" t="s">
        <v>7</v>
      </c>
      <c r="D10" s="62" t="s">
        <v>3</v>
      </c>
      <c r="F10" s="58" t="s">
        <v>244</v>
      </c>
      <c r="H10" s="56" t="str">
        <f>Idiomas!$A$13</f>
        <v>Descripción</v>
      </c>
      <c r="I10" s="76">
        <v>2</v>
      </c>
    </row>
    <row r="11" spans="2:9" ht="15" thickBot="1" x14ac:dyDescent="0.35">
      <c r="B11" s="66" t="s">
        <v>2</v>
      </c>
      <c r="D11" s="63" t="s">
        <v>8</v>
      </c>
      <c r="F11" s="59" t="s">
        <v>245</v>
      </c>
      <c r="H11" s="68" t="str">
        <f>Idiomas!$A$14</f>
        <v>Inicio</v>
      </c>
      <c r="I11" s="75">
        <v>3</v>
      </c>
    </row>
    <row r="12" spans="2:9" x14ac:dyDescent="0.3">
      <c r="B12" s="65" t="s">
        <v>5</v>
      </c>
      <c r="F12" s="58" t="s">
        <v>246</v>
      </c>
      <c r="H12" s="56" t="str">
        <f>Idiomas!$A$15</f>
        <v>Previsto</v>
      </c>
      <c r="I12" s="76">
        <v>4</v>
      </c>
    </row>
    <row r="13" spans="2:9" ht="15" thickBot="1" x14ac:dyDescent="0.35">
      <c r="B13" s="66" t="s">
        <v>19</v>
      </c>
      <c r="F13" s="59" t="s">
        <v>247</v>
      </c>
      <c r="H13" s="68" t="str">
        <f>Idiomas!$A$16</f>
        <v>Final</v>
      </c>
      <c r="I13" s="75">
        <v>5</v>
      </c>
    </row>
    <row r="14" spans="2:9" x14ac:dyDescent="0.3">
      <c r="B14" s="65" t="s">
        <v>9</v>
      </c>
      <c r="F14" s="57" t="s">
        <v>218</v>
      </c>
      <c r="H14" s="56" t="str">
        <f>Idiomas!$A$17</f>
        <v>Duración</v>
      </c>
      <c r="I14" s="76">
        <v>6</v>
      </c>
    </row>
    <row r="15" spans="2:9" x14ac:dyDescent="0.3">
      <c r="B15" s="66" t="s">
        <v>7</v>
      </c>
      <c r="F15" s="58" t="s">
        <v>248</v>
      </c>
      <c r="H15" s="68" t="str">
        <f>Idiomas!$A$18</f>
        <v>Retraso</v>
      </c>
      <c r="I15" s="75">
        <v>7</v>
      </c>
    </row>
    <row r="16" spans="2:9" ht="15" thickBot="1" x14ac:dyDescent="0.35">
      <c r="B16" s="65"/>
      <c r="F16" s="59" t="s">
        <v>249</v>
      </c>
      <c r="H16" s="69" t="str">
        <f>Idiomas!$A$19</f>
        <v>Asignado</v>
      </c>
      <c r="I16" s="77">
        <v>8</v>
      </c>
    </row>
    <row r="17" spans="2:9" x14ac:dyDescent="0.3">
      <c r="B17" s="66"/>
      <c r="F17" s="59" t="s">
        <v>250</v>
      </c>
      <c r="H17" s="71" t="str">
        <f>Idiomas!$A$4</f>
        <v>AVISO:</v>
      </c>
      <c r="I17" s="73" t="s">
        <v>20</v>
      </c>
    </row>
    <row r="18" spans="2:9" ht="15" thickBot="1" x14ac:dyDescent="0.35">
      <c r="B18" s="67"/>
      <c r="F18" s="58" t="s">
        <v>275</v>
      </c>
      <c r="H18" s="72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59" t="s">
        <v>276</v>
      </c>
      <c r="H19" s="72" t="str">
        <f>Idiomas!$A$32</f>
        <v>No duplicar los números</v>
      </c>
    </row>
    <row r="20" spans="2:9" ht="15" thickBot="1" x14ac:dyDescent="0.35">
      <c r="B20" s="53" t="s">
        <v>2</v>
      </c>
      <c r="F20" s="58"/>
    </row>
    <row r="21" spans="2:9" x14ac:dyDescent="0.3">
      <c r="F21" s="59"/>
    </row>
    <row r="22" spans="2:9" ht="15" thickBot="1" x14ac:dyDescent="0.35">
      <c r="B22" s="2" t="str">
        <f>Idiomas!$A$11</f>
        <v>Nombre archivo en Excel para la Web</v>
      </c>
      <c r="F22" s="58"/>
    </row>
    <row r="23" spans="2:9" ht="15" thickBot="1" x14ac:dyDescent="0.35">
      <c r="B23" s="84" t="s">
        <v>21</v>
      </c>
      <c r="C23" s="85"/>
      <c r="D23" s="86"/>
      <c r="F23" s="60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1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38" t="str">
        <f>Idiomas!$A$12</f>
        <v>Tarea</v>
      </c>
      <c r="B1" s="39" t="str">
        <f>"#"&amp;Idiomas!$A$7</f>
        <v>#Estados</v>
      </c>
      <c r="C1" s="39" t="str">
        <f>"#"&amp;Idiomas!$A$8</f>
        <v>#Criticidad</v>
      </c>
      <c r="D1" s="39" t="str">
        <f>Idiomas!$A$20</f>
        <v>Filtro</v>
      </c>
      <c r="E1" s="39" t="s">
        <v>22</v>
      </c>
      <c r="F1" s="39" t="s">
        <v>23</v>
      </c>
      <c r="G1" s="39" t="s">
        <v>24</v>
      </c>
      <c r="H1" s="39" t="s">
        <v>25</v>
      </c>
      <c r="I1" s="39" t="s">
        <v>26</v>
      </c>
      <c r="J1" s="39" t="s">
        <v>27</v>
      </c>
      <c r="K1" s="39" t="s">
        <v>28</v>
      </c>
      <c r="L1" s="39" t="s">
        <v>29</v>
      </c>
      <c r="M1" s="39" t="s">
        <v>30</v>
      </c>
      <c r="N1" s="39" t="s">
        <v>31</v>
      </c>
      <c r="O1" s="39" t="str">
        <f>Idiomas!$A$21</f>
        <v>Celda</v>
      </c>
      <c r="P1" s="40" t="s">
        <v>32</v>
      </c>
    </row>
    <row r="2" spans="1:16" ht="15.6" thickTop="1" thickBot="1" x14ac:dyDescent="0.35">
      <c r="A2" s="41" t="str">
        <f>IFERROR(IF(Datos!$A2="","",Idiomas!$A$12&amp;" "&amp;ROW()-1),"")</f>
        <v>Tarea 1</v>
      </c>
      <c r="B2" s="42">
        <f>IFERROR(MATCH(Datos!$A2,Configura!$B$9:$B$18,0),0)</f>
        <v>4</v>
      </c>
      <c r="C2" s="42">
        <f>IFERROR(MATCH(Datos!$B2,Configura!$D$9:$D$11,0),0)</f>
        <v>1</v>
      </c>
      <c r="D2" s="42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43" t="str">
        <f t="shared" ref="E2:N11" ca="1" si="0">IFERROR(E$1&amp;"-"&amp;MATCH($A2&amp;":",INDIRECT("KANBAN!"&amp;E$1&amp;":"&amp;E$1),0),"")</f>
        <v/>
      </c>
      <c r="F2" s="43" t="str">
        <f t="shared" ca="1" si="0"/>
        <v/>
      </c>
      <c r="G2" s="43" t="str">
        <f t="shared" ca="1" si="0"/>
        <v/>
      </c>
      <c r="H2" s="43" t="str">
        <f t="shared" ca="1" si="0"/>
        <v/>
      </c>
      <c r="I2" s="43" t="str">
        <f t="shared" ca="1" si="0"/>
        <v/>
      </c>
      <c r="J2" s="43" t="str">
        <f t="shared" ca="1" si="0"/>
        <v/>
      </c>
      <c r="K2" s="43" t="str">
        <f t="shared" ca="1" si="0"/>
        <v/>
      </c>
      <c r="L2" s="43" t="str">
        <f t="shared" ca="1" si="0"/>
        <v/>
      </c>
      <c r="M2" s="43" t="str">
        <f t="shared" ca="1" si="0"/>
        <v/>
      </c>
      <c r="N2" s="43" t="str">
        <f t="shared" ca="1" si="0"/>
        <v/>
      </c>
      <c r="O2" s="43" t="str">
        <f t="shared" ref="O2:O33" ca="1" si="1">E2&amp;F2&amp;G2&amp;H2&amp;I2&amp;J2&amp;K2&amp;L2&amp;M2&amp;N2</f>
        <v/>
      </c>
      <c r="P2" s="44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45" t="str">
        <f>IFERROR(IF(Datos!$A3="","",Idiomas!$A$12&amp;" "&amp;ROW()-1),"")</f>
        <v>Tarea 2</v>
      </c>
      <c r="B3" s="46">
        <f>IFERROR(MATCH(Datos!$A3,Configura!$B$9:$B$18,0),0)</f>
        <v>4</v>
      </c>
      <c r="C3" s="46">
        <f>IFERROR(MATCH(Datos!$B3,Configura!$D$9:$D$11,0),0)</f>
        <v>3</v>
      </c>
      <c r="D3" s="46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47" t="str">
        <f t="shared" ca="1" si="0"/>
        <v/>
      </c>
      <c r="F3" s="47" t="str">
        <f t="shared" ca="1" si="0"/>
        <v/>
      </c>
      <c r="G3" s="47" t="str">
        <f t="shared" ca="1" si="0"/>
        <v/>
      </c>
      <c r="H3" s="47" t="str">
        <f t="shared" ca="1" si="0"/>
        <v/>
      </c>
      <c r="I3" s="47" t="str">
        <f t="shared" ca="1" si="0"/>
        <v/>
      </c>
      <c r="J3" s="47" t="str">
        <f t="shared" ca="1" si="0"/>
        <v/>
      </c>
      <c r="K3" s="47" t="str">
        <f t="shared" ca="1" si="0"/>
        <v/>
      </c>
      <c r="L3" s="47" t="str">
        <f t="shared" ca="1" si="0"/>
        <v/>
      </c>
      <c r="M3" s="47" t="str">
        <f t="shared" ca="1" si="0"/>
        <v/>
      </c>
      <c r="N3" s="47" t="str">
        <f t="shared" ca="1" si="0"/>
        <v/>
      </c>
      <c r="O3" s="47" t="str">
        <f t="shared" ca="1" si="1"/>
        <v/>
      </c>
      <c r="P3" s="48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41" t="str">
        <f>IFERROR(IF(Datos!$A4="","",Idiomas!$A$12&amp;" "&amp;ROW()-1),"")</f>
        <v>Tarea 3</v>
      </c>
      <c r="B4" s="42">
        <f>IFERROR(MATCH(Datos!$A4,Configura!$B$9:$B$18,0),0)</f>
        <v>4</v>
      </c>
      <c r="C4" s="42">
        <f>IFERROR(MATCH(Datos!$B4,Configura!$D$9:$D$11,0),0)</f>
        <v>3</v>
      </c>
      <c r="D4" s="42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43" t="str">
        <f t="shared" ca="1" si="0"/>
        <v/>
      </c>
      <c r="F4" s="43" t="str">
        <f t="shared" ca="1" si="0"/>
        <v/>
      </c>
      <c r="G4" s="43" t="str">
        <f t="shared" ca="1" si="0"/>
        <v/>
      </c>
      <c r="H4" s="43" t="str">
        <f t="shared" ca="1" si="0"/>
        <v/>
      </c>
      <c r="I4" s="43" t="str">
        <f t="shared" ca="1" si="0"/>
        <v/>
      </c>
      <c r="J4" s="43" t="str">
        <f t="shared" ca="1" si="0"/>
        <v/>
      </c>
      <c r="K4" s="43" t="str">
        <f t="shared" ca="1" si="0"/>
        <v/>
      </c>
      <c r="L4" s="43" t="str">
        <f t="shared" ca="1" si="0"/>
        <v/>
      </c>
      <c r="M4" s="43" t="str">
        <f t="shared" ca="1" si="0"/>
        <v/>
      </c>
      <c r="N4" s="43" t="str">
        <f t="shared" ca="1" si="0"/>
        <v/>
      </c>
      <c r="O4" s="43" t="str">
        <f t="shared" ca="1" si="1"/>
        <v/>
      </c>
      <c r="P4" s="44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45" t="str">
        <f>IFERROR(IF(Datos!$A5="","",Idiomas!$A$12&amp;" "&amp;ROW()-1),"")</f>
        <v>Tarea 4</v>
      </c>
      <c r="B5" s="46">
        <f>IFERROR(MATCH(Datos!$A5,Configura!$B$9:$B$18,0),0)</f>
        <v>4</v>
      </c>
      <c r="C5" s="46">
        <f>IFERROR(MATCH(Datos!$B5,Configura!$D$9:$D$11,0),0)</f>
        <v>2</v>
      </c>
      <c r="D5" s="46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47" t="str">
        <f t="shared" ca="1" si="0"/>
        <v/>
      </c>
      <c r="F5" s="47" t="str">
        <f t="shared" ca="1" si="0"/>
        <v/>
      </c>
      <c r="G5" s="47" t="str">
        <f t="shared" ca="1" si="0"/>
        <v/>
      </c>
      <c r="H5" s="47" t="str">
        <f t="shared" ca="1" si="0"/>
        <v/>
      </c>
      <c r="I5" s="47" t="str">
        <f t="shared" ca="1" si="0"/>
        <v/>
      </c>
      <c r="J5" s="47" t="str">
        <f t="shared" ca="1" si="0"/>
        <v/>
      </c>
      <c r="K5" s="47" t="str">
        <f t="shared" ca="1" si="0"/>
        <v/>
      </c>
      <c r="L5" s="47" t="str">
        <f t="shared" ca="1" si="0"/>
        <v/>
      </c>
      <c r="M5" s="47" t="str">
        <f t="shared" ca="1" si="0"/>
        <v/>
      </c>
      <c r="N5" s="47" t="str">
        <f t="shared" ca="1" si="0"/>
        <v/>
      </c>
      <c r="O5" s="47" t="str">
        <f t="shared" ca="1" si="1"/>
        <v/>
      </c>
      <c r="P5" s="48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41" t="str">
        <f>IFERROR(IF(Datos!$A6="","",Idiomas!$A$12&amp;" "&amp;ROW()-1),"")</f>
        <v>Tarea 5</v>
      </c>
      <c r="B6" s="42">
        <f>IFERROR(MATCH(Datos!$A6,Configura!$B$9:$B$18,0),0)</f>
        <v>4</v>
      </c>
      <c r="C6" s="42">
        <f>IFERROR(MATCH(Datos!$B6,Configura!$D$9:$D$11,0),0)</f>
        <v>3</v>
      </c>
      <c r="D6" s="42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43" t="str">
        <f t="shared" ca="1" si="0"/>
        <v/>
      </c>
      <c r="F6" s="43" t="str">
        <f t="shared" ca="1" si="0"/>
        <v/>
      </c>
      <c r="G6" s="43" t="str">
        <f t="shared" ca="1" si="0"/>
        <v/>
      </c>
      <c r="H6" s="43" t="str">
        <f t="shared" ca="1" si="0"/>
        <v/>
      </c>
      <c r="I6" s="43" t="str">
        <f t="shared" ca="1" si="0"/>
        <v/>
      </c>
      <c r="J6" s="43" t="str">
        <f t="shared" ca="1" si="0"/>
        <v/>
      </c>
      <c r="K6" s="43" t="str">
        <f t="shared" ca="1" si="0"/>
        <v/>
      </c>
      <c r="L6" s="43" t="str">
        <f t="shared" ca="1" si="0"/>
        <v/>
      </c>
      <c r="M6" s="43" t="str">
        <f t="shared" ca="1" si="0"/>
        <v/>
      </c>
      <c r="N6" s="43" t="str">
        <f t="shared" ca="1" si="0"/>
        <v/>
      </c>
      <c r="O6" s="43" t="str">
        <f t="shared" ca="1" si="1"/>
        <v/>
      </c>
      <c r="P6" s="44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45" t="str">
        <f>IFERROR(IF(Datos!$A7="","",Idiomas!$A$12&amp;" "&amp;ROW()-1),"")</f>
        <v>Tarea 6</v>
      </c>
      <c r="B7" s="46">
        <f>IFERROR(MATCH(Datos!$A7,Configura!$B$9:$B$18,0),0)</f>
        <v>4</v>
      </c>
      <c r="C7" s="46">
        <f>IFERROR(MATCH(Datos!$B7,Configura!$D$9:$D$11,0),0)</f>
        <v>3</v>
      </c>
      <c r="D7" s="46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47" t="str">
        <f t="shared" ca="1" si="0"/>
        <v/>
      </c>
      <c r="F7" s="47" t="str">
        <f t="shared" ca="1" si="0"/>
        <v/>
      </c>
      <c r="G7" s="47" t="str">
        <f t="shared" ca="1" si="0"/>
        <v/>
      </c>
      <c r="H7" s="47" t="str">
        <f t="shared" ca="1" si="0"/>
        <v/>
      </c>
      <c r="I7" s="47" t="str">
        <f t="shared" ca="1" si="0"/>
        <v/>
      </c>
      <c r="J7" s="47" t="str">
        <f t="shared" ca="1" si="0"/>
        <v/>
      </c>
      <c r="K7" s="47" t="str">
        <f t="shared" ca="1" si="0"/>
        <v/>
      </c>
      <c r="L7" s="47" t="str">
        <f t="shared" ca="1" si="0"/>
        <v/>
      </c>
      <c r="M7" s="47" t="str">
        <f t="shared" ca="1" si="0"/>
        <v/>
      </c>
      <c r="N7" s="47" t="str">
        <f t="shared" ca="1" si="0"/>
        <v/>
      </c>
      <c r="O7" s="47" t="str">
        <f t="shared" ca="1" si="1"/>
        <v/>
      </c>
      <c r="P7" s="48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5.6" thickTop="1" thickBot="1" x14ac:dyDescent="0.35">
      <c r="A8" s="41" t="str">
        <f>IFERROR(IF(Datos!$A8="","",Idiomas!$A$12&amp;" "&amp;ROW()-1),"")</f>
        <v>Tarea 7</v>
      </c>
      <c r="B8" s="42">
        <f>IFERROR(MATCH(Datos!$A8,Configura!$B$9:$B$18,0),0)</f>
        <v>4</v>
      </c>
      <c r="C8" s="42">
        <f>IFERROR(MATCH(Datos!$B8,Configura!$D$9:$D$11,0),0)</f>
        <v>1</v>
      </c>
      <c r="D8" s="42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43" t="str">
        <f t="shared" ca="1" si="0"/>
        <v/>
      </c>
      <c r="F8" s="43" t="str">
        <f t="shared" ca="1" si="0"/>
        <v/>
      </c>
      <c r="G8" s="43" t="str">
        <f t="shared" ca="1" si="0"/>
        <v/>
      </c>
      <c r="H8" s="43" t="str">
        <f t="shared" ca="1" si="0"/>
        <v/>
      </c>
      <c r="I8" s="43" t="str">
        <f t="shared" ca="1" si="0"/>
        <v/>
      </c>
      <c r="J8" s="43" t="str">
        <f t="shared" ca="1" si="0"/>
        <v/>
      </c>
      <c r="K8" s="43" t="str">
        <f t="shared" ca="1" si="0"/>
        <v/>
      </c>
      <c r="L8" s="43" t="str">
        <f t="shared" ca="1" si="0"/>
        <v/>
      </c>
      <c r="M8" s="43" t="str">
        <f t="shared" ca="1" si="0"/>
        <v/>
      </c>
      <c r="N8" s="43" t="str">
        <f t="shared" ca="1" si="0"/>
        <v/>
      </c>
      <c r="O8" s="43" t="str">
        <f t="shared" ca="1" si="1"/>
        <v/>
      </c>
      <c r="P8" s="44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5.6" thickTop="1" thickBot="1" x14ac:dyDescent="0.35">
      <c r="A9" s="45" t="str">
        <f>IFERROR(IF(Datos!$A9="","",Idiomas!$A$12&amp;" "&amp;ROW()-1),"")</f>
        <v>Tarea 8</v>
      </c>
      <c r="B9" s="46">
        <f>IFERROR(MATCH(Datos!$A9,Configura!$B$9:$B$18,0),0)</f>
        <v>4</v>
      </c>
      <c r="C9" s="46">
        <f>IFERROR(MATCH(Datos!$B9,Configura!$D$9:$D$11,0),0)</f>
        <v>1</v>
      </c>
      <c r="D9" s="46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47" t="str">
        <f t="shared" ca="1" si="0"/>
        <v/>
      </c>
      <c r="F9" s="47" t="str">
        <f t="shared" ca="1" si="0"/>
        <v/>
      </c>
      <c r="G9" s="47" t="str">
        <f t="shared" ca="1" si="0"/>
        <v/>
      </c>
      <c r="H9" s="47" t="str">
        <f t="shared" ca="1" si="0"/>
        <v/>
      </c>
      <c r="I9" s="47" t="str">
        <f t="shared" ca="1" si="0"/>
        <v/>
      </c>
      <c r="J9" s="47" t="str">
        <f t="shared" ca="1" si="0"/>
        <v/>
      </c>
      <c r="K9" s="47" t="str">
        <f t="shared" ca="1" si="0"/>
        <v/>
      </c>
      <c r="L9" s="47" t="str">
        <f t="shared" ca="1" si="0"/>
        <v/>
      </c>
      <c r="M9" s="47" t="str">
        <f t="shared" ca="1" si="0"/>
        <v/>
      </c>
      <c r="N9" s="47" t="str">
        <f t="shared" ca="1" si="0"/>
        <v/>
      </c>
      <c r="O9" s="47" t="str">
        <f t="shared" ca="1" si="1"/>
        <v/>
      </c>
      <c r="P9" s="48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5.6" thickTop="1" thickBot="1" x14ac:dyDescent="0.35">
      <c r="A10" s="41" t="str">
        <f>IFERROR(IF(Datos!$A10="","",Idiomas!$A$12&amp;" "&amp;ROW()-1),"")</f>
        <v>Tarea 9</v>
      </c>
      <c r="B10" s="42">
        <f>IFERROR(MATCH(Datos!$A10,Configura!$B$9:$B$18,0),0)</f>
        <v>4</v>
      </c>
      <c r="C10" s="42">
        <f>IFERROR(MATCH(Datos!$B10,Configura!$D$9:$D$11,0),0)</f>
        <v>2</v>
      </c>
      <c r="D10" s="42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43" t="str">
        <f t="shared" ca="1" si="0"/>
        <v/>
      </c>
      <c r="F10" s="43" t="str">
        <f t="shared" ca="1" si="0"/>
        <v/>
      </c>
      <c r="G10" s="43" t="str">
        <f t="shared" ca="1" si="0"/>
        <v/>
      </c>
      <c r="H10" s="43" t="str">
        <f t="shared" ca="1" si="0"/>
        <v>R-195</v>
      </c>
      <c r="I10" s="43" t="str">
        <f t="shared" ca="1" si="0"/>
        <v/>
      </c>
      <c r="J10" s="43" t="str">
        <f t="shared" ca="1" si="0"/>
        <v/>
      </c>
      <c r="K10" s="43" t="str">
        <f t="shared" ca="1" si="0"/>
        <v/>
      </c>
      <c r="L10" s="43" t="str">
        <f t="shared" ca="1" si="0"/>
        <v/>
      </c>
      <c r="M10" s="43" t="str">
        <f t="shared" ca="1" si="0"/>
        <v/>
      </c>
      <c r="N10" s="43" t="str">
        <f t="shared" ca="1" si="0"/>
        <v/>
      </c>
      <c r="O10" s="43" t="str">
        <f t="shared" ca="1" si="1"/>
        <v>R-195</v>
      </c>
      <c r="P10" s="44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R195:R202</v>
      </c>
    </row>
    <row r="11" spans="1:16" ht="15.6" thickTop="1" thickBot="1" x14ac:dyDescent="0.35">
      <c r="A11" s="45" t="str">
        <f>IFERROR(IF(Datos!$A11="","",Idiomas!$A$12&amp;" "&amp;ROW()-1),"")</f>
        <v>Tarea 10</v>
      </c>
      <c r="B11" s="46">
        <f>IFERROR(MATCH(Datos!$A11,Configura!$B$9:$B$18,0),0)</f>
        <v>4</v>
      </c>
      <c r="C11" s="46">
        <f>IFERROR(MATCH(Datos!$B11,Configura!$D$9:$D$11,0),0)</f>
        <v>3</v>
      </c>
      <c r="D11" s="46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47" t="str">
        <f t="shared" ca="1" si="0"/>
        <v/>
      </c>
      <c r="F11" s="47" t="str">
        <f t="shared" ca="1" si="0"/>
        <v/>
      </c>
      <c r="G11" s="47" t="str">
        <f t="shared" ca="1" si="0"/>
        <v/>
      </c>
      <c r="H11" s="47" t="str">
        <f t="shared" ca="1" si="0"/>
        <v>R-186</v>
      </c>
      <c r="I11" s="47" t="str">
        <f t="shared" ca="1" si="0"/>
        <v/>
      </c>
      <c r="J11" s="47" t="str">
        <f t="shared" ca="1" si="0"/>
        <v/>
      </c>
      <c r="K11" s="47" t="str">
        <f t="shared" ca="1" si="0"/>
        <v/>
      </c>
      <c r="L11" s="47" t="str">
        <f t="shared" ca="1" si="0"/>
        <v/>
      </c>
      <c r="M11" s="47" t="str">
        <f t="shared" ca="1" si="0"/>
        <v/>
      </c>
      <c r="N11" s="47" t="str">
        <f t="shared" ca="1" si="0"/>
        <v/>
      </c>
      <c r="O11" s="47" t="str">
        <f t="shared" ca="1" si="1"/>
        <v>R-186</v>
      </c>
      <c r="P11" s="48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R186:R193</v>
      </c>
    </row>
    <row r="12" spans="1:16" ht="15.6" thickTop="1" thickBot="1" x14ac:dyDescent="0.35">
      <c r="A12" s="41" t="str">
        <f>IFERROR(IF(Datos!$A12="","",Idiomas!$A$12&amp;" "&amp;ROW()-1),"")</f>
        <v>Tarea 11</v>
      </c>
      <c r="B12" s="42">
        <f>IFERROR(MATCH(Datos!$A12,Configura!$B$9:$B$18,0),0)</f>
        <v>4</v>
      </c>
      <c r="C12" s="42">
        <f>IFERROR(MATCH(Datos!$B12,Configura!$D$9:$D$11,0),0)</f>
        <v>2</v>
      </c>
      <c r="D12" s="42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43" t="str">
        <f t="shared" ref="E12:N21" ca="1" si="2">IFERROR(E$1&amp;"-"&amp;MATCH($A12&amp;":",INDIRECT("KANBAN!"&amp;E$1&amp;":"&amp;E$1),0),"")</f>
        <v/>
      </c>
      <c r="F12" s="43" t="str">
        <f t="shared" ca="1" si="2"/>
        <v/>
      </c>
      <c r="G12" s="43" t="str">
        <f t="shared" ca="1" si="2"/>
        <v/>
      </c>
      <c r="H12" s="43" t="str">
        <f t="shared" ca="1" si="2"/>
        <v>R-177</v>
      </c>
      <c r="I12" s="43" t="str">
        <f t="shared" ca="1" si="2"/>
        <v/>
      </c>
      <c r="J12" s="43" t="str">
        <f t="shared" ca="1" si="2"/>
        <v/>
      </c>
      <c r="K12" s="43" t="str">
        <f t="shared" ca="1" si="2"/>
        <v/>
      </c>
      <c r="L12" s="43" t="str">
        <f t="shared" ca="1" si="2"/>
        <v/>
      </c>
      <c r="M12" s="43" t="str">
        <f t="shared" ca="1" si="2"/>
        <v/>
      </c>
      <c r="N12" s="43" t="str">
        <f t="shared" ca="1" si="2"/>
        <v/>
      </c>
      <c r="O12" s="43" t="str">
        <f t="shared" ca="1" si="1"/>
        <v>R-177</v>
      </c>
      <c r="P12" s="44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R177:R184</v>
      </c>
    </row>
    <row r="13" spans="1:16" ht="15.6" thickTop="1" thickBot="1" x14ac:dyDescent="0.35">
      <c r="A13" s="45" t="str">
        <f>IFERROR(IF(Datos!$A13="","",Idiomas!$A$12&amp;" "&amp;ROW()-1),"")</f>
        <v>Tarea 12</v>
      </c>
      <c r="B13" s="46">
        <f>IFERROR(MATCH(Datos!$A13,Configura!$B$9:$B$18,0),0)</f>
        <v>4</v>
      </c>
      <c r="C13" s="46">
        <f>IFERROR(MATCH(Datos!$B13,Configura!$D$9:$D$11,0),0)</f>
        <v>3</v>
      </c>
      <c r="D13" s="46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47" t="str">
        <f t="shared" ca="1" si="2"/>
        <v/>
      </c>
      <c r="F13" s="47" t="str">
        <f t="shared" ca="1" si="2"/>
        <v/>
      </c>
      <c r="G13" s="47" t="str">
        <f t="shared" ca="1" si="2"/>
        <v/>
      </c>
      <c r="H13" s="47" t="str">
        <f t="shared" ca="1" si="2"/>
        <v>R-168</v>
      </c>
      <c r="I13" s="47" t="str">
        <f t="shared" ca="1" si="2"/>
        <v/>
      </c>
      <c r="J13" s="47" t="str">
        <f t="shared" ca="1" si="2"/>
        <v/>
      </c>
      <c r="K13" s="47" t="str">
        <f t="shared" ca="1" si="2"/>
        <v/>
      </c>
      <c r="L13" s="47" t="str">
        <f t="shared" ca="1" si="2"/>
        <v/>
      </c>
      <c r="M13" s="47" t="str">
        <f t="shared" ca="1" si="2"/>
        <v/>
      </c>
      <c r="N13" s="47" t="str">
        <f t="shared" ca="1" si="2"/>
        <v/>
      </c>
      <c r="O13" s="47" t="str">
        <f t="shared" ca="1" si="1"/>
        <v>R-168</v>
      </c>
      <c r="P13" s="48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R168:R175</v>
      </c>
    </row>
    <row r="14" spans="1:16" ht="15.6" thickTop="1" thickBot="1" x14ac:dyDescent="0.35">
      <c r="A14" s="41" t="str">
        <f>IFERROR(IF(Datos!$A14="","",Idiomas!$A$12&amp;" "&amp;ROW()-1),"")</f>
        <v>Tarea 13</v>
      </c>
      <c r="B14" s="42">
        <f>IFERROR(MATCH(Datos!$A14,Configura!$B$9:$B$18,0),0)</f>
        <v>4</v>
      </c>
      <c r="C14" s="42">
        <f>IFERROR(MATCH(Datos!$B14,Configura!$D$9:$D$11,0),0)</f>
        <v>2</v>
      </c>
      <c r="D14" s="42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43" t="str">
        <f t="shared" ca="1" si="2"/>
        <v/>
      </c>
      <c r="F14" s="43" t="str">
        <f t="shared" ca="1" si="2"/>
        <v/>
      </c>
      <c r="G14" s="43" t="str">
        <f t="shared" ca="1" si="2"/>
        <v/>
      </c>
      <c r="H14" s="43" t="str">
        <f t="shared" ca="1" si="2"/>
        <v>R-159</v>
      </c>
      <c r="I14" s="43" t="str">
        <f t="shared" ca="1" si="2"/>
        <v/>
      </c>
      <c r="J14" s="43" t="str">
        <f t="shared" ca="1" si="2"/>
        <v/>
      </c>
      <c r="K14" s="43" t="str">
        <f t="shared" ca="1" si="2"/>
        <v/>
      </c>
      <c r="L14" s="43" t="str">
        <f t="shared" ca="1" si="2"/>
        <v/>
      </c>
      <c r="M14" s="43" t="str">
        <f t="shared" ca="1" si="2"/>
        <v/>
      </c>
      <c r="N14" s="43" t="str">
        <f t="shared" ca="1" si="2"/>
        <v/>
      </c>
      <c r="O14" s="43" t="str">
        <f t="shared" ca="1" si="1"/>
        <v>R-159</v>
      </c>
      <c r="P14" s="44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R159:R166</v>
      </c>
    </row>
    <row r="15" spans="1:16" ht="15.6" thickTop="1" thickBot="1" x14ac:dyDescent="0.35">
      <c r="A15" s="45" t="str">
        <f>IFERROR(IF(Datos!$A15="","",Idiomas!$A$12&amp;" "&amp;ROW()-1),"")</f>
        <v>Tarea 14</v>
      </c>
      <c r="B15" s="46">
        <f>IFERROR(MATCH(Datos!$A15,Configura!$B$9:$B$18,0),0)</f>
        <v>4</v>
      </c>
      <c r="C15" s="46">
        <f>IFERROR(MATCH(Datos!$B15,Configura!$D$9:$D$11,0),0)</f>
        <v>2</v>
      </c>
      <c r="D15" s="46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47" t="str">
        <f t="shared" ca="1" si="2"/>
        <v/>
      </c>
      <c r="F15" s="47" t="str">
        <f t="shared" ca="1" si="2"/>
        <v/>
      </c>
      <c r="G15" s="47" t="str">
        <f t="shared" ca="1" si="2"/>
        <v/>
      </c>
      <c r="H15" s="47" t="str">
        <f t="shared" ca="1" si="2"/>
        <v>R-150</v>
      </c>
      <c r="I15" s="47" t="str">
        <f t="shared" ca="1" si="2"/>
        <v/>
      </c>
      <c r="J15" s="47" t="str">
        <f t="shared" ca="1" si="2"/>
        <v/>
      </c>
      <c r="K15" s="47" t="str">
        <f t="shared" ca="1" si="2"/>
        <v/>
      </c>
      <c r="L15" s="47" t="str">
        <f t="shared" ca="1" si="2"/>
        <v/>
      </c>
      <c r="M15" s="47" t="str">
        <f t="shared" ca="1" si="2"/>
        <v/>
      </c>
      <c r="N15" s="47" t="str">
        <f t="shared" ca="1" si="2"/>
        <v/>
      </c>
      <c r="O15" s="47" t="str">
        <f t="shared" ca="1" si="1"/>
        <v>R-150</v>
      </c>
      <c r="P15" s="48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R150:R157</v>
      </c>
    </row>
    <row r="16" spans="1:16" ht="15.6" thickTop="1" thickBot="1" x14ac:dyDescent="0.35">
      <c r="A16" s="41" t="str">
        <f>IFERROR(IF(Datos!$A16="","",Idiomas!$A$12&amp;" "&amp;ROW()-1),"")</f>
        <v>Tarea 15</v>
      </c>
      <c r="B16" s="42">
        <f>IFERROR(MATCH(Datos!$A16,Configura!$B$9:$B$18,0),0)</f>
        <v>4</v>
      </c>
      <c r="C16" s="42">
        <f>IFERROR(MATCH(Datos!$B16,Configura!$D$9:$D$11,0),0)</f>
        <v>2</v>
      </c>
      <c r="D16" s="42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43" t="str">
        <f t="shared" ca="1" si="2"/>
        <v/>
      </c>
      <c r="F16" s="43" t="str">
        <f t="shared" ca="1" si="2"/>
        <v/>
      </c>
      <c r="G16" s="43" t="str">
        <f t="shared" ca="1" si="2"/>
        <v/>
      </c>
      <c r="H16" s="43" t="str">
        <f t="shared" ca="1" si="2"/>
        <v>R-141</v>
      </c>
      <c r="I16" s="43" t="str">
        <f t="shared" ca="1" si="2"/>
        <v/>
      </c>
      <c r="J16" s="43" t="str">
        <f t="shared" ca="1" si="2"/>
        <v/>
      </c>
      <c r="K16" s="43" t="str">
        <f t="shared" ca="1" si="2"/>
        <v/>
      </c>
      <c r="L16" s="43" t="str">
        <f t="shared" ca="1" si="2"/>
        <v/>
      </c>
      <c r="M16" s="43" t="str">
        <f t="shared" ca="1" si="2"/>
        <v/>
      </c>
      <c r="N16" s="43" t="str">
        <f t="shared" ca="1" si="2"/>
        <v/>
      </c>
      <c r="O16" s="43" t="str">
        <f t="shared" ca="1" si="1"/>
        <v>R-141</v>
      </c>
      <c r="P16" s="44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R141:R148</v>
      </c>
    </row>
    <row r="17" spans="1:16" ht="15.6" thickTop="1" thickBot="1" x14ac:dyDescent="0.35">
      <c r="A17" s="45" t="str">
        <f>IFERROR(IF(Datos!$A17="","",Idiomas!$A$12&amp;" "&amp;ROW()-1),"")</f>
        <v>Tarea 16</v>
      </c>
      <c r="B17" s="46">
        <f>IFERROR(MATCH(Datos!$A17,Configura!$B$9:$B$18,0),0)</f>
        <v>4</v>
      </c>
      <c r="C17" s="46">
        <f>IFERROR(MATCH(Datos!$B17,Configura!$D$9:$D$11,0),0)</f>
        <v>2</v>
      </c>
      <c r="D17" s="46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47" t="str">
        <f t="shared" ca="1" si="2"/>
        <v/>
      </c>
      <c r="F17" s="47" t="str">
        <f t="shared" ca="1" si="2"/>
        <v/>
      </c>
      <c r="G17" s="47" t="str">
        <f t="shared" ca="1" si="2"/>
        <v/>
      </c>
      <c r="H17" s="47" t="str">
        <f t="shared" ca="1" si="2"/>
        <v>R-132</v>
      </c>
      <c r="I17" s="47" t="str">
        <f t="shared" ca="1" si="2"/>
        <v/>
      </c>
      <c r="J17" s="47" t="str">
        <f t="shared" ca="1" si="2"/>
        <v/>
      </c>
      <c r="K17" s="47" t="str">
        <f t="shared" ca="1" si="2"/>
        <v/>
      </c>
      <c r="L17" s="47" t="str">
        <f t="shared" ca="1" si="2"/>
        <v/>
      </c>
      <c r="M17" s="47" t="str">
        <f t="shared" ca="1" si="2"/>
        <v/>
      </c>
      <c r="N17" s="47" t="str">
        <f t="shared" ca="1" si="2"/>
        <v/>
      </c>
      <c r="O17" s="47" t="str">
        <f t="shared" ca="1" si="1"/>
        <v>R-132</v>
      </c>
      <c r="P17" s="48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R132:R139</v>
      </c>
    </row>
    <row r="18" spans="1:16" ht="15.6" thickTop="1" thickBot="1" x14ac:dyDescent="0.35">
      <c r="A18" s="41" t="str">
        <f>IFERROR(IF(Datos!$A18="","",Idiomas!$A$12&amp;" "&amp;ROW()-1),"")</f>
        <v>Tarea 17</v>
      </c>
      <c r="B18" s="42">
        <f>IFERROR(MATCH(Datos!$A18,Configura!$B$9:$B$18,0),0)</f>
        <v>4</v>
      </c>
      <c r="C18" s="42">
        <f>IFERROR(MATCH(Datos!$B18,Configura!$D$9:$D$11,0),0)</f>
        <v>1</v>
      </c>
      <c r="D18" s="42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43" t="str">
        <f t="shared" ca="1" si="2"/>
        <v/>
      </c>
      <c r="F18" s="43" t="str">
        <f t="shared" ca="1" si="2"/>
        <v/>
      </c>
      <c r="G18" s="43" t="str">
        <f t="shared" ca="1" si="2"/>
        <v/>
      </c>
      <c r="H18" s="43" t="str">
        <f t="shared" ca="1" si="2"/>
        <v>R-123</v>
      </c>
      <c r="I18" s="43" t="str">
        <f t="shared" ca="1" si="2"/>
        <v/>
      </c>
      <c r="J18" s="43" t="str">
        <f t="shared" ca="1" si="2"/>
        <v/>
      </c>
      <c r="K18" s="43" t="str">
        <f t="shared" ca="1" si="2"/>
        <v/>
      </c>
      <c r="L18" s="43" t="str">
        <f t="shared" ca="1" si="2"/>
        <v/>
      </c>
      <c r="M18" s="43" t="str">
        <f t="shared" ca="1" si="2"/>
        <v/>
      </c>
      <c r="N18" s="43" t="str">
        <f t="shared" ca="1" si="2"/>
        <v/>
      </c>
      <c r="O18" s="43" t="str">
        <f t="shared" ca="1" si="1"/>
        <v>R-123</v>
      </c>
      <c r="P18" s="44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R123:R130</v>
      </c>
    </row>
    <row r="19" spans="1:16" ht="15.6" thickTop="1" thickBot="1" x14ac:dyDescent="0.35">
      <c r="A19" s="45" t="str">
        <f>IFERROR(IF(Datos!$A19="","",Idiomas!$A$12&amp;" "&amp;ROW()-1),"")</f>
        <v>Tarea 18</v>
      </c>
      <c r="B19" s="46">
        <f>IFERROR(MATCH(Datos!$A19,Configura!$B$9:$B$18,0),0)</f>
        <v>4</v>
      </c>
      <c r="C19" s="46">
        <f>IFERROR(MATCH(Datos!$B19,Configura!$D$9:$D$11,0),0)</f>
        <v>2</v>
      </c>
      <c r="D19" s="46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47" t="str">
        <f t="shared" ca="1" si="2"/>
        <v/>
      </c>
      <c r="F19" s="47" t="str">
        <f t="shared" ca="1" si="2"/>
        <v/>
      </c>
      <c r="G19" s="47" t="str">
        <f t="shared" ca="1" si="2"/>
        <v/>
      </c>
      <c r="H19" s="47" t="str">
        <f t="shared" ca="1" si="2"/>
        <v>R-114</v>
      </c>
      <c r="I19" s="47" t="str">
        <f t="shared" ca="1" si="2"/>
        <v/>
      </c>
      <c r="J19" s="47" t="str">
        <f t="shared" ca="1" si="2"/>
        <v/>
      </c>
      <c r="K19" s="47" t="str">
        <f t="shared" ca="1" si="2"/>
        <v/>
      </c>
      <c r="L19" s="47" t="str">
        <f t="shared" ca="1" si="2"/>
        <v/>
      </c>
      <c r="M19" s="47" t="str">
        <f t="shared" ca="1" si="2"/>
        <v/>
      </c>
      <c r="N19" s="47" t="str">
        <f t="shared" ca="1" si="2"/>
        <v/>
      </c>
      <c r="O19" s="47" t="str">
        <f t="shared" ca="1" si="1"/>
        <v>R-114</v>
      </c>
      <c r="P19" s="48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R114:R121</v>
      </c>
    </row>
    <row r="20" spans="1:16" ht="15.6" thickTop="1" thickBot="1" x14ac:dyDescent="0.35">
      <c r="A20" s="41" t="str">
        <f>IFERROR(IF(Datos!$A20="","",Idiomas!$A$12&amp;" "&amp;ROW()-1),"")</f>
        <v>Tarea 19</v>
      </c>
      <c r="B20" s="42">
        <f>IFERROR(MATCH(Datos!$A20,Configura!$B$9:$B$18,0),0)</f>
        <v>4</v>
      </c>
      <c r="C20" s="42">
        <f>IFERROR(MATCH(Datos!$B20,Configura!$D$9:$D$11,0),0)</f>
        <v>2</v>
      </c>
      <c r="D20" s="42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43" t="str">
        <f t="shared" ca="1" si="2"/>
        <v/>
      </c>
      <c r="F20" s="43" t="str">
        <f t="shared" ca="1" si="2"/>
        <v/>
      </c>
      <c r="G20" s="43" t="str">
        <f t="shared" ca="1" si="2"/>
        <v/>
      </c>
      <c r="H20" s="43" t="str">
        <f t="shared" ca="1" si="2"/>
        <v>R-105</v>
      </c>
      <c r="I20" s="43" t="str">
        <f t="shared" ca="1" si="2"/>
        <v/>
      </c>
      <c r="J20" s="43" t="str">
        <f t="shared" ca="1" si="2"/>
        <v/>
      </c>
      <c r="K20" s="43" t="str">
        <f t="shared" ca="1" si="2"/>
        <v/>
      </c>
      <c r="L20" s="43" t="str">
        <f t="shared" ca="1" si="2"/>
        <v/>
      </c>
      <c r="M20" s="43" t="str">
        <f t="shared" ca="1" si="2"/>
        <v/>
      </c>
      <c r="N20" s="43" t="str">
        <f t="shared" ca="1" si="2"/>
        <v/>
      </c>
      <c r="O20" s="43" t="str">
        <f t="shared" ca="1" si="1"/>
        <v>R-105</v>
      </c>
      <c r="P20" s="44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R105:R112</v>
      </c>
    </row>
    <row r="21" spans="1:16" ht="15.6" thickTop="1" thickBot="1" x14ac:dyDescent="0.35">
      <c r="A21" s="45" t="str">
        <f>IFERROR(IF(Datos!$A21="","",Idiomas!$A$12&amp;" "&amp;ROW()-1),"")</f>
        <v>Tarea 20</v>
      </c>
      <c r="B21" s="46">
        <f>IFERROR(MATCH(Datos!$A21,Configura!$B$9:$B$18,0),0)</f>
        <v>4</v>
      </c>
      <c r="C21" s="46">
        <f>IFERROR(MATCH(Datos!$B21,Configura!$D$9:$D$11,0),0)</f>
        <v>3</v>
      </c>
      <c r="D21" s="46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47" t="str">
        <f t="shared" ca="1" si="2"/>
        <v/>
      </c>
      <c r="F21" s="47" t="str">
        <f t="shared" ca="1" si="2"/>
        <v/>
      </c>
      <c r="G21" s="47" t="str">
        <f t="shared" ca="1" si="2"/>
        <v/>
      </c>
      <c r="H21" s="47" t="str">
        <f t="shared" ca="1" si="2"/>
        <v>R-96</v>
      </c>
      <c r="I21" s="47" t="str">
        <f t="shared" ca="1" si="2"/>
        <v/>
      </c>
      <c r="J21" s="47" t="str">
        <f t="shared" ca="1" si="2"/>
        <v/>
      </c>
      <c r="K21" s="47" t="str">
        <f t="shared" ca="1" si="2"/>
        <v/>
      </c>
      <c r="L21" s="47" t="str">
        <f t="shared" ca="1" si="2"/>
        <v/>
      </c>
      <c r="M21" s="47" t="str">
        <f t="shared" ca="1" si="2"/>
        <v/>
      </c>
      <c r="N21" s="47" t="str">
        <f t="shared" ca="1" si="2"/>
        <v/>
      </c>
      <c r="O21" s="47" t="str">
        <f t="shared" ca="1" si="1"/>
        <v>R-96</v>
      </c>
      <c r="P21" s="48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R96:R103</v>
      </c>
    </row>
    <row r="22" spans="1:16" ht="15.6" thickTop="1" thickBot="1" x14ac:dyDescent="0.35">
      <c r="A22" s="41" t="str">
        <f>IFERROR(IF(Datos!$A22="","",Idiomas!$A$12&amp;" "&amp;ROW()-1),"")</f>
        <v>Tarea 21</v>
      </c>
      <c r="B22" s="42">
        <f>IFERROR(MATCH(Datos!$A22,Configura!$B$9:$B$18,0),0)</f>
        <v>4</v>
      </c>
      <c r="C22" s="42">
        <f>IFERROR(MATCH(Datos!$B22,Configura!$D$9:$D$11,0),0)</f>
        <v>2</v>
      </c>
      <c r="D22" s="42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43" t="str">
        <f t="shared" ref="E22:N31" ca="1" si="3">IFERROR(E$1&amp;"-"&amp;MATCH($A22&amp;":",INDIRECT("KANBAN!"&amp;E$1&amp;":"&amp;E$1),0),"")</f>
        <v/>
      </c>
      <c r="F22" s="43" t="str">
        <f t="shared" ca="1" si="3"/>
        <v/>
      </c>
      <c r="G22" s="43" t="str">
        <f t="shared" ca="1" si="3"/>
        <v/>
      </c>
      <c r="H22" s="43" t="str">
        <f t="shared" ca="1" si="3"/>
        <v>R-87</v>
      </c>
      <c r="I22" s="43" t="str">
        <f t="shared" ca="1" si="3"/>
        <v/>
      </c>
      <c r="J22" s="43" t="str">
        <f t="shared" ca="1" si="3"/>
        <v/>
      </c>
      <c r="K22" s="43" t="str">
        <f t="shared" ca="1" si="3"/>
        <v/>
      </c>
      <c r="L22" s="43" t="str">
        <f t="shared" ca="1" si="3"/>
        <v/>
      </c>
      <c r="M22" s="43" t="str">
        <f t="shared" ca="1" si="3"/>
        <v/>
      </c>
      <c r="N22" s="43" t="str">
        <f t="shared" ca="1" si="3"/>
        <v/>
      </c>
      <c r="O22" s="43" t="str">
        <f t="shared" ca="1" si="1"/>
        <v>R-87</v>
      </c>
      <c r="P22" s="44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R87:R94</v>
      </c>
    </row>
    <row r="23" spans="1:16" ht="15.6" thickTop="1" thickBot="1" x14ac:dyDescent="0.35">
      <c r="A23" s="45" t="str">
        <f>IFERROR(IF(Datos!$A23="","",Idiomas!$A$12&amp;" "&amp;ROW()-1),"")</f>
        <v>Tarea 22</v>
      </c>
      <c r="B23" s="46">
        <f>IFERROR(MATCH(Datos!$A23,Configura!$B$9:$B$18,0),0)</f>
        <v>4</v>
      </c>
      <c r="C23" s="46">
        <f>IFERROR(MATCH(Datos!$B23,Configura!$D$9:$D$11,0),0)</f>
        <v>2</v>
      </c>
      <c r="D23" s="46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47" t="str">
        <f t="shared" ca="1" si="3"/>
        <v/>
      </c>
      <c r="F23" s="47" t="str">
        <f t="shared" ca="1" si="3"/>
        <v/>
      </c>
      <c r="G23" s="47" t="str">
        <f t="shared" ca="1" si="3"/>
        <v/>
      </c>
      <c r="H23" s="47" t="str">
        <f t="shared" ca="1" si="3"/>
        <v>R-78</v>
      </c>
      <c r="I23" s="47" t="str">
        <f t="shared" ca="1" si="3"/>
        <v/>
      </c>
      <c r="J23" s="47" t="str">
        <f t="shared" ca="1" si="3"/>
        <v/>
      </c>
      <c r="K23" s="47" t="str">
        <f t="shared" ca="1" si="3"/>
        <v/>
      </c>
      <c r="L23" s="47" t="str">
        <f t="shared" ca="1" si="3"/>
        <v/>
      </c>
      <c r="M23" s="47" t="str">
        <f t="shared" ca="1" si="3"/>
        <v/>
      </c>
      <c r="N23" s="47" t="str">
        <f t="shared" ca="1" si="3"/>
        <v/>
      </c>
      <c r="O23" s="47" t="str">
        <f t="shared" ca="1" si="1"/>
        <v>R-78</v>
      </c>
      <c r="P23" s="48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R78:R85</v>
      </c>
    </row>
    <row r="24" spans="1:16" ht="15.6" thickTop="1" thickBot="1" x14ac:dyDescent="0.35">
      <c r="A24" s="41" t="str">
        <f>IFERROR(IF(Datos!$A24="","",Idiomas!$A$12&amp;" "&amp;ROW()-1),"")</f>
        <v>Tarea 23</v>
      </c>
      <c r="B24" s="42">
        <f>IFERROR(MATCH(Datos!$A24,Configura!$B$9:$B$18,0),0)</f>
        <v>4</v>
      </c>
      <c r="C24" s="42">
        <f>IFERROR(MATCH(Datos!$B24,Configura!$D$9:$D$11,0),0)</f>
        <v>1</v>
      </c>
      <c r="D24" s="42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43" t="str">
        <f t="shared" ca="1" si="3"/>
        <v/>
      </c>
      <c r="F24" s="43" t="str">
        <f t="shared" ca="1" si="3"/>
        <v/>
      </c>
      <c r="G24" s="43" t="str">
        <f t="shared" ca="1" si="3"/>
        <v/>
      </c>
      <c r="H24" s="43" t="str">
        <f t="shared" ca="1" si="3"/>
        <v>R-69</v>
      </c>
      <c r="I24" s="43" t="str">
        <f t="shared" ca="1" si="3"/>
        <v/>
      </c>
      <c r="J24" s="43" t="str">
        <f t="shared" ca="1" si="3"/>
        <v/>
      </c>
      <c r="K24" s="43" t="str">
        <f t="shared" ca="1" si="3"/>
        <v/>
      </c>
      <c r="L24" s="43" t="str">
        <f t="shared" ca="1" si="3"/>
        <v/>
      </c>
      <c r="M24" s="43" t="str">
        <f t="shared" ca="1" si="3"/>
        <v/>
      </c>
      <c r="N24" s="43" t="str">
        <f t="shared" ca="1" si="3"/>
        <v/>
      </c>
      <c r="O24" s="43" t="str">
        <f t="shared" ca="1" si="1"/>
        <v>R-69</v>
      </c>
      <c r="P24" s="44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R69:R76</v>
      </c>
    </row>
    <row r="25" spans="1:16" ht="15.6" thickTop="1" thickBot="1" x14ac:dyDescent="0.35">
      <c r="A25" s="45" t="str">
        <f>IFERROR(IF(Datos!$A25="","",Idiomas!$A$12&amp;" "&amp;ROW()-1),"")</f>
        <v>Tarea 24</v>
      </c>
      <c r="B25" s="46">
        <f>IFERROR(MATCH(Datos!$A25,Configura!$B$9:$B$18,0),0)</f>
        <v>4</v>
      </c>
      <c r="C25" s="46">
        <f>IFERROR(MATCH(Datos!$B25,Configura!$D$9:$D$11,0),0)</f>
        <v>1</v>
      </c>
      <c r="D25" s="46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47" t="str">
        <f t="shared" ca="1" si="3"/>
        <v/>
      </c>
      <c r="F25" s="47" t="str">
        <f t="shared" ca="1" si="3"/>
        <v/>
      </c>
      <c r="G25" s="47" t="str">
        <f t="shared" ca="1" si="3"/>
        <v/>
      </c>
      <c r="H25" s="47" t="str">
        <f t="shared" ca="1" si="3"/>
        <v>R-60</v>
      </c>
      <c r="I25" s="47" t="str">
        <f t="shared" ca="1" si="3"/>
        <v/>
      </c>
      <c r="J25" s="47" t="str">
        <f t="shared" ca="1" si="3"/>
        <v/>
      </c>
      <c r="K25" s="47" t="str">
        <f t="shared" ca="1" si="3"/>
        <v/>
      </c>
      <c r="L25" s="47" t="str">
        <f t="shared" ca="1" si="3"/>
        <v/>
      </c>
      <c r="M25" s="47" t="str">
        <f t="shared" ca="1" si="3"/>
        <v/>
      </c>
      <c r="N25" s="47" t="str">
        <f t="shared" ca="1" si="3"/>
        <v/>
      </c>
      <c r="O25" s="47" t="str">
        <f t="shared" ca="1" si="1"/>
        <v>R-60</v>
      </c>
      <c r="P25" s="48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R60:R67</v>
      </c>
    </row>
    <row r="26" spans="1:16" ht="15.6" thickTop="1" thickBot="1" x14ac:dyDescent="0.35">
      <c r="A26" s="41" t="str">
        <f>IFERROR(IF(Datos!$A26="","",Idiomas!$A$12&amp;" "&amp;ROW()-1),"")</f>
        <v>Tarea 25</v>
      </c>
      <c r="B26" s="42">
        <f>IFERROR(MATCH(Datos!$A26,Configura!$B$9:$B$18,0),0)</f>
        <v>4</v>
      </c>
      <c r="C26" s="42">
        <f>IFERROR(MATCH(Datos!$B26,Configura!$D$9:$D$11,0),0)</f>
        <v>2</v>
      </c>
      <c r="D26" s="42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43" t="str">
        <f t="shared" ca="1" si="3"/>
        <v/>
      </c>
      <c r="F26" s="43" t="str">
        <f t="shared" ca="1" si="3"/>
        <v/>
      </c>
      <c r="G26" s="43" t="str">
        <f t="shared" ca="1" si="3"/>
        <v/>
      </c>
      <c r="H26" s="43" t="str">
        <f t="shared" ca="1" si="3"/>
        <v>R-51</v>
      </c>
      <c r="I26" s="43" t="str">
        <f t="shared" ca="1" si="3"/>
        <v/>
      </c>
      <c r="J26" s="43" t="str">
        <f t="shared" ca="1" si="3"/>
        <v/>
      </c>
      <c r="K26" s="43" t="str">
        <f t="shared" ca="1" si="3"/>
        <v/>
      </c>
      <c r="L26" s="43" t="str">
        <f t="shared" ca="1" si="3"/>
        <v/>
      </c>
      <c r="M26" s="43" t="str">
        <f t="shared" ca="1" si="3"/>
        <v/>
      </c>
      <c r="N26" s="43" t="str">
        <f t="shared" ca="1" si="3"/>
        <v/>
      </c>
      <c r="O26" s="43" t="str">
        <f t="shared" ca="1" si="1"/>
        <v>R-51</v>
      </c>
      <c r="P26" s="44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R51:R58</v>
      </c>
    </row>
    <row r="27" spans="1:16" ht="15.6" thickTop="1" thickBot="1" x14ac:dyDescent="0.35">
      <c r="A27" s="45" t="str">
        <f>IFERROR(IF(Datos!$A27="","",Idiomas!$A$12&amp;" "&amp;ROW()-1),"")</f>
        <v>Tarea 26</v>
      </c>
      <c r="B27" s="46">
        <f>IFERROR(MATCH(Datos!$A27,Configura!$B$9:$B$18,0),0)</f>
        <v>4</v>
      </c>
      <c r="C27" s="46">
        <f>IFERROR(MATCH(Datos!$B27,Configura!$D$9:$D$11,0),0)</f>
        <v>2</v>
      </c>
      <c r="D27" s="46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47" t="str">
        <f t="shared" ca="1" si="3"/>
        <v/>
      </c>
      <c r="F27" s="47" t="str">
        <f t="shared" ca="1" si="3"/>
        <v/>
      </c>
      <c r="G27" s="47" t="str">
        <f t="shared" ca="1" si="3"/>
        <v/>
      </c>
      <c r="H27" s="47" t="str">
        <f t="shared" ca="1" si="3"/>
        <v>R-42</v>
      </c>
      <c r="I27" s="47" t="str">
        <f t="shared" ca="1" si="3"/>
        <v/>
      </c>
      <c r="J27" s="47" t="str">
        <f t="shared" ca="1" si="3"/>
        <v/>
      </c>
      <c r="K27" s="47" t="str">
        <f t="shared" ca="1" si="3"/>
        <v/>
      </c>
      <c r="L27" s="47" t="str">
        <f t="shared" ca="1" si="3"/>
        <v/>
      </c>
      <c r="M27" s="47" t="str">
        <f t="shared" ca="1" si="3"/>
        <v/>
      </c>
      <c r="N27" s="47" t="str">
        <f t="shared" ca="1" si="3"/>
        <v/>
      </c>
      <c r="O27" s="47" t="str">
        <f t="shared" ca="1" si="1"/>
        <v>R-42</v>
      </c>
      <c r="P27" s="48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R42:R49</v>
      </c>
    </row>
    <row r="28" spans="1:16" ht="15.6" thickTop="1" thickBot="1" x14ac:dyDescent="0.35">
      <c r="A28" s="41" t="str">
        <f>IFERROR(IF(Datos!$A28="","",Idiomas!$A$12&amp;" "&amp;ROW()-1),"")</f>
        <v>Tarea 27</v>
      </c>
      <c r="B28" s="42">
        <f>IFERROR(MATCH(Datos!$A28,Configura!$B$9:$B$18,0),0)</f>
        <v>4</v>
      </c>
      <c r="C28" s="42">
        <f>IFERROR(MATCH(Datos!$B28,Configura!$D$9:$D$11,0),0)</f>
        <v>2</v>
      </c>
      <c r="D28" s="42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43" t="str">
        <f t="shared" ca="1" si="3"/>
        <v/>
      </c>
      <c r="F28" s="43" t="str">
        <f t="shared" ca="1" si="3"/>
        <v/>
      </c>
      <c r="G28" s="43" t="str">
        <f t="shared" ca="1" si="3"/>
        <v/>
      </c>
      <c r="H28" s="43" t="str">
        <f t="shared" ca="1" si="3"/>
        <v>R-33</v>
      </c>
      <c r="I28" s="43" t="str">
        <f t="shared" ca="1" si="3"/>
        <v/>
      </c>
      <c r="J28" s="43" t="str">
        <f t="shared" ca="1" si="3"/>
        <v/>
      </c>
      <c r="K28" s="43" t="str">
        <f t="shared" ca="1" si="3"/>
        <v/>
      </c>
      <c r="L28" s="43" t="str">
        <f t="shared" ca="1" si="3"/>
        <v/>
      </c>
      <c r="M28" s="43" t="str">
        <f t="shared" ca="1" si="3"/>
        <v/>
      </c>
      <c r="N28" s="43" t="str">
        <f t="shared" ca="1" si="3"/>
        <v/>
      </c>
      <c r="O28" s="43" t="str">
        <f t="shared" ca="1" si="1"/>
        <v>R-33</v>
      </c>
      <c r="P28" s="44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R33:R40</v>
      </c>
    </row>
    <row r="29" spans="1:16" ht="15.6" thickTop="1" thickBot="1" x14ac:dyDescent="0.35">
      <c r="A29" s="45" t="str">
        <f>IFERROR(IF(Datos!$A29="","",Idiomas!$A$12&amp;" "&amp;ROW()-1),"")</f>
        <v>Tarea 28</v>
      </c>
      <c r="B29" s="46">
        <f>IFERROR(MATCH(Datos!$A29,Configura!$B$9:$B$18,0),0)</f>
        <v>4</v>
      </c>
      <c r="C29" s="46">
        <f>IFERROR(MATCH(Datos!$B29,Configura!$D$9:$D$11,0),0)</f>
        <v>3</v>
      </c>
      <c r="D29" s="46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47" t="str">
        <f t="shared" ca="1" si="3"/>
        <v/>
      </c>
      <c r="F29" s="47" t="str">
        <f t="shared" ca="1" si="3"/>
        <v/>
      </c>
      <c r="G29" s="47" t="str">
        <f t="shared" ca="1" si="3"/>
        <v/>
      </c>
      <c r="H29" s="47" t="str">
        <f t="shared" ca="1" si="3"/>
        <v>R-24</v>
      </c>
      <c r="I29" s="47" t="str">
        <f t="shared" ca="1" si="3"/>
        <v/>
      </c>
      <c r="J29" s="47" t="str">
        <f t="shared" ca="1" si="3"/>
        <v/>
      </c>
      <c r="K29" s="47" t="str">
        <f t="shared" ca="1" si="3"/>
        <v/>
      </c>
      <c r="L29" s="47" t="str">
        <f t="shared" ca="1" si="3"/>
        <v/>
      </c>
      <c r="M29" s="47" t="str">
        <f t="shared" ca="1" si="3"/>
        <v/>
      </c>
      <c r="N29" s="47" t="str">
        <f t="shared" ca="1" si="3"/>
        <v/>
      </c>
      <c r="O29" s="47" t="str">
        <f t="shared" ca="1" si="1"/>
        <v>R-24</v>
      </c>
      <c r="P29" s="48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R24:R31</v>
      </c>
    </row>
    <row r="30" spans="1:16" ht="15.6" thickTop="1" thickBot="1" x14ac:dyDescent="0.35">
      <c r="A30" s="41" t="str">
        <f>IFERROR(IF(Datos!$A30="","",Idiomas!$A$12&amp;" "&amp;ROW()-1),"")</f>
        <v>Tarea 29</v>
      </c>
      <c r="B30" s="42">
        <f>IFERROR(MATCH(Datos!$A30,Configura!$B$9:$B$18,0),0)</f>
        <v>4</v>
      </c>
      <c r="C30" s="42">
        <f>IFERROR(MATCH(Datos!$B30,Configura!$D$9:$D$11,0),0)</f>
        <v>1</v>
      </c>
      <c r="D30" s="42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43" t="str">
        <f t="shared" ca="1" si="3"/>
        <v/>
      </c>
      <c r="F30" s="43" t="str">
        <f t="shared" ca="1" si="3"/>
        <v/>
      </c>
      <c r="G30" s="43" t="str">
        <f t="shared" ca="1" si="3"/>
        <v/>
      </c>
      <c r="H30" s="43" t="str">
        <f t="shared" ca="1" si="3"/>
        <v>R-15</v>
      </c>
      <c r="I30" s="43" t="str">
        <f t="shared" ca="1" si="3"/>
        <v/>
      </c>
      <c r="J30" s="43" t="str">
        <f t="shared" ca="1" si="3"/>
        <v/>
      </c>
      <c r="K30" s="43" t="str">
        <f t="shared" ca="1" si="3"/>
        <v/>
      </c>
      <c r="L30" s="43" t="str">
        <f t="shared" ca="1" si="3"/>
        <v/>
      </c>
      <c r="M30" s="43" t="str">
        <f t="shared" ca="1" si="3"/>
        <v/>
      </c>
      <c r="N30" s="43" t="str">
        <f t="shared" ca="1" si="3"/>
        <v/>
      </c>
      <c r="O30" s="43" t="str">
        <f t="shared" ca="1" si="1"/>
        <v>R-15</v>
      </c>
      <c r="P30" s="44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R15:R22</v>
      </c>
    </row>
    <row r="31" spans="1:16" ht="15.6" thickTop="1" thickBot="1" x14ac:dyDescent="0.35">
      <c r="A31" s="45" t="str">
        <f>IFERROR(IF(Datos!$A31="","",Idiomas!$A$12&amp;" "&amp;ROW()-1),"")</f>
        <v/>
      </c>
      <c r="B31" s="46">
        <f>IFERROR(MATCH(Datos!$A31,Configura!$B$9:$B$18,0),0)</f>
        <v>0</v>
      </c>
      <c r="C31" s="46">
        <f>IFERROR(MATCH(Datos!$B31,Configura!$D$9:$D$11,0),0)</f>
        <v>0</v>
      </c>
      <c r="D31" s="46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47" t="str">
        <f t="shared" ca="1" si="3"/>
        <v/>
      </c>
      <c r="F31" s="47" t="str">
        <f t="shared" ca="1" si="3"/>
        <v/>
      </c>
      <c r="G31" s="47" t="str">
        <f t="shared" ca="1" si="3"/>
        <v/>
      </c>
      <c r="H31" s="47" t="str">
        <f t="shared" ca="1" si="3"/>
        <v/>
      </c>
      <c r="I31" s="47" t="str">
        <f t="shared" ca="1" si="3"/>
        <v/>
      </c>
      <c r="J31" s="47" t="str">
        <f t="shared" ca="1" si="3"/>
        <v/>
      </c>
      <c r="K31" s="47" t="str">
        <f t="shared" ca="1" si="3"/>
        <v/>
      </c>
      <c r="L31" s="47" t="str">
        <f t="shared" ca="1" si="3"/>
        <v/>
      </c>
      <c r="M31" s="47" t="str">
        <f t="shared" ca="1" si="3"/>
        <v/>
      </c>
      <c r="N31" s="47" t="str">
        <f t="shared" ca="1" si="3"/>
        <v/>
      </c>
      <c r="O31" s="47" t="str">
        <f t="shared" ca="1" si="1"/>
        <v/>
      </c>
      <c r="P31" s="48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41" t="str">
        <f>IFERROR(IF(Datos!$A32="","",Idiomas!$A$12&amp;" "&amp;ROW()-1),"")</f>
        <v/>
      </c>
      <c r="B32" s="42">
        <f>IFERROR(MATCH(Datos!$A32,Configura!$B$9:$B$18,0),0)</f>
        <v>0</v>
      </c>
      <c r="C32" s="42">
        <f>IFERROR(MATCH(Datos!$B32,Configura!$D$9:$D$11,0),0)</f>
        <v>0</v>
      </c>
      <c r="D32" s="42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43" t="str">
        <f t="shared" ref="E32:N41" ca="1" si="4">IFERROR(E$1&amp;"-"&amp;MATCH($A32&amp;":",INDIRECT("KANBAN!"&amp;E$1&amp;":"&amp;E$1),0),"")</f>
        <v/>
      </c>
      <c r="F32" s="43" t="str">
        <f t="shared" ca="1" si="4"/>
        <v/>
      </c>
      <c r="G32" s="43" t="str">
        <f t="shared" ca="1" si="4"/>
        <v/>
      </c>
      <c r="H32" s="43" t="str">
        <f t="shared" ca="1" si="4"/>
        <v/>
      </c>
      <c r="I32" s="43" t="str">
        <f t="shared" ca="1" si="4"/>
        <v/>
      </c>
      <c r="J32" s="43" t="str">
        <f t="shared" ca="1" si="4"/>
        <v/>
      </c>
      <c r="K32" s="43" t="str">
        <f t="shared" ca="1" si="4"/>
        <v/>
      </c>
      <c r="L32" s="43" t="str">
        <f t="shared" ca="1" si="4"/>
        <v/>
      </c>
      <c r="M32" s="43" t="str">
        <f t="shared" ca="1" si="4"/>
        <v/>
      </c>
      <c r="N32" s="43" t="str">
        <f t="shared" ca="1" si="4"/>
        <v/>
      </c>
      <c r="O32" s="43" t="str">
        <f t="shared" ca="1" si="1"/>
        <v/>
      </c>
      <c r="P32" s="44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45" t="str">
        <f>IFERROR(IF(Datos!$A33="","",Idiomas!$A$12&amp;" "&amp;ROW()-1),"")</f>
        <v/>
      </c>
      <c r="B33" s="46">
        <f>IFERROR(MATCH(Datos!$A33,Configura!$B$9:$B$18,0),0)</f>
        <v>0</v>
      </c>
      <c r="C33" s="46">
        <f>IFERROR(MATCH(Datos!$B33,Configura!$D$9:$D$11,0),0)</f>
        <v>0</v>
      </c>
      <c r="D33" s="46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47" t="str">
        <f t="shared" ca="1" si="4"/>
        <v/>
      </c>
      <c r="F33" s="47" t="str">
        <f t="shared" ca="1" si="4"/>
        <v/>
      </c>
      <c r="G33" s="47" t="str">
        <f t="shared" ca="1" si="4"/>
        <v/>
      </c>
      <c r="H33" s="47" t="str">
        <f t="shared" ca="1" si="4"/>
        <v/>
      </c>
      <c r="I33" s="47" t="str">
        <f t="shared" ca="1" si="4"/>
        <v/>
      </c>
      <c r="J33" s="47" t="str">
        <f t="shared" ca="1" si="4"/>
        <v/>
      </c>
      <c r="K33" s="47" t="str">
        <f t="shared" ca="1" si="4"/>
        <v/>
      </c>
      <c r="L33" s="47" t="str">
        <f t="shared" ca="1" si="4"/>
        <v/>
      </c>
      <c r="M33" s="47" t="str">
        <f t="shared" ca="1" si="4"/>
        <v/>
      </c>
      <c r="N33" s="47" t="str">
        <f t="shared" ca="1" si="4"/>
        <v/>
      </c>
      <c r="O33" s="47" t="str">
        <f t="shared" ca="1" si="1"/>
        <v/>
      </c>
      <c r="P33" s="48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41" t="str">
        <f>IFERROR(IF(Datos!$A34="","",Idiomas!$A$12&amp;" "&amp;ROW()-1),"")</f>
        <v/>
      </c>
      <c r="B34" s="42">
        <f>IFERROR(MATCH(Datos!$A34,Configura!$B$9:$B$18,0),0)</f>
        <v>0</v>
      </c>
      <c r="C34" s="42">
        <f>IFERROR(MATCH(Datos!$B34,Configura!$D$9:$D$11,0),0)</f>
        <v>0</v>
      </c>
      <c r="D34" s="42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43" t="str">
        <f t="shared" ca="1" si="4"/>
        <v/>
      </c>
      <c r="F34" s="43" t="str">
        <f t="shared" ca="1" si="4"/>
        <v/>
      </c>
      <c r="G34" s="43" t="str">
        <f t="shared" ca="1" si="4"/>
        <v/>
      </c>
      <c r="H34" s="43" t="str">
        <f t="shared" ca="1" si="4"/>
        <v/>
      </c>
      <c r="I34" s="43" t="str">
        <f t="shared" ca="1" si="4"/>
        <v/>
      </c>
      <c r="J34" s="43" t="str">
        <f t="shared" ca="1" si="4"/>
        <v/>
      </c>
      <c r="K34" s="43" t="str">
        <f t="shared" ca="1" si="4"/>
        <v/>
      </c>
      <c r="L34" s="43" t="str">
        <f t="shared" ca="1" si="4"/>
        <v/>
      </c>
      <c r="M34" s="43" t="str">
        <f t="shared" ca="1" si="4"/>
        <v/>
      </c>
      <c r="N34" s="43" t="str">
        <f t="shared" ca="1" si="4"/>
        <v/>
      </c>
      <c r="O34" s="43" t="str">
        <f t="shared" ref="O34:O65" ca="1" si="5">E34&amp;F34&amp;G34&amp;H34&amp;I34&amp;J34&amp;K34&amp;L34&amp;M34&amp;N34</f>
        <v/>
      </c>
      <c r="P34" s="44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45" t="str">
        <f>IFERROR(IF(Datos!$A35="","",Idiomas!$A$12&amp;" "&amp;ROW()-1),"")</f>
        <v/>
      </c>
      <c r="B35" s="46">
        <f>IFERROR(MATCH(Datos!$A35,Configura!$B$9:$B$18,0),0)</f>
        <v>0</v>
      </c>
      <c r="C35" s="46">
        <f>IFERROR(MATCH(Datos!$B35,Configura!$D$9:$D$11,0),0)</f>
        <v>0</v>
      </c>
      <c r="D35" s="46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47" t="str">
        <f t="shared" ca="1" si="4"/>
        <v/>
      </c>
      <c r="F35" s="47" t="str">
        <f t="shared" ca="1" si="4"/>
        <v/>
      </c>
      <c r="G35" s="47" t="str">
        <f t="shared" ca="1" si="4"/>
        <v/>
      </c>
      <c r="H35" s="47" t="str">
        <f t="shared" ca="1" si="4"/>
        <v/>
      </c>
      <c r="I35" s="47" t="str">
        <f t="shared" ca="1" si="4"/>
        <v/>
      </c>
      <c r="J35" s="47" t="str">
        <f t="shared" ca="1" si="4"/>
        <v/>
      </c>
      <c r="K35" s="47" t="str">
        <f t="shared" ca="1" si="4"/>
        <v/>
      </c>
      <c r="L35" s="47" t="str">
        <f t="shared" ca="1" si="4"/>
        <v/>
      </c>
      <c r="M35" s="47" t="str">
        <f t="shared" ca="1" si="4"/>
        <v/>
      </c>
      <c r="N35" s="47" t="str">
        <f t="shared" ca="1" si="4"/>
        <v/>
      </c>
      <c r="O35" s="47" t="str">
        <f t="shared" ca="1" si="5"/>
        <v/>
      </c>
      <c r="P35" s="48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41" t="str">
        <f>IFERROR(IF(Datos!$A36="","",Idiomas!$A$12&amp;" "&amp;ROW()-1),"")</f>
        <v/>
      </c>
      <c r="B36" s="42">
        <f>IFERROR(MATCH(Datos!$A36,Configura!$B$9:$B$18,0),0)</f>
        <v>0</v>
      </c>
      <c r="C36" s="42">
        <f>IFERROR(MATCH(Datos!$B36,Configura!$D$9:$D$11,0),0)</f>
        <v>0</v>
      </c>
      <c r="D36" s="42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43" t="str">
        <f t="shared" ca="1" si="4"/>
        <v/>
      </c>
      <c r="F36" s="43" t="str">
        <f t="shared" ca="1" si="4"/>
        <v/>
      </c>
      <c r="G36" s="43" t="str">
        <f t="shared" ca="1" si="4"/>
        <v/>
      </c>
      <c r="H36" s="43" t="str">
        <f t="shared" ca="1" si="4"/>
        <v/>
      </c>
      <c r="I36" s="43" t="str">
        <f t="shared" ca="1" si="4"/>
        <v/>
      </c>
      <c r="J36" s="43" t="str">
        <f t="shared" ca="1" si="4"/>
        <v/>
      </c>
      <c r="K36" s="43" t="str">
        <f t="shared" ca="1" si="4"/>
        <v/>
      </c>
      <c r="L36" s="43" t="str">
        <f t="shared" ca="1" si="4"/>
        <v/>
      </c>
      <c r="M36" s="43" t="str">
        <f t="shared" ca="1" si="4"/>
        <v/>
      </c>
      <c r="N36" s="43" t="str">
        <f t="shared" ca="1" si="4"/>
        <v/>
      </c>
      <c r="O36" s="43" t="str">
        <f t="shared" ca="1" si="5"/>
        <v/>
      </c>
      <c r="P36" s="44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45" t="str">
        <f>IFERROR(IF(Datos!$A37="","",Idiomas!$A$12&amp;" "&amp;ROW()-1),"")</f>
        <v/>
      </c>
      <c r="B37" s="46">
        <f>IFERROR(MATCH(Datos!$A37,Configura!$B$9:$B$18,0),0)</f>
        <v>0</v>
      </c>
      <c r="C37" s="46">
        <f>IFERROR(MATCH(Datos!$B37,Configura!$D$9:$D$11,0),0)</f>
        <v>0</v>
      </c>
      <c r="D37" s="46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47" t="str">
        <f t="shared" ca="1" si="4"/>
        <v/>
      </c>
      <c r="F37" s="47" t="str">
        <f t="shared" ca="1" si="4"/>
        <v/>
      </c>
      <c r="G37" s="47" t="str">
        <f t="shared" ca="1" si="4"/>
        <v/>
      </c>
      <c r="H37" s="47" t="str">
        <f t="shared" ca="1" si="4"/>
        <v/>
      </c>
      <c r="I37" s="47" t="str">
        <f t="shared" ca="1" si="4"/>
        <v/>
      </c>
      <c r="J37" s="47" t="str">
        <f t="shared" ca="1" si="4"/>
        <v/>
      </c>
      <c r="K37" s="47" t="str">
        <f t="shared" ca="1" si="4"/>
        <v/>
      </c>
      <c r="L37" s="47" t="str">
        <f t="shared" ca="1" si="4"/>
        <v/>
      </c>
      <c r="M37" s="47" t="str">
        <f t="shared" ca="1" si="4"/>
        <v/>
      </c>
      <c r="N37" s="47" t="str">
        <f t="shared" ca="1" si="4"/>
        <v/>
      </c>
      <c r="O37" s="47" t="str">
        <f t="shared" ca="1" si="5"/>
        <v/>
      </c>
      <c r="P37" s="48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41" t="str">
        <f>IFERROR(IF(Datos!$A38="","",Idiomas!$A$12&amp;" "&amp;ROW()-1),"")</f>
        <v/>
      </c>
      <c r="B38" s="42">
        <f>IFERROR(MATCH(Datos!$A38,Configura!$B$9:$B$18,0),0)</f>
        <v>0</v>
      </c>
      <c r="C38" s="42">
        <f>IFERROR(MATCH(Datos!$B38,Configura!$D$9:$D$11,0),0)</f>
        <v>0</v>
      </c>
      <c r="D38" s="42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43" t="str">
        <f t="shared" ca="1" si="4"/>
        <v/>
      </c>
      <c r="F38" s="43" t="str">
        <f t="shared" ca="1" si="4"/>
        <v/>
      </c>
      <c r="G38" s="43" t="str">
        <f t="shared" ca="1" si="4"/>
        <v/>
      </c>
      <c r="H38" s="43" t="str">
        <f t="shared" ca="1" si="4"/>
        <v/>
      </c>
      <c r="I38" s="43" t="str">
        <f t="shared" ca="1" si="4"/>
        <v/>
      </c>
      <c r="J38" s="43" t="str">
        <f t="shared" ca="1" si="4"/>
        <v/>
      </c>
      <c r="K38" s="43" t="str">
        <f t="shared" ca="1" si="4"/>
        <v/>
      </c>
      <c r="L38" s="43" t="str">
        <f t="shared" ca="1" si="4"/>
        <v/>
      </c>
      <c r="M38" s="43" t="str">
        <f t="shared" ca="1" si="4"/>
        <v/>
      </c>
      <c r="N38" s="43" t="str">
        <f t="shared" ca="1" si="4"/>
        <v/>
      </c>
      <c r="O38" s="43" t="str">
        <f t="shared" ca="1" si="5"/>
        <v/>
      </c>
      <c r="P38" s="44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45" t="str">
        <f>IFERROR(IF(Datos!$A39="","",Idiomas!$A$12&amp;" "&amp;ROW()-1),"")</f>
        <v/>
      </c>
      <c r="B39" s="46">
        <f>IFERROR(MATCH(Datos!$A39,Configura!$B$9:$B$18,0),0)</f>
        <v>0</v>
      </c>
      <c r="C39" s="46">
        <f>IFERROR(MATCH(Datos!$B39,Configura!$D$9:$D$11,0),0)</f>
        <v>0</v>
      </c>
      <c r="D39" s="46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47" t="str">
        <f t="shared" ca="1" si="4"/>
        <v/>
      </c>
      <c r="F39" s="47" t="str">
        <f t="shared" ca="1" si="4"/>
        <v/>
      </c>
      <c r="G39" s="47" t="str">
        <f t="shared" ca="1" si="4"/>
        <v/>
      </c>
      <c r="H39" s="47" t="str">
        <f t="shared" ca="1" si="4"/>
        <v/>
      </c>
      <c r="I39" s="47" t="str">
        <f t="shared" ca="1" si="4"/>
        <v/>
      </c>
      <c r="J39" s="47" t="str">
        <f t="shared" ca="1" si="4"/>
        <v/>
      </c>
      <c r="K39" s="47" t="str">
        <f t="shared" ca="1" si="4"/>
        <v/>
      </c>
      <c r="L39" s="47" t="str">
        <f t="shared" ca="1" si="4"/>
        <v/>
      </c>
      <c r="M39" s="47" t="str">
        <f t="shared" ca="1" si="4"/>
        <v/>
      </c>
      <c r="N39" s="47" t="str">
        <f t="shared" ca="1" si="4"/>
        <v/>
      </c>
      <c r="O39" s="47" t="str">
        <f t="shared" ca="1" si="5"/>
        <v/>
      </c>
      <c r="P39" s="48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41" t="str">
        <f>IFERROR(IF(Datos!$A40="","",Idiomas!$A$12&amp;" "&amp;ROW()-1),"")</f>
        <v/>
      </c>
      <c r="B40" s="42">
        <f>IFERROR(MATCH(Datos!$A40,Configura!$B$9:$B$18,0),0)</f>
        <v>0</v>
      </c>
      <c r="C40" s="42">
        <f>IFERROR(MATCH(Datos!$B40,Configura!$D$9:$D$11,0),0)</f>
        <v>0</v>
      </c>
      <c r="D40" s="42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43" t="str">
        <f t="shared" ca="1" si="4"/>
        <v/>
      </c>
      <c r="F40" s="43" t="str">
        <f t="shared" ca="1" si="4"/>
        <v/>
      </c>
      <c r="G40" s="43" t="str">
        <f t="shared" ca="1" si="4"/>
        <v/>
      </c>
      <c r="H40" s="43" t="str">
        <f t="shared" ca="1" si="4"/>
        <v/>
      </c>
      <c r="I40" s="43" t="str">
        <f t="shared" ca="1" si="4"/>
        <v/>
      </c>
      <c r="J40" s="43" t="str">
        <f t="shared" ca="1" si="4"/>
        <v/>
      </c>
      <c r="K40" s="43" t="str">
        <f t="shared" ca="1" si="4"/>
        <v/>
      </c>
      <c r="L40" s="43" t="str">
        <f t="shared" ca="1" si="4"/>
        <v/>
      </c>
      <c r="M40" s="43" t="str">
        <f t="shared" ca="1" si="4"/>
        <v/>
      </c>
      <c r="N40" s="43" t="str">
        <f t="shared" ca="1" si="4"/>
        <v/>
      </c>
      <c r="O40" s="43" t="str">
        <f t="shared" ca="1" si="5"/>
        <v/>
      </c>
      <c r="P40" s="44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45" t="str">
        <f>IFERROR(IF(Datos!$A41="","",Idiomas!$A$12&amp;" "&amp;ROW()-1),"")</f>
        <v/>
      </c>
      <c r="B41" s="46">
        <f>IFERROR(MATCH(Datos!$A41,Configura!$B$9:$B$18,0),0)</f>
        <v>0</v>
      </c>
      <c r="C41" s="46">
        <f>IFERROR(MATCH(Datos!$B41,Configura!$D$9:$D$11,0),0)</f>
        <v>0</v>
      </c>
      <c r="D41" s="46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47" t="str">
        <f t="shared" ca="1" si="4"/>
        <v/>
      </c>
      <c r="F41" s="47" t="str">
        <f t="shared" ca="1" si="4"/>
        <v/>
      </c>
      <c r="G41" s="47" t="str">
        <f t="shared" ca="1" si="4"/>
        <v/>
      </c>
      <c r="H41" s="47" t="str">
        <f t="shared" ca="1" si="4"/>
        <v/>
      </c>
      <c r="I41" s="47" t="str">
        <f t="shared" ca="1" si="4"/>
        <v/>
      </c>
      <c r="J41" s="47" t="str">
        <f t="shared" ca="1" si="4"/>
        <v/>
      </c>
      <c r="K41" s="47" t="str">
        <f t="shared" ca="1" si="4"/>
        <v/>
      </c>
      <c r="L41" s="47" t="str">
        <f t="shared" ca="1" si="4"/>
        <v/>
      </c>
      <c r="M41" s="47" t="str">
        <f t="shared" ca="1" si="4"/>
        <v/>
      </c>
      <c r="N41" s="47" t="str">
        <f t="shared" ca="1" si="4"/>
        <v/>
      </c>
      <c r="O41" s="47" t="str">
        <f t="shared" ca="1" si="5"/>
        <v/>
      </c>
      <c r="P41" s="48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41" t="str">
        <f>IFERROR(IF(Datos!$A42="","",Idiomas!$A$12&amp;" "&amp;ROW()-1),"")</f>
        <v/>
      </c>
      <c r="B42" s="42">
        <f>IFERROR(MATCH(Datos!$A42,Configura!$B$9:$B$18,0),0)</f>
        <v>0</v>
      </c>
      <c r="C42" s="42">
        <f>IFERROR(MATCH(Datos!$B42,Configura!$D$9:$D$11,0),0)</f>
        <v>0</v>
      </c>
      <c r="D42" s="42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43" t="str">
        <f t="shared" ref="E42:N51" ca="1" si="6">IFERROR(E$1&amp;"-"&amp;MATCH($A42&amp;":",INDIRECT("KANBAN!"&amp;E$1&amp;":"&amp;E$1),0),"")</f>
        <v/>
      </c>
      <c r="F42" s="43" t="str">
        <f t="shared" ca="1" si="6"/>
        <v/>
      </c>
      <c r="G42" s="43" t="str">
        <f t="shared" ca="1" si="6"/>
        <v/>
      </c>
      <c r="H42" s="43" t="str">
        <f t="shared" ca="1" si="6"/>
        <v/>
      </c>
      <c r="I42" s="43" t="str">
        <f t="shared" ca="1" si="6"/>
        <v/>
      </c>
      <c r="J42" s="43" t="str">
        <f t="shared" ca="1" si="6"/>
        <v/>
      </c>
      <c r="K42" s="43" t="str">
        <f t="shared" ca="1" si="6"/>
        <v/>
      </c>
      <c r="L42" s="43" t="str">
        <f t="shared" ca="1" si="6"/>
        <v/>
      </c>
      <c r="M42" s="43" t="str">
        <f t="shared" ca="1" si="6"/>
        <v/>
      </c>
      <c r="N42" s="43" t="str">
        <f t="shared" ca="1" si="6"/>
        <v/>
      </c>
      <c r="O42" s="43" t="str">
        <f t="shared" ca="1" si="5"/>
        <v/>
      </c>
      <c r="P42" s="44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45" t="str">
        <f>IFERROR(IF(Datos!$A43="","",Idiomas!$A$12&amp;" "&amp;ROW()-1),"")</f>
        <v/>
      </c>
      <c r="B43" s="46">
        <f>IFERROR(MATCH(Datos!$A43,Configura!$B$9:$B$18,0),0)</f>
        <v>0</v>
      </c>
      <c r="C43" s="46">
        <f>IFERROR(MATCH(Datos!$B43,Configura!$D$9:$D$11,0),0)</f>
        <v>0</v>
      </c>
      <c r="D43" s="46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47" t="str">
        <f t="shared" ca="1" si="6"/>
        <v/>
      </c>
      <c r="F43" s="47" t="str">
        <f t="shared" ca="1" si="6"/>
        <v/>
      </c>
      <c r="G43" s="47" t="str">
        <f t="shared" ca="1" si="6"/>
        <v/>
      </c>
      <c r="H43" s="47" t="str">
        <f t="shared" ca="1" si="6"/>
        <v/>
      </c>
      <c r="I43" s="47" t="str">
        <f t="shared" ca="1" si="6"/>
        <v/>
      </c>
      <c r="J43" s="47" t="str">
        <f t="shared" ca="1" si="6"/>
        <v/>
      </c>
      <c r="K43" s="47" t="str">
        <f t="shared" ca="1" si="6"/>
        <v/>
      </c>
      <c r="L43" s="47" t="str">
        <f t="shared" ca="1" si="6"/>
        <v/>
      </c>
      <c r="M43" s="47" t="str">
        <f t="shared" ca="1" si="6"/>
        <v/>
      </c>
      <c r="N43" s="47" t="str">
        <f t="shared" ca="1" si="6"/>
        <v/>
      </c>
      <c r="O43" s="47" t="str">
        <f t="shared" ca="1" si="5"/>
        <v/>
      </c>
      <c r="P43" s="48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41" t="str">
        <f>IFERROR(IF(Datos!$A44="","",Idiomas!$A$12&amp;" "&amp;ROW()-1),"")</f>
        <v/>
      </c>
      <c r="B44" s="42">
        <f>IFERROR(MATCH(Datos!$A44,Configura!$B$9:$B$18,0),0)</f>
        <v>0</v>
      </c>
      <c r="C44" s="42">
        <f>IFERROR(MATCH(Datos!$B44,Configura!$D$9:$D$11,0),0)</f>
        <v>0</v>
      </c>
      <c r="D44" s="42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43" t="str">
        <f t="shared" ca="1" si="6"/>
        <v/>
      </c>
      <c r="F44" s="43" t="str">
        <f t="shared" ca="1" si="6"/>
        <v/>
      </c>
      <c r="G44" s="43" t="str">
        <f t="shared" ca="1" si="6"/>
        <v/>
      </c>
      <c r="H44" s="43" t="str">
        <f t="shared" ca="1" si="6"/>
        <v/>
      </c>
      <c r="I44" s="43" t="str">
        <f t="shared" ca="1" si="6"/>
        <v/>
      </c>
      <c r="J44" s="43" t="str">
        <f t="shared" ca="1" si="6"/>
        <v/>
      </c>
      <c r="K44" s="43" t="str">
        <f t="shared" ca="1" si="6"/>
        <v/>
      </c>
      <c r="L44" s="43" t="str">
        <f t="shared" ca="1" si="6"/>
        <v/>
      </c>
      <c r="M44" s="43" t="str">
        <f t="shared" ca="1" si="6"/>
        <v/>
      </c>
      <c r="N44" s="43" t="str">
        <f t="shared" ca="1" si="6"/>
        <v/>
      </c>
      <c r="O44" s="43" t="str">
        <f t="shared" ca="1" si="5"/>
        <v/>
      </c>
      <c r="P44" s="44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45" t="str">
        <f>IFERROR(IF(Datos!$A45="","",Idiomas!$A$12&amp;" "&amp;ROW()-1),"")</f>
        <v/>
      </c>
      <c r="B45" s="46">
        <f>IFERROR(MATCH(Datos!$A45,Configura!$B$9:$B$18,0),0)</f>
        <v>0</v>
      </c>
      <c r="C45" s="46">
        <f>IFERROR(MATCH(Datos!$B45,Configura!$D$9:$D$11,0),0)</f>
        <v>0</v>
      </c>
      <c r="D45" s="46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47" t="str">
        <f t="shared" ca="1" si="6"/>
        <v/>
      </c>
      <c r="F45" s="47" t="str">
        <f t="shared" ca="1" si="6"/>
        <v/>
      </c>
      <c r="G45" s="47" t="str">
        <f t="shared" ca="1" si="6"/>
        <v/>
      </c>
      <c r="H45" s="47" t="str">
        <f t="shared" ca="1" si="6"/>
        <v/>
      </c>
      <c r="I45" s="47" t="str">
        <f t="shared" ca="1" si="6"/>
        <v/>
      </c>
      <c r="J45" s="47" t="str">
        <f t="shared" ca="1" si="6"/>
        <v/>
      </c>
      <c r="K45" s="47" t="str">
        <f t="shared" ca="1" si="6"/>
        <v/>
      </c>
      <c r="L45" s="47" t="str">
        <f t="shared" ca="1" si="6"/>
        <v/>
      </c>
      <c r="M45" s="47" t="str">
        <f t="shared" ca="1" si="6"/>
        <v/>
      </c>
      <c r="N45" s="47" t="str">
        <f t="shared" ca="1" si="6"/>
        <v/>
      </c>
      <c r="O45" s="47" t="str">
        <f t="shared" ca="1" si="5"/>
        <v/>
      </c>
      <c r="P45" s="48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41" t="str">
        <f>IFERROR(IF(Datos!$A46="","",Idiomas!$A$12&amp;" "&amp;ROW()-1),"")</f>
        <v/>
      </c>
      <c r="B46" s="42">
        <f>IFERROR(MATCH(Datos!$A46,Configura!$B$9:$B$18,0),0)</f>
        <v>0</v>
      </c>
      <c r="C46" s="42">
        <f>IFERROR(MATCH(Datos!$B46,Configura!$D$9:$D$11,0),0)</f>
        <v>0</v>
      </c>
      <c r="D46" s="42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43" t="str">
        <f t="shared" ca="1" si="6"/>
        <v/>
      </c>
      <c r="F46" s="43" t="str">
        <f t="shared" ca="1" si="6"/>
        <v/>
      </c>
      <c r="G46" s="43" t="str">
        <f t="shared" ca="1" si="6"/>
        <v/>
      </c>
      <c r="H46" s="43" t="str">
        <f t="shared" ca="1" si="6"/>
        <v/>
      </c>
      <c r="I46" s="43" t="str">
        <f t="shared" ca="1" si="6"/>
        <v/>
      </c>
      <c r="J46" s="43" t="str">
        <f t="shared" ca="1" si="6"/>
        <v/>
      </c>
      <c r="K46" s="43" t="str">
        <f t="shared" ca="1" si="6"/>
        <v/>
      </c>
      <c r="L46" s="43" t="str">
        <f t="shared" ca="1" si="6"/>
        <v/>
      </c>
      <c r="M46" s="43" t="str">
        <f t="shared" ca="1" si="6"/>
        <v/>
      </c>
      <c r="N46" s="43" t="str">
        <f t="shared" ca="1" si="6"/>
        <v/>
      </c>
      <c r="O46" s="43" t="str">
        <f t="shared" ca="1" si="5"/>
        <v/>
      </c>
      <c r="P46" s="44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45" t="str">
        <f>IFERROR(IF(Datos!$A47="","",Idiomas!$A$12&amp;" "&amp;ROW()-1),"")</f>
        <v/>
      </c>
      <c r="B47" s="46">
        <f>IFERROR(MATCH(Datos!$A47,Configura!$B$9:$B$18,0),0)</f>
        <v>0</v>
      </c>
      <c r="C47" s="46">
        <f>IFERROR(MATCH(Datos!$B47,Configura!$D$9:$D$11,0),0)</f>
        <v>0</v>
      </c>
      <c r="D47" s="46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47" t="str">
        <f t="shared" ca="1" si="6"/>
        <v/>
      </c>
      <c r="F47" s="47" t="str">
        <f t="shared" ca="1" si="6"/>
        <v/>
      </c>
      <c r="G47" s="47" t="str">
        <f t="shared" ca="1" si="6"/>
        <v/>
      </c>
      <c r="H47" s="47" t="str">
        <f t="shared" ca="1" si="6"/>
        <v/>
      </c>
      <c r="I47" s="47" t="str">
        <f t="shared" ca="1" si="6"/>
        <v/>
      </c>
      <c r="J47" s="47" t="str">
        <f t="shared" ca="1" si="6"/>
        <v/>
      </c>
      <c r="K47" s="47" t="str">
        <f t="shared" ca="1" si="6"/>
        <v/>
      </c>
      <c r="L47" s="47" t="str">
        <f t="shared" ca="1" si="6"/>
        <v/>
      </c>
      <c r="M47" s="47" t="str">
        <f t="shared" ca="1" si="6"/>
        <v/>
      </c>
      <c r="N47" s="47" t="str">
        <f t="shared" ca="1" si="6"/>
        <v/>
      </c>
      <c r="O47" s="47" t="str">
        <f t="shared" ca="1" si="5"/>
        <v/>
      </c>
      <c r="P47" s="48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41" t="str">
        <f>IFERROR(IF(Datos!$A48="","",Idiomas!$A$12&amp;" "&amp;ROW()-1),"")</f>
        <v/>
      </c>
      <c r="B48" s="42">
        <f>IFERROR(MATCH(Datos!$A48,Configura!$B$9:$B$18,0),0)</f>
        <v>0</v>
      </c>
      <c r="C48" s="42">
        <f>IFERROR(MATCH(Datos!$B48,Configura!$D$9:$D$11,0),0)</f>
        <v>0</v>
      </c>
      <c r="D48" s="42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43" t="str">
        <f t="shared" ca="1" si="6"/>
        <v/>
      </c>
      <c r="F48" s="43" t="str">
        <f t="shared" ca="1" si="6"/>
        <v/>
      </c>
      <c r="G48" s="43" t="str">
        <f t="shared" ca="1" si="6"/>
        <v/>
      </c>
      <c r="H48" s="43" t="str">
        <f t="shared" ca="1" si="6"/>
        <v/>
      </c>
      <c r="I48" s="43" t="str">
        <f t="shared" ca="1" si="6"/>
        <v/>
      </c>
      <c r="J48" s="43" t="str">
        <f t="shared" ca="1" si="6"/>
        <v/>
      </c>
      <c r="K48" s="43" t="str">
        <f t="shared" ca="1" si="6"/>
        <v/>
      </c>
      <c r="L48" s="43" t="str">
        <f t="shared" ca="1" si="6"/>
        <v/>
      </c>
      <c r="M48" s="43" t="str">
        <f t="shared" ca="1" si="6"/>
        <v/>
      </c>
      <c r="N48" s="43" t="str">
        <f t="shared" ca="1" si="6"/>
        <v/>
      </c>
      <c r="O48" s="43" t="str">
        <f t="shared" ca="1" si="5"/>
        <v/>
      </c>
      <c r="P48" s="44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45" t="str">
        <f>IFERROR(IF(Datos!$A49="","",Idiomas!$A$12&amp;" "&amp;ROW()-1),"")</f>
        <v/>
      </c>
      <c r="B49" s="46">
        <f>IFERROR(MATCH(Datos!$A49,Configura!$B$9:$B$18,0),0)</f>
        <v>0</v>
      </c>
      <c r="C49" s="46">
        <f>IFERROR(MATCH(Datos!$B49,Configura!$D$9:$D$11,0),0)</f>
        <v>0</v>
      </c>
      <c r="D49" s="46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47" t="str">
        <f t="shared" ca="1" si="6"/>
        <v/>
      </c>
      <c r="F49" s="47" t="str">
        <f t="shared" ca="1" si="6"/>
        <v/>
      </c>
      <c r="G49" s="47" t="str">
        <f t="shared" ca="1" si="6"/>
        <v/>
      </c>
      <c r="H49" s="47" t="str">
        <f t="shared" ca="1" si="6"/>
        <v/>
      </c>
      <c r="I49" s="47" t="str">
        <f t="shared" ca="1" si="6"/>
        <v/>
      </c>
      <c r="J49" s="47" t="str">
        <f t="shared" ca="1" si="6"/>
        <v/>
      </c>
      <c r="K49" s="47" t="str">
        <f t="shared" ca="1" si="6"/>
        <v/>
      </c>
      <c r="L49" s="47" t="str">
        <f t="shared" ca="1" si="6"/>
        <v/>
      </c>
      <c r="M49" s="47" t="str">
        <f t="shared" ca="1" si="6"/>
        <v/>
      </c>
      <c r="N49" s="47" t="str">
        <f t="shared" ca="1" si="6"/>
        <v/>
      </c>
      <c r="O49" s="47" t="str">
        <f t="shared" ca="1" si="5"/>
        <v/>
      </c>
      <c r="P49" s="48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41" t="str">
        <f>IFERROR(IF(Datos!$A50="","",Idiomas!$A$12&amp;" "&amp;ROW()-1),"")</f>
        <v/>
      </c>
      <c r="B50" s="42">
        <f>IFERROR(MATCH(Datos!$A50,Configura!$B$9:$B$18,0),0)</f>
        <v>0</v>
      </c>
      <c r="C50" s="42">
        <f>IFERROR(MATCH(Datos!$B50,Configura!$D$9:$D$11,0),0)</f>
        <v>0</v>
      </c>
      <c r="D50" s="42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43" t="str">
        <f t="shared" ca="1" si="6"/>
        <v/>
      </c>
      <c r="F50" s="43" t="str">
        <f t="shared" ca="1" si="6"/>
        <v/>
      </c>
      <c r="G50" s="43" t="str">
        <f t="shared" ca="1" si="6"/>
        <v/>
      </c>
      <c r="H50" s="43" t="str">
        <f t="shared" ca="1" si="6"/>
        <v/>
      </c>
      <c r="I50" s="43" t="str">
        <f t="shared" ca="1" si="6"/>
        <v/>
      </c>
      <c r="J50" s="43" t="str">
        <f t="shared" ca="1" si="6"/>
        <v/>
      </c>
      <c r="K50" s="43" t="str">
        <f t="shared" ca="1" si="6"/>
        <v/>
      </c>
      <c r="L50" s="43" t="str">
        <f t="shared" ca="1" si="6"/>
        <v/>
      </c>
      <c r="M50" s="43" t="str">
        <f t="shared" ca="1" si="6"/>
        <v/>
      </c>
      <c r="N50" s="43" t="str">
        <f t="shared" ca="1" si="6"/>
        <v/>
      </c>
      <c r="O50" s="43" t="str">
        <f t="shared" ca="1" si="5"/>
        <v/>
      </c>
      <c r="P50" s="44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45" t="str">
        <f>IFERROR(IF(Datos!$A51="","",Idiomas!$A$12&amp;" "&amp;ROW()-1),"")</f>
        <v/>
      </c>
      <c r="B51" s="46">
        <f>IFERROR(MATCH(Datos!$A51,Configura!$B$9:$B$18,0),0)</f>
        <v>0</v>
      </c>
      <c r="C51" s="46">
        <f>IFERROR(MATCH(Datos!$B51,Configura!$D$9:$D$11,0),0)</f>
        <v>0</v>
      </c>
      <c r="D51" s="46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47" t="str">
        <f t="shared" ca="1" si="6"/>
        <v/>
      </c>
      <c r="F51" s="47" t="str">
        <f t="shared" ca="1" si="6"/>
        <v/>
      </c>
      <c r="G51" s="47" t="str">
        <f t="shared" ca="1" si="6"/>
        <v/>
      </c>
      <c r="H51" s="47" t="str">
        <f t="shared" ca="1" si="6"/>
        <v/>
      </c>
      <c r="I51" s="47" t="str">
        <f t="shared" ca="1" si="6"/>
        <v/>
      </c>
      <c r="J51" s="47" t="str">
        <f t="shared" ca="1" si="6"/>
        <v/>
      </c>
      <c r="K51" s="47" t="str">
        <f t="shared" ca="1" si="6"/>
        <v/>
      </c>
      <c r="L51" s="47" t="str">
        <f t="shared" ca="1" si="6"/>
        <v/>
      </c>
      <c r="M51" s="47" t="str">
        <f t="shared" ca="1" si="6"/>
        <v/>
      </c>
      <c r="N51" s="47" t="str">
        <f t="shared" ca="1" si="6"/>
        <v/>
      </c>
      <c r="O51" s="47" t="str">
        <f t="shared" ca="1" si="5"/>
        <v/>
      </c>
      <c r="P51" s="48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41" t="str">
        <f>IFERROR(IF(Datos!$A52="","",Idiomas!$A$12&amp;" "&amp;ROW()-1),"")</f>
        <v/>
      </c>
      <c r="B52" s="42">
        <f>IFERROR(MATCH(Datos!$A52,Configura!$B$9:$B$18,0),0)</f>
        <v>0</v>
      </c>
      <c r="C52" s="42">
        <f>IFERROR(MATCH(Datos!$B52,Configura!$D$9:$D$11,0),0)</f>
        <v>0</v>
      </c>
      <c r="D52" s="42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43" t="str">
        <f t="shared" ref="E52:N61" ca="1" si="7">IFERROR(E$1&amp;"-"&amp;MATCH($A52&amp;":",INDIRECT("KANBAN!"&amp;E$1&amp;":"&amp;E$1),0),"")</f>
        <v/>
      </c>
      <c r="F52" s="43" t="str">
        <f t="shared" ca="1" si="7"/>
        <v/>
      </c>
      <c r="G52" s="43" t="str">
        <f t="shared" ca="1" si="7"/>
        <v/>
      </c>
      <c r="H52" s="43" t="str">
        <f t="shared" ca="1" si="7"/>
        <v/>
      </c>
      <c r="I52" s="43" t="str">
        <f t="shared" ca="1" si="7"/>
        <v/>
      </c>
      <c r="J52" s="43" t="str">
        <f t="shared" ca="1" si="7"/>
        <v/>
      </c>
      <c r="K52" s="43" t="str">
        <f t="shared" ca="1" si="7"/>
        <v/>
      </c>
      <c r="L52" s="43" t="str">
        <f t="shared" ca="1" si="7"/>
        <v/>
      </c>
      <c r="M52" s="43" t="str">
        <f t="shared" ca="1" si="7"/>
        <v/>
      </c>
      <c r="N52" s="43" t="str">
        <f t="shared" ca="1" si="7"/>
        <v/>
      </c>
      <c r="O52" s="43" t="str">
        <f t="shared" ca="1" si="5"/>
        <v/>
      </c>
      <c r="P52" s="44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45" t="str">
        <f>IFERROR(IF(Datos!$A53="","",Idiomas!$A$12&amp;" "&amp;ROW()-1),"")</f>
        <v/>
      </c>
      <c r="B53" s="46">
        <f>IFERROR(MATCH(Datos!$A53,Configura!$B$9:$B$18,0),0)</f>
        <v>0</v>
      </c>
      <c r="C53" s="46">
        <f>IFERROR(MATCH(Datos!$B53,Configura!$D$9:$D$11,0),0)</f>
        <v>0</v>
      </c>
      <c r="D53" s="46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47" t="str">
        <f t="shared" ca="1" si="7"/>
        <v/>
      </c>
      <c r="F53" s="47" t="str">
        <f t="shared" ca="1" si="7"/>
        <v/>
      </c>
      <c r="G53" s="47" t="str">
        <f t="shared" ca="1" si="7"/>
        <v/>
      </c>
      <c r="H53" s="47" t="str">
        <f t="shared" ca="1" si="7"/>
        <v/>
      </c>
      <c r="I53" s="47" t="str">
        <f t="shared" ca="1" si="7"/>
        <v/>
      </c>
      <c r="J53" s="47" t="str">
        <f t="shared" ca="1" si="7"/>
        <v/>
      </c>
      <c r="K53" s="47" t="str">
        <f t="shared" ca="1" si="7"/>
        <v/>
      </c>
      <c r="L53" s="47" t="str">
        <f t="shared" ca="1" si="7"/>
        <v/>
      </c>
      <c r="M53" s="47" t="str">
        <f t="shared" ca="1" si="7"/>
        <v/>
      </c>
      <c r="N53" s="47" t="str">
        <f t="shared" ca="1" si="7"/>
        <v/>
      </c>
      <c r="O53" s="47" t="str">
        <f t="shared" ca="1" si="5"/>
        <v/>
      </c>
      <c r="P53" s="48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41" t="str">
        <f>IFERROR(IF(Datos!$A54="","",Idiomas!$A$12&amp;" "&amp;ROW()-1),"")</f>
        <v/>
      </c>
      <c r="B54" s="42">
        <f>IFERROR(MATCH(Datos!$A54,Configura!$B$9:$B$18,0),0)</f>
        <v>0</v>
      </c>
      <c r="C54" s="42">
        <f>IFERROR(MATCH(Datos!$B54,Configura!$D$9:$D$11,0),0)</f>
        <v>0</v>
      </c>
      <c r="D54" s="42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43" t="str">
        <f t="shared" ca="1" si="7"/>
        <v/>
      </c>
      <c r="F54" s="43" t="str">
        <f t="shared" ca="1" si="7"/>
        <v/>
      </c>
      <c r="G54" s="43" t="str">
        <f t="shared" ca="1" si="7"/>
        <v/>
      </c>
      <c r="H54" s="43" t="str">
        <f t="shared" ca="1" si="7"/>
        <v/>
      </c>
      <c r="I54" s="43" t="str">
        <f t="shared" ca="1" si="7"/>
        <v/>
      </c>
      <c r="J54" s="43" t="str">
        <f t="shared" ca="1" si="7"/>
        <v/>
      </c>
      <c r="K54" s="43" t="str">
        <f t="shared" ca="1" si="7"/>
        <v/>
      </c>
      <c r="L54" s="43" t="str">
        <f t="shared" ca="1" si="7"/>
        <v/>
      </c>
      <c r="M54" s="43" t="str">
        <f t="shared" ca="1" si="7"/>
        <v/>
      </c>
      <c r="N54" s="43" t="str">
        <f t="shared" ca="1" si="7"/>
        <v/>
      </c>
      <c r="O54" s="43" t="str">
        <f t="shared" ca="1" si="5"/>
        <v/>
      </c>
      <c r="P54" s="44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45" t="str">
        <f>IFERROR(IF(Datos!$A55="","",Idiomas!$A$12&amp;" "&amp;ROW()-1),"")</f>
        <v/>
      </c>
      <c r="B55" s="46">
        <f>IFERROR(MATCH(Datos!$A55,Configura!$B$9:$B$18,0),0)</f>
        <v>0</v>
      </c>
      <c r="C55" s="46">
        <f>IFERROR(MATCH(Datos!$B55,Configura!$D$9:$D$11,0),0)</f>
        <v>0</v>
      </c>
      <c r="D55" s="46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47" t="str">
        <f t="shared" ca="1" si="7"/>
        <v/>
      </c>
      <c r="F55" s="47" t="str">
        <f t="shared" ca="1" si="7"/>
        <v/>
      </c>
      <c r="G55" s="47" t="str">
        <f t="shared" ca="1" si="7"/>
        <v/>
      </c>
      <c r="H55" s="47" t="str">
        <f t="shared" ca="1" si="7"/>
        <v/>
      </c>
      <c r="I55" s="47" t="str">
        <f t="shared" ca="1" si="7"/>
        <v/>
      </c>
      <c r="J55" s="47" t="str">
        <f t="shared" ca="1" si="7"/>
        <v/>
      </c>
      <c r="K55" s="47" t="str">
        <f t="shared" ca="1" si="7"/>
        <v/>
      </c>
      <c r="L55" s="47" t="str">
        <f t="shared" ca="1" si="7"/>
        <v/>
      </c>
      <c r="M55" s="47" t="str">
        <f t="shared" ca="1" si="7"/>
        <v/>
      </c>
      <c r="N55" s="47" t="str">
        <f t="shared" ca="1" si="7"/>
        <v/>
      </c>
      <c r="O55" s="47" t="str">
        <f t="shared" ca="1" si="5"/>
        <v/>
      </c>
      <c r="P55" s="48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41" t="str">
        <f>IFERROR(IF(Datos!$A56="","",Idiomas!$A$12&amp;" "&amp;ROW()-1),"")</f>
        <v/>
      </c>
      <c r="B56" s="42">
        <f>IFERROR(MATCH(Datos!$A56,Configura!$B$9:$B$18,0),0)</f>
        <v>0</v>
      </c>
      <c r="C56" s="42">
        <f>IFERROR(MATCH(Datos!$B56,Configura!$D$9:$D$11,0),0)</f>
        <v>0</v>
      </c>
      <c r="D56" s="42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43" t="str">
        <f t="shared" ca="1" si="7"/>
        <v/>
      </c>
      <c r="F56" s="43" t="str">
        <f t="shared" ca="1" si="7"/>
        <v/>
      </c>
      <c r="G56" s="43" t="str">
        <f t="shared" ca="1" si="7"/>
        <v/>
      </c>
      <c r="H56" s="43" t="str">
        <f t="shared" ca="1" si="7"/>
        <v/>
      </c>
      <c r="I56" s="43" t="str">
        <f t="shared" ca="1" si="7"/>
        <v/>
      </c>
      <c r="J56" s="43" t="str">
        <f t="shared" ca="1" si="7"/>
        <v/>
      </c>
      <c r="K56" s="43" t="str">
        <f t="shared" ca="1" si="7"/>
        <v/>
      </c>
      <c r="L56" s="43" t="str">
        <f t="shared" ca="1" si="7"/>
        <v/>
      </c>
      <c r="M56" s="43" t="str">
        <f t="shared" ca="1" si="7"/>
        <v/>
      </c>
      <c r="N56" s="43" t="str">
        <f t="shared" ca="1" si="7"/>
        <v/>
      </c>
      <c r="O56" s="43" t="str">
        <f t="shared" ca="1" si="5"/>
        <v/>
      </c>
      <c r="P56" s="44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45" t="str">
        <f>IFERROR(IF(Datos!$A57="","",Idiomas!$A$12&amp;" "&amp;ROW()-1),"")</f>
        <v/>
      </c>
      <c r="B57" s="46">
        <f>IFERROR(MATCH(Datos!$A57,Configura!$B$9:$B$18,0),0)</f>
        <v>0</v>
      </c>
      <c r="C57" s="46">
        <f>IFERROR(MATCH(Datos!$B57,Configura!$D$9:$D$11,0),0)</f>
        <v>0</v>
      </c>
      <c r="D57" s="46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47" t="str">
        <f t="shared" ca="1" si="7"/>
        <v/>
      </c>
      <c r="F57" s="47" t="str">
        <f t="shared" ca="1" si="7"/>
        <v/>
      </c>
      <c r="G57" s="47" t="str">
        <f t="shared" ca="1" si="7"/>
        <v/>
      </c>
      <c r="H57" s="47" t="str">
        <f t="shared" ca="1" si="7"/>
        <v/>
      </c>
      <c r="I57" s="47" t="str">
        <f t="shared" ca="1" si="7"/>
        <v/>
      </c>
      <c r="J57" s="47" t="str">
        <f t="shared" ca="1" si="7"/>
        <v/>
      </c>
      <c r="K57" s="47" t="str">
        <f t="shared" ca="1" si="7"/>
        <v/>
      </c>
      <c r="L57" s="47" t="str">
        <f t="shared" ca="1" si="7"/>
        <v/>
      </c>
      <c r="M57" s="47" t="str">
        <f t="shared" ca="1" si="7"/>
        <v/>
      </c>
      <c r="N57" s="47" t="str">
        <f t="shared" ca="1" si="7"/>
        <v/>
      </c>
      <c r="O57" s="47" t="str">
        <f t="shared" ca="1" si="5"/>
        <v/>
      </c>
      <c r="P57" s="48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41" t="str">
        <f>IFERROR(IF(Datos!$A58="","",Idiomas!$A$12&amp;" "&amp;ROW()-1),"")</f>
        <v/>
      </c>
      <c r="B58" s="42">
        <f>IFERROR(MATCH(Datos!$A58,Configura!$B$9:$B$18,0),0)</f>
        <v>0</v>
      </c>
      <c r="C58" s="42">
        <f>IFERROR(MATCH(Datos!$B58,Configura!$D$9:$D$11,0),0)</f>
        <v>0</v>
      </c>
      <c r="D58" s="42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43" t="str">
        <f t="shared" ca="1" si="7"/>
        <v/>
      </c>
      <c r="F58" s="43" t="str">
        <f t="shared" ca="1" si="7"/>
        <v/>
      </c>
      <c r="G58" s="43" t="str">
        <f t="shared" ca="1" si="7"/>
        <v/>
      </c>
      <c r="H58" s="43" t="str">
        <f t="shared" ca="1" si="7"/>
        <v/>
      </c>
      <c r="I58" s="43" t="str">
        <f t="shared" ca="1" si="7"/>
        <v/>
      </c>
      <c r="J58" s="43" t="str">
        <f t="shared" ca="1" si="7"/>
        <v/>
      </c>
      <c r="K58" s="43" t="str">
        <f t="shared" ca="1" si="7"/>
        <v/>
      </c>
      <c r="L58" s="43" t="str">
        <f t="shared" ca="1" si="7"/>
        <v/>
      </c>
      <c r="M58" s="43" t="str">
        <f t="shared" ca="1" si="7"/>
        <v/>
      </c>
      <c r="N58" s="43" t="str">
        <f t="shared" ca="1" si="7"/>
        <v/>
      </c>
      <c r="O58" s="43" t="str">
        <f t="shared" ca="1" si="5"/>
        <v/>
      </c>
      <c r="P58" s="44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45" t="str">
        <f>IFERROR(IF(Datos!$A59="","",Idiomas!$A$12&amp;" "&amp;ROW()-1),"")</f>
        <v/>
      </c>
      <c r="B59" s="46">
        <f>IFERROR(MATCH(Datos!$A59,Configura!$B$9:$B$18,0),0)</f>
        <v>0</v>
      </c>
      <c r="C59" s="46">
        <f>IFERROR(MATCH(Datos!$B59,Configura!$D$9:$D$11,0),0)</f>
        <v>0</v>
      </c>
      <c r="D59" s="46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47" t="str">
        <f t="shared" ca="1" si="7"/>
        <v/>
      </c>
      <c r="F59" s="47" t="str">
        <f t="shared" ca="1" si="7"/>
        <v/>
      </c>
      <c r="G59" s="47" t="str">
        <f t="shared" ca="1" si="7"/>
        <v/>
      </c>
      <c r="H59" s="47" t="str">
        <f t="shared" ca="1" si="7"/>
        <v/>
      </c>
      <c r="I59" s="47" t="str">
        <f t="shared" ca="1" si="7"/>
        <v/>
      </c>
      <c r="J59" s="47" t="str">
        <f t="shared" ca="1" si="7"/>
        <v/>
      </c>
      <c r="K59" s="47" t="str">
        <f t="shared" ca="1" si="7"/>
        <v/>
      </c>
      <c r="L59" s="47" t="str">
        <f t="shared" ca="1" si="7"/>
        <v/>
      </c>
      <c r="M59" s="47" t="str">
        <f t="shared" ca="1" si="7"/>
        <v/>
      </c>
      <c r="N59" s="47" t="str">
        <f t="shared" ca="1" si="7"/>
        <v/>
      </c>
      <c r="O59" s="47" t="str">
        <f t="shared" ca="1" si="5"/>
        <v/>
      </c>
      <c r="P59" s="48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41" t="str">
        <f>IFERROR(IF(Datos!$A60="","",Idiomas!$A$12&amp;" "&amp;ROW()-1),"")</f>
        <v/>
      </c>
      <c r="B60" s="42">
        <f>IFERROR(MATCH(Datos!$A60,Configura!$B$9:$B$18,0),0)</f>
        <v>0</v>
      </c>
      <c r="C60" s="42">
        <f>IFERROR(MATCH(Datos!$B60,Configura!$D$9:$D$11,0),0)</f>
        <v>0</v>
      </c>
      <c r="D60" s="42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43" t="str">
        <f t="shared" ca="1" si="7"/>
        <v/>
      </c>
      <c r="F60" s="43" t="str">
        <f t="shared" ca="1" si="7"/>
        <v/>
      </c>
      <c r="G60" s="43" t="str">
        <f t="shared" ca="1" si="7"/>
        <v/>
      </c>
      <c r="H60" s="43" t="str">
        <f t="shared" ca="1" si="7"/>
        <v/>
      </c>
      <c r="I60" s="43" t="str">
        <f t="shared" ca="1" si="7"/>
        <v/>
      </c>
      <c r="J60" s="43" t="str">
        <f t="shared" ca="1" si="7"/>
        <v/>
      </c>
      <c r="K60" s="43" t="str">
        <f t="shared" ca="1" si="7"/>
        <v/>
      </c>
      <c r="L60" s="43" t="str">
        <f t="shared" ca="1" si="7"/>
        <v/>
      </c>
      <c r="M60" s="43" t="str">
        <f t="shared" ca="1" si="7"/>
        <v/>
      </c>
      <c r="N60" s="43" t="str">
        <f t="shared" ca="1" si="7"/>
        <v/>
      </c>
      <c r="O60" s="43" t="str">
        <f t="shared" ca="1" si="5"/>
        <v/>
      </c>
      <c r="P60" s="44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45" t="str">
        <f>IFERROR(IF(Datos!$A61="","",Idiomas!$A$12&amp;" "&amp;ROW()-1),"")</f>
        <v/>
      </c>
      <c r="B61" s="46">
        <f>IFERROR(MATCH(Datos!$A61,Configura!$B$9:$B$18,0),0)</f>
        <v>0</v>
      </c>
      <c r="C61" s="46">
        <f>IFERROR(MATCH(Datos!$B61,Configura!$D$9:$D$11,0),0)</f>
        <v>0</v>
      </c>
      <c r="D61" s="46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47" t="str">
        <f t="shared" ca="1" si="7"/>
        <v/>
      </c>
      <c r="F61" s="47" t="str">
        <f t="shared" ca="1" si="7"/>
        <v/>
      </c>
      <c r="G61" s="47" t="str">
        <f t="shared" ca="1" si="7"/>
        <v/>
      </c>
      <c r="H61" s="47" t="str">
        <f t="shared" ca="1" si="7"/>
        <v/>
      </c>
      <c r="I61" s="47" t="str">
        <f t="shared" ca="1" si="7"/>
        <v/>
      </c>
      <c r="J61" s="47" t="str">
        <f t="shared" ca="1" si="7"/>
        <v/>
      </c>
      <c r="K61" s="47" t="str">
        <f t="shared" ca="1" si="7"/>
        <v/>
      </c>
      <c r="L61" s="47" t="str">
        <f t="shared" ca="1" si="7"/>
        <v/>
      </c>
      <c r="M61" s="47" t="str">
        <f t="shared" ca="1" si="7"/>
        <v/>
      </c>
      <c r="N61" s="47" t="str">
        <f t="shared" ca="1" si="7"/>
        <v/>
      </c>
      <c r="O61" s="47" t="str">
        <f t="shared" ca="1" si="5"/>
        <v/>
      </c>
      <c r="P61" s="48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41" t="str">
        <f>IFERROR(IF(Datos!$A62="","",Idiomas!$A$12&amp;" "&amp;ROW()-1),"")</f>
        <v/>
      </c>
      <c r="B62" s="42">
        <f>IFERROR(MATCH(Datos!$A62,Configura!$B$9:$B$18,0),0)</f>
        <v>0</v>
      </c>
      <c r="C62" s="42">
        <f>IFERROR(MATCH(Datos!$B62,Configura!$D$9:$D$11,0),0)</f>
        <v>0</v>
      </c>
      <c r="D62" s="42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43" t="str">
        <f t="shared" ref="E62:N71" ca="1" si="8">IFERROR(E$1&amp;"-"&amp;MATCH($A62&amp;":",INDIRECT("KANBAN!"&amp;E$1&amp;":"&amp;E$1),0),"")</f>
        <v/>
      </c>
      <c r="F62" s="43" t="str">
        <f t="shared" ca="1" si="8"/>
        <v/>
      </c>
      <c r="G62" s="43" t="str">
        <f t="shared" ca="1" si="8"/>
        <v/>
      </c>
      <c r="H62" s="43" t="str">
        <f t="shared" ca="1" si="8"/>
        <v/>
      </c>
      <c r="I62" s="43" t="str">
        <f t="shared" ca="1" si="8"/>
        <v/>
      </c>
      <c r="J62" s="43" t="str">
        <f t="shared" ca="1" si="8"/>
        <v/>
      </c>
      <c r="K62" s="43" t="str">
        <f t="shared" ca="1" si="8"/>
        <v/>
      </c>
      <c r="L62" s="43" t="str">
        <f t="shared" ca="1" si="8"/>
        <v/>
      </c>
      <c r="M62" s="43" t="str">
        <f t="shared" ca="1" si="8"/>
        <v/>
      </c>
      <c r="N62" s="43" t="str">
        <f t="shared" ca="1" si="8"/>
        <v/>
      </c>
      <c r="O62" s="43" t="str">
        <f t="shared" ca="1" si="5"/>
        <v/>
      </c>
      <c r="P62" s="44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45" t="str">
        <f>IFERROR(IF(Datos!$A63="","",Idiomas!$A$12&amp;" "&amp;ROW()-1),"")</f>
        <v/>
      </c>
      <c r="B63" s="46">
        <f>IFERROR(MATCH(Datos!$A63,Configura!$B$9:$B$18,0),0)</f>
        <v>0</v>
      </c>
      <c r="C63" s="46">
        <f>IFERROR(MATCH(Datos!$B63,Configura!$D$9:$D$11,0),0)</f>
        <v>0</v>
      </c>
      <c r="D63" s="46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47" t="str">
        <f t="shared" ca="1" si="8"/>
        <v/>
      </c>
      <c r="F63" s="47" t="str">
        <f t="shared" ca="1" si="8"/>
        <v/>
      </c>
      <c r="G63" s="47" t="str">
        <f t="shared" ca="1" si="8"/>
        <v/>
      </c>
      <c r="H63" s="47" t="str">
        <f t="shared" ca="1" si="8"/>
        <v/>
      </c>
      <c r="I63" s="47" t="str">
        <f t="shared" ca="1" si="8"/>
        <v/>
      </c>
      <c r="J63" s="47" t="str">
        <f t="shared" ca="1" si="8"/>
        <v/>
      </c>
      <c r="K63" s="47" t="str">
        <f t="shared" ca="1" si="8"/>
        <v/>
      </c>
      <c r="L63" s="47" t="str">
        <f t="shared" ca="1" si="8"/>
        <v/>
      </c>
      <c r="M63" s="47" t="str">
        <f t="shared" ca="1" si="8"/>
        <v/>
      </c>
      <c r="N63" s="47" t="str">
        <f t="shared" ca="1" si="8"/>
        <v/>
      </c>
      <c r="O63" s="47" t="str">
        <f t="shared" ca="1" si="5"/>
        <v/>
      </c>
      <c r="P63" s="48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41" t="str">
        <f>IFERROR(IF(Datos!$A64="","",Idiomas!$A$12&amp;" "&amp;ROW()-1),"")</f>
        <v/>
      </c>
      <c r="B64" s="42">
        <f>IFERROR(MATCH(Datos!$A64,Configura!$B$9:$B$18,0),0)</f>
        <v>0</v>
      </c>
      <c r="C64" s="42">
        <f>IFERROR(MATCH(Datos!$B64,Configura!$D$9:$D$11,0),0)</f>
        <v>0</v>
      </c>
      <c r="D64" s="42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43" t="str">
        <f t="shared" ca="1" si="8"/>
        <v/>
      </c>
      <c r="F64" s="43" t="str">
        <f t="shared" ca="1" si="8"/>
        <v/>
      </c>
      <c r="G64" s="43" t="str">
        <f t="shared" ca="1" si="8"/>
        <v/>
      </c>
      <c r="H64" s="43" t="str">
        <f t="shared" ca="1" si="8"/>
        <v/>
      </c>
      <c r="I64" s="43" t="str">
        <f t="shared" ca="1" si="8"/>
        <v/>
      </c>
      <c r="J64" s="43" t="str">
        <f t="shared" ca="1" si="8"/>
        <v/>
      </c>
      <c r="K64" s="43" t="str">
        <f t="shared" ca="1" si="8"/>
        <v/>
      </c>
      <c r="L64" s="43" t="str">
        <f t="shared" ca="1" si="8"/>
        <v/>
      </c>
      <c r="M64" s="43" t="str">
        <f t="shared" ca="1" si="8"/>
        <v/>
      </c>
      <c r="N64" s="43" t="str">
        <f t="shared" ca="1" si="8"/>
        <v/>
      </c>
      <c r="O64" s="43" t="str">
        <f t="shared" ca="1" si="5"/>
        <v/>
      </c>
      <c r="P64" s="44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45" t="str">
        <f>IFERROR(IF(Datos!$A65="","",Idiomas!$A$12&amp;" "&amp;ROW()-1),"")</f>
        <v/>
      </c>
      <c r="B65" s="46">
        <f>IFERROR(MATCH(Datos!$A65,Configura!$B$9:$B$18,0),0)</f>
        <v>0</v>
      </c>
      <c r="C65" s="46">
        <f>IFERROR(MATCH(Datos!$B65,Configura!$D$9:$D$11,0),0)</f>
        <v>0</v>
      </c>
      <c r="D65" s="46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47" t="str">
        <f t="shared" ca="1" si="8"/>
        <v/>
      </c>
      <c r="F65" s="47" t="str">
        <f t="shared" ca="1" si="8"/>
        <v/>
      </c>
      <c r="G65" s="47" t="str">
        <f t="shared" ca="1" si="8"/>
        <v/>
      </c>
      <c r="H65" s="47" t="str">
        <f t="shared" ca="1" si="8"/>
        <v/>
      </c>
      <c r="I65" s="47" t="str">
        <f t="shared" ca="1" si="8"/>
        <v/>
      </c>
      <c r="J65" s="47" t="str">
        <f t="shared" ca="1" si="8"/>
        <v/>
      </c>
      <c r="K65" s="47" t="str">
        <f t="shared" ca="1" si="8"/>
        <v/>
      </c>
      <c r="L65" s="47" t="str">
        <f t="shared" ca="1" si="8"/>
        <v/>
      </c>
      <c r="M65" s="47" t="str">
        <f t="shared" ca="1" si="8"/>
        <v/>
      </c>
      <c r="N65" s="47" t="str">
        <f t="shared" ca="1" si="8"/>
        <v/>
      </c>
      <c r="O65" s="47" t="str">
        <f t="shared" ca="1" si="5"/>
        <v/>
      </c>
      <c r="P65" s="48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41" t="str">
        <f>IFERROR(IF(Datos!$A66="","",Idiomas!$A$12&amp;" "&amp;ROW()-1),"")</f>
        <v/>
      </c>
      <c r="B66" s="42">
        <f>IFERROR(MATCH(Datos!$A66,Configura!$B$9:$B$18,0),0)</f>
        <v>0</v>
      </c>
      <c r="C66" s="42">
        <f>IFERROR(MATCH(Datos!$B66,Configura!$D$9:$D$11,0),0)</f>
        <v>0</v>
      </c>
      <c r="D66" s="42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43" t="str">
        <f t="shared" ca="1" si="8"/>
        <v/>
      </c>
      <c r="F66" s="43" t="str">
        <f t="shared" ca="1" si="8"/>
        <v/>
      </c>
      <c r="G66" s="43" t="str">
        <f t="shared" ca="1" si="8"/>
        <v/>
      </c>
      <c r="H66" s="43" t="str">
        <f t="shared" ca="1" si="8"/>
        <v/>
      </c>
      <c r="I66" s="43" t="str">
        <f t="shared" ca="1" si="8"/>
        <v/>
      </c>
      <c r="J66" s="43" t="str">
        <f t="shared" ca="1" si="8"/>
        <v/>
      </c>
      <c r="K66" s="43" t="str">
        <f t="shared" ca="1" si="8"/>
        <v/>
      </c>
      <c r="L66" s="43" t="str">
        <f t="shared" ca="1" si="8"/>
        <v/>
      </c>
      <c r="M66" s="43" t="str">
        <f t="shared" ca="1" si="8"/>
        <v/>
      </c>
      <c r="N66" s="43" t="str">
        <f t="shared" ca="1" si="8"/>
        <v/>
      </c>
      <c r="O66" s="43" t="str">
        <f t="shared" ref="O66:O97" ca="1" si="9">E66&amp;F66&amp;G66&amp;H66&amp;I66&amp;J66&amp;K66&amp;L66&amp;M66&amp;N66</f>
        <v/>
      </c>
      <c r="P66" s="44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45" t="str">
        <f>IFERROR(IF(Datos!$A67="","",Idiomas!$A$12&amp;" "&amp;ROW()-1),"")</f>
        <v/>
      </c>
      <c r="B67" s="46">
        <f>IFERROR(MATCH(Datos!$A67,Configura!$B$9:$B$18,0),0)</f>
        <v>0</v>
      </c>
      <c r="C67" s="46">
        <f>IFERROR(MATCH(Datos!$B67,Configura!$D$9:$D$11,0),0)</f>
        <v>0</v>
      </c>
      <c r="D67" s="46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47" t="str">
        <f t="shared" ca="1" si="8"/>
        <v/>
      </c>
      <c r="F67" s="47" t="str">
        <f t="shared" ca="1" si="8"/>
        <v/>
      </c>
      <c r="G67" s="47" t="str">
        <f t="shared" ca="1" si="8"/>
        <v/>
      </c>
      <c r="H67" s="47" t="str">
        <f t="shared" ca="1" si="8"/>
        <v/>
      </c>
      <c r="I67" s="47" t="str">
        <f t="shared" ca="1" si="8"/>
        <v/>
      </c>
      <c r="J67" s="47" t="str">
        <f t="shared" ca="1" si="8"/>
        <v/>
      </c>
      <c r="K67" s="47" t="str">
        <f t="shared" ca="1" si="8"/>
        <v/>
      </c>
      <c r="L67" s="47" t="str">
        <f t="shared" ca="1" si="8"/>
        <v/>
      </c>
      <c r="M67" s="47" t="str">
        <f t="shared" ca="1" si="8"/>
        <v/>
      </c>
      <c r="N67" s="47" t="str">
        <f t="shared" ca="1" si="8"/>
        <v/>
      </c>
      <c r="O67" s="47" t="str">
        <f t="shared" ca="1" si="9"/>
        <v/>
      </c>
      <c r="P67" s="48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41" t="str">
        <f>IFERROR(IF(Datos!$A68="","",Idiomas!$A$12&amp;" "&amp;ROW()-1),"")</f>
        <v/>
      </c>
      <c r="B68" s="42">
        <f>IFERROR(MATCH(Datos!$A68,Configura!$B$9:$B$18,0),0)</f>
        <v>0</v>
      </c>
      <c r="C68" s="42">
        <f>IFERROR(MATCH(Datos!$B68,Configura!$D$9:$D$11,0),0)</f>
        <v>0</v>
      </c>
      <c r="D68" s="42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43" t="str">
        <f t="shared" ca="1" si="8"/>
        <v/>
      </c>
      <c r="F68" s="43" t="str">
        <f t="shared" ca="1" si="8"/>
        <v/>
      </c>
      <c r="G68" s="43" t="str">
        <f t="shared" ca="1" si="8"/>
        <v/>
      </c>
      <c r="H68" s="43" t="str">
        <f t="shared" ca="1" si="8"/>
        <v/>
      </c>
      <c r="I68" s="43" t="str">
        <f t="shared" ca="1" si="8"/>
        <v/>
      </c>
      <c r="J68" s="43" t="str">
        <f t="shared" ca="1" si="8"/>
        <v/>
      </c>
      <c r="K68" s="43" t="str">
        <f t="shared" ca="1" si="8"/>
        <v/>
      </c>
      <c r="L68" s="43" t="str">
        <f t="shared" ca="1" si="8"/>
        <v/>
      </c>
      <c r="M68" s="43" t="str">
        <f t="shared" ca="1" si="8"/>
        <v/>
      </c>
      <c r="N68" s="43" t="str">
        <f t="shared" ca="1" si="8"/>
        <v/>
      </c>
      <c r="O68" s="43" t="str">
        <f t="shared" ca="1" si="9"/>
        <v/>
      </c>
      <c r="P68" s="44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45" t="str">
        <f>IFERROR(IF(Datos!$A69="","",Idiomas!$A$12&amp;" "&amp;ROW()-1),"")</f>
        <v/>
      </c>
      <c r="B69" s="46">
        <f>IFERROR(MATCH(Datos!$A69,Configura!$B$9:$B$18,0),0)</f>
        <v>0</v>
      </c>
      <c r="C69" s="46">
        <f>IFERROR(MATCH(Datos!$B69,Configura!$D$9:$D$11,0),0)</f>
        <v>0</v>
      </c>
      <c r="D69" s="46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47" t="str">
        <f t="shared" ca="1" si="8"/>
        <v/>
      </c>
      <c r="F69" s="47" t="str">
        <f t="shared" ca="1" si="8"/>
        <v/>
      </c>
      <c r="G69" s="47" t="str">
        <f t="shared" ca="1" si="8"/>
        <v/>
      </c>
      <c r="H69" s="47" t="str">
        <f t="shared" ca="1" si="8"/>
        <v/>
      </c>
      <c r="I69" s="47" t="str">
        <f t="shared" ca="1" si="8"/>
        <v/>
      </c>
      <c r="J69" s="47" t="str">
        <f t="shared" ca="1" si="8"/>
        <v/>
      </c>
      <c r="K69" s="47" t="str">
        <f t="shared" ca="1" si="8"/>
        <v/>
      </c>
      <c r="L69" s="47" t="str">
        <f t="shared" ca="1" si="8"/>
        <v/>
      </c>
      <c r="M69" s="47" t="str">
        <f t="shared" ca="1" si="8"/>
        <v/>
      </c>
      <c r="N69" s="47" t="str">
        <f t="shared" ca="1" si="8"/>
        <v/>
      </c>
      <c r="O69" s="47" t="str">
        <f t="shared" ca="1" si="9"/>
        <v/>
      </c>
      <c r="P69" s="48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41" t="str">
        <f>IFERROR(IF(Datos!$A70="","",Idiomas!$A$12&amp;" "&amp;ROW()-1),"")</f>
        <v/>
      </c>
      <c r="B70" s="42">
        <f>IFERROR(MATCH(Datos!$A70,Configura!$B$9:$B$18,0),0)</f>
        <v>0</v>
      </c>
      <c r="C70" s="42">
        <f>IFERROR(MATCH(Datos!$B70,Configura!$D$9:$D$11,0),0)</f>
        <v>0</v>
      </c>
      <c r="D70" s="42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43" t="str">
        <f t="shared" ca="1" si="8"/>
        <v/>
      </c>
      <c r="F70" s="43" t="str">
        <f t="shared" ca="1" si="8"/>
        <v/>
      </c>
      <c r="G70" s="43" t="str">
        <f t="shared" ca="1" si="8"/>
        <v/>
      </c>
      <c r="H70" s="43" t="str">
        <f t="shared" ca="1" si="8"/>
        <v/>
      </c>
      <c r="I70" s="43" t="str">
        <f t="shared" ca="1" si="8"/>
        <v/>
      </c>
      <c r="J70" s="43" t="str">
        <f t="shared" ca="1" si="8"/>
        <v/>
      </c>
      <c r="K70" s="43" t="str">
        <f t="shared" ca="1" si="8"/>
        <v/>
      </c>
      <c r="L70" s="43" t="str">
        <f t="shared" ca="1" si="8"/>
        <v/>
      </c>
      <c r="M70" s="43" t="str">
        <f t="shared" ca="1" si="8"/>
        <v/>
      </c>
      <c r="N70" s="43" t="str">
        <f t="shared" ca="1" si="8"/>
        <v/>
      </c>
      <c r="O70" s="43" t="str">
        <f t="shared" ca="1" si="9"/>
        <v/>
      </c>
      <c r="P70" s="44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45" t="str">
        <f>IFERROR(IF(Datos!$A71="","",Idiomas!$A$12&amp;" "&amp;ROW()-1),"")</f>
        <v/>
      </c>
      <c r="B71" s="46">
        <f>IFERROR(MATCH(Datos!$A71,Configura!$B$9:$B$18,0),0)</f>
        <v>0</v>
      </c>
      <c r="C71" s="46">
        <f>IFERROR(MATCH(Datos!$B71,Configura!$D$9:$D$11,0),0)</f>
        <v>0</v>
      </c>
      <c r="D71" s="46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47" t="str">
        <f t="shared" ca="1" si="8"/>
        <v/>
      </c>
      <c r="F71" s="47" t="str">
        <f t="shared" ca="1" si="8"/>
        <v/>
      </c>
      <c r="G71" s="47" t="str">
        <f t="shared" ca="1" si="8"/>
        <v/>
      </c>
      <c r="H71" s="47" t="str">
        <f t="shared" ca="1" si="8"/>
        <v/>
      </c>
      <c r="I71" s="47" t="str">
        <f t="shared" ca="1" si="8"/>
        <v/>
      </c>
      <c r="J71" s="47" t="str">
        <f t="shared" ca="1" si="8"/>
        <v/>
      </c>
      <c r="K71" s="47" t="str">
        <f t="shared" ca="1" si="8"/>
        <v/>
      </c>
      <c r="L71" s="47" t="str">
        <f t="shared" ca="1" si="8"/>
        <v/>
      </c>
      <c r="M71" s="47" t="str">
        <f t="shared" ca="1" si="8"/>
        <v/>
      </c>
      <c r="N71" s="47" t="str">
        <f t="shared" ca="1" si="8"/>
        <v/>
      </c>
      <c r="O71" s="47" t="str">
        <f t="shared" ca="1" si="9"/>
        <v/>
      </c>
      <c r="P71" s="48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41" t="str">
        <f>IFERROR(IF(Datos!$A72="","",Idiomas!$A$12&amp;" "&amp;ROW()-1),"")</f>
        <v/>
      </c>
      <c r="B72" s="42">
        <f>IFERROR(MATCH(Datos!$A72,Configura!$B$9:$B$18,0),0)</f>
        <v>0</v>
      </c>
      <c r="C72" s="42">
        <f>IFERROR(MATCH(Datos!$B72,Configura!$D$9:$D$11,0),0)</f>
        <v>0</v>
      </c>
      <c r="D72" s="42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43" t="str">
        <f t="shared" ref="E72:N81" ca="1" si="10">IFERROR(E$1&amp;"-"&amp;MATCH($A72&amp;":",INDIRECT("KANBAN!"&amp;E$1&amp;":"&amp;E$1),0),"")</f>
        <v/>
      </c>
      <c r="F72" s="43" t="str">
        <f t="shared" ca="1" si="10"/>
        <v/>
      </c>
      <c r="G72" s="43" t="str">
        <f t="shared" ca="1" si="10"/>
        <v/>
      </c>
      <c r="H72" s="43" t="str">
        <f t="shared" ca="1" si="10"/>
        <v/>
      </c>
      <c r="I72" s="43" t="str">
        <f t="shared" ca="1" si="10"/>
        <v/>
      </c>
      <c r="J72" s="43" t="str">
        <f t="shared" ca="1" si="10"/>
        <v/>
      </c>
      <c r="K72" s="43" t="str">
        <f t="shared" ca="1" si="10"/>
        <v/>
      </c>
      <c r="L72" s="43" t="str">
        <f t="shared" ca="1" si="10"/>
        <v/>
      </c>
      <c r="M72" s="43" t="str">
        <f t="shared" ca="1" si="10"/>
        <v/>
      </c>
      <c r="N72" s="43" t="str">
        <f t="shared" ca="1" si="10"/>
        <v/>
      </c>
      <c r="O72" s="43" t="str">
        <f t="shared" ca="1" si="9"/>
        <v/>
      </c>
      <c r="P72" s="44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45" t="str">
        <f>IFERROR(IF(Datos!$A73="","",Idiomas!$A$12&amp;" "&amp;ROW()-1),"")</f>
        <v/>
      </c>
      <c r="B73" s="46">
        <f>IFERROR(MATCH(Datos!$A73,Configura!$B$9:$B$18,0),0)</f>
        <v>0</v>
      </c>
      <c r="C73" s="46">
        <f>IFERROR(MATCH(Datos!$B73,Configura!$D$9:$D$11,0),0)</f>
        <v>0</v>
      </c>
      <c r="D73" s="46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47" t="str">
        <f t="shared" ca="1" si="10"/>
        <v/>
      </c>
      <c r="F73" s="47" t="str">
        <f t="shared" ca="1" si="10"/>
        <v/>
      </c>
      <c r="G73" s="47" t="str">
        <f t="shared" ca="1" si="10"/>
        <v/>
      </c>
      <c r="H73" s="47" t="str">
        <f t="shared" ca="1" si="10"/>
        <v/>
      </c>
      <c r="I73" s="47" t="str">
        <f t="shared" ca="1" si="10"/>
        <v/>
      </c>
      <c r="J73" s="47" t="str">
        <f t="shared" ca="1" si="10"/>
        <v/>
      </c>
      <c r="K73" s="47" t="str">
        <f t="shared" ca="1" si="10"/>
        <v/>
      </c>
      <c r="L73" s="47" t="str">
        <f t="shared" ca="1" si="10"/>
        <v/>
      </c>
      <c r="M73" s="47" t="str">
        <f t="shared" ca="1" si="10"/>
        <v/>
      </c>
      <c r="N73" s="47" t="str">
        <f t="shared" ca="1" si="10"/>
        <v/>
      </c>
      <c r="O73" s="47" t="str">
        <f t="shared" ca="1" si="9"/>
        <v/>
      </c>
      <c r="P73" s="48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41" t="str">
        <f>IFERROR(IF(Datos!$A74="","",Idiomas!$A$12&amp;" "&amp;ROW()-1),"")</f>
        <v/>
      </c>
      <c r="B74" s="42">
        <f>IFERROR(MATCH(Datos!$A74,Configura!$B$9:$B$18,0),0)</f>
        <v>0</v>
      </c>
      <c r="C74" s="42">
        <f>IFERROR(MATCH(Datos!$B74,Configura!$D$9:$D$11,0),0)</f>
        <v>0</v>
      </c>
      <c r="D74" s="42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43" t="str">
        <f t="shared" ca="1" si="10"/>
        <v/>
      </c>
      <c r="F74" s="43" t="str">
        <f t="shared" ca="1" si="10"/>
        <v/>
      </c>
      <c r="G74" s="43" t="str">
        <f t="shared" ca="1" si="10"/>
        <v/>
      </c>
      <c r="H74" s="43" t="str">
        <f t="shared" ca="1" si="10"/>
        <v/>
      </c>
      <c r="I74" s="43" t="str">
        <f t="shared" ca="1" si="10"/>
        <v/>
      </c>
      <c r="J74" s="43" t="str">
        <f t="shared" ca="1" si="10"/>
        <v/>
      </c>
      <c r="K74" s="43" t="str">
        <f t="shared" ca="1" si="10"/>
        <v/>
      </c>
      <c r="L74" s="43" t="str">
        <f t="shared" ca="1" si="10"/>
        <v/>
      </c>
      <c r="M74" s="43" t="str">
        <f t="shared" ca="1" si="10"/>
        <v/>
      </c>
      <c r="N74" s="43" t="str">
        <f t="shared" ca="1" si="10"/>
        <v/>
      </c>
      <c r="O74" s="43" t="str">
        <f t="shared" ca="1" si="9"/>
        <v/>
      </c>
      <c r="P74" s="44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45" t="str">
        <f>IFERROR(IF(Datos!$A75="","",Idiomas!$A$12&amp;" "&amp;ROW()-1),"")</f>
        <v/>
      </c>
      <c r="B75" s="46">
        <f>IFERROR(MATCH(Datos!$A75,Configura!$B$9:$B$18,0),0)</f>
        <v>0</v>
      </c>
      <c r="C75" s="46">
        <f>IFERROR(MATCH(Datos!$B75,Configura!$D$9:$D$11,0),0)</f>
        <v>0</v>
      </c>
      <c r="D75" s="46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47" t="str">
        <f t="shared" ca="1" si="10"/>
        <v/>
      </c>
      <c r="F75" s="47" t="str">
        <f t="shared" ca="1" si="10"/>
        <v/>
      </c>
      <c r="G75" s="47" t="str">
        <f t="shared" ca="1" si="10"/>
        <v/>
      </c>
      <c r="H75" s="47" t="str">
        <f t="shared" ca="1" si="10"/>
        <v/>
      </c>
      <c r="I75" s="47" t="str">
        <f t="shared" ca="1" si="10"/>
        <v/>
      </c>
      <c r="J75" s="47" t="str">
        <f t="shared" ca="1" si="10"/>
        <v/>
      </c>
      <c r="K75" s="47" t="str">
        <f t="shared" ca="1" si="10"/>
        <v/>
      </c>
      <c r="L75" s="47" t="str">
        <f t="shared" ca="1" si="10"/>
        <v/>
      </c>
      <c r="M75" s="47" t="str">
        <f t="shared" ca="1" si="10"/>
        <v/>
      </c>
      <c r="N75" s="47" t="str">
        <f t="shared" ca="1" si="10"/>
        <v/>
      </c>
      <c r="O75" s="47" t="str">
        <f t="shared" ca="1" si="9"/>
        <v/>
      </c>
      <c r="P75" s="48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41" t="str">
        <f>IFERROR(IF(Datos!$A76="","",Idiomas!$A$12&amp;" "&amp;ROW()-1),"")</f>
        <v/>
      </c>
      <c r="B76" s="42">
        <f>IFERROR(MATCH(Datos!$A76,Configura!$B$9:$B$18,0),0)</f>
        <v>0</v>
      </c>
      <c r="C76" s="42">
        <f>IFERROR(MATCH(Datos!$B76,Configura!$D$9:$D$11,0),0)</f>
        <v>0</v>
      </c>
      <c r="D76" s="42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43" t="str">
        <f t="shared" ca="1" si="10"/>
        <v/>
      </c>
      <c r="F76" s="43" t="str">
        <f t="shared" ca="1" si="10"/>
        <v/>
      </c>
      <c r="G76" s="43" t="str">
        <f t="shared" ca="1" si="10"/>
        <v/>
      </c>
      <c r="H76" s="43" t="str">
        <f t="shared" ca="1" si="10"/>
        <v/>
      </c>
      <c r="I76" s="43" t="str">
        <f t="shared" ca="1" si="10"/>
        <v/>
      </c>
      <c r="J76" s="43" t="str">
        <f t="shared" ca="1" si="10"/>
        <v/>
      </c>
      <c r="K76" s="43" t="str">
        <f t="shared" ca="1" si="10"/>
        <v/>
      </c>
      <c r="L76" s="43" t="str">
        <f t="shared" ca="1" si="10"/>
        <v/>
      </c>
      <c r="M76" s="43" t="str">
        <f t="shared" ca="1" si="10"/>
        <v/>
      </c>
      <c r="N76" s="43" t="str">
        <f t="shared" ca="1" si="10"/>
        <v/>
      </c>
      <c r="O76" s="43" t="str">
        <f t="shared" ca="1" si="9"/>
        <v/>
      </c>
      <c r="P76" s="44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45" t="str">
        <f>IFERROR(IF(Datos!$A77="","",Idiomas!$A$12&amp;" "&amp;ROW()-1),"")</f>
        <v/>
      </c>
      <c r="B77" s="46">
        <f>IFERROR(MATCH(Datos!$A77,Configura!$B$9:$B$18,0),0)</f>
        <v>0</v>
      </c>
      <c r="C77" s="46">
        <f>IFERROR(MATCH(Datos!$B77,Configura!$D$9:$D$11,0),0)</f>
        <v>0</v>
      </c>
      <c r="D77" s="46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47" t="str">
        <f t="shared" ca="1" si="10"/>
        <v/>
      </c>
      <c r="F77" s="47" t="str">
        <f t="shared" ca="1" si="10"/>
        <v/>
      </c>
      <c r="G77" s="47" t="str">
        <f t="shared" ca="1" si="10"/>
        <v/>
      </c>
      <c r="H77" s="47" t="str">
        <f t="shared" ca="1" si="10"/>
        <v/>
      </c>
      <c r="I77" s="47" t="str">
        <f t="shared" ca="1" si="10"/>
        <v/>
      </c>
      <c r="J77" s="47" t="str">
        <f t="shared" ca="1" si="10"/>
        <v/>
      </c>
      <c r="K77" s="47" t="str">
        <f t="shared" ca="1" si="10"/>
        <v/>
      </c>
      <c r="L77" s="47" t="str">
        <f t="shared" ca="1" si="10"/>
        <v/>
      </c>
      <c r="M77" s="47" t="str">
        <f t="shared" ca="1" si="10"/>
        <v/>
      </c>
      <c r="N77" s="47" t="str">
        <f t="shared" ca="1" si="10"/>
        <v/>
      </c>
      <c r="O77" s="47" t="str">
        <f t="shared" ca="1" si="9"/>
        <v/>
      </c>
      <c r="P77" s="48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41" t="str">
        <f>IFERROR(IF(Datos!$A78="","",Idiomas!$A$12&amp;" "&amp;ROW()-1),"")</f>
        <v/>
      </c>
      <c r="B78" s="42">
        <f>IFERROR(MATCH(Datos!$A78,Configura!$B$9:$B$18,0),0)</f>
        <v>0</v>
      </c>
      <c r="C78" s="42">
        <f>IFERROR(MATCH(Datos!$B78,Configura!$D$9:$D$11,0),0)</f>
        <v>0</v>
      </c>
      <c r="D78" s="42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43" t="str">
        <f t="shared" ca="1" si="10"/>
        <v/>
      </c>
      <c r="F78" s="43" t="str">
        <f t="shared" ca="1" si="10"/>
        <v/>
      </c>
      <c r="G78" s="43" t="str">
        <f t="shared" ca="1" si="10"/>
        <v/>
      </c>
      <c r="H78" s="43" t="str">
        <f t="shared" ca="1" si="10"/>
        <v/>
      </c>
      <c r="I78" s="43" t="str">
        <f t="shared" ca="1" si="10"/>
        <v/>
      </c>
      <c r="J78" s="43" t="str">
        <f t="shared" ca="1" si="10"/>
        <v/>
      </c>
      <c r="K78" s="43" t="str">
        <f t="shared" ca="1" si="10"/>
        <v/>
      </c>
      <c r="L78" s="43" t="str">
        <f t="shared" ca="1" si="10"/>
        <v/>
      </c>
      <c r="M78" s="43" t="str">
        <f t="shared" ca="1" si="10"/>
        <v/>
      </c>
      <c r="N78" s="43" t="str">
        <f t="shared" ca="1" si="10"/>
        <v/>
      </c>
      <c r="O78" s="43" t="str">
        <f t="shared" ca="1" si="9"/>
        <v/>
      </c>
      <c r="P78" s="44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45" t="str">
        <f>IFERROR(IF(Datos!$A79="","",Idiomas!$A$12&amp;" "&amp;ROW()-1),"")</f>
        <v/>
      </c>
      <c r="B79" s="46">
        <f>IFERROR(MATCH(Datos!$A79,Configura!$B$9:$B$18,0),0)</f>
        <v>0</v>
      </c>
      <c r="C79" s="46">
        <f>IFERROR(MATCH(Datos!$B79,Configura!$D$9:$D$11,0),0)</f>
        <v>0</v>
      </c>
      <c r="D79" s="46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47" t="str">
        <f t="shared" ca="1" si="10"/>
        <v/>
      </c>
      <c r="F79" s="47" t="str">
        <f t="shared" ca="1" si="10"/>
        <v/>
      </c>
      <c r="G79" s="47" t="str">
        <f t="shared" ca="1" si="10"/>
        <v/>
      </c>
      <c r="H79" s="47" t="str">
        <f t="shared" ca="1" si="10"/>
        <v/>
      </c>
      <c r="I79" s="47" t="str">
        <f t="shared" ca="1" si="10"/>
        <v/>
      </c>
      <c r="J79" s="47" t="str">
        <f t="shared" ca="1" si="10"/>
        <v/>
      </c>
      <c r="K79" s="47" t="str">
        <f t="shared" ca="1" si="10"/>
        <v/>
      </c>
      <c r="L79" s="47" t="str">
        <f t="shared" ca="1" si="10"/>
        <v/>
      </c>
      <c r="M79" s="47" t="str">
        <f t="shared" ca="1" si="10"/>
        <v/>
      </c>
      <c r="N79" s="47" t="str">
        <f t="shared" ca="1" si="10"/>
        <v/>
      </c>
      <c r="O79" s="47" t="str">
        <f t="shared" ca="1" si="9"/>
        <v/>
      </c>
      <c r="P79" s="48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41" t="str">
        <f>IFERROR(IF(Datos!$A80="","",Idiomas!$A$12&amp;" "&amp;ROW()-1),"")</f>
        <v/>
      </c>
      <c r="B80" s="42">
        <f>IFERROR(MATCH(Datos!$A80,Configura!$B$9:$B$18,0),0)</f>
        <v>0</v>
      </c>
      <c r="C80" s="42">
        <f>IFERROR(MATCH(Datos!$B80,Configura!$D$9:$D$11,0),0)</f>
        <v>0</v>
      </c>
      <c r="D80" s="42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43" t="str">
        <f t="shared" ca="1" si="10"/>
        <v/>
      </c>
      <c r="F80" s="43" t="str">
        <f t="shared" ca="1" si="10"/>
        <v/>
      </c>
      <c r="G80" s="43" t="str">
        <f t="shared" ca="1" si="10"/>
        <v/>
      </c>
      <c r="H80" s="43" t="str">
        <f t="shared" ca="1" si="10"/>
        <v/>
      </c>
      <c r="I80" s="43" t="str">
        <f t="shared" ca="1" si="10"/>
        <v/>
      </c>
      <c r="J80" s="43" t="str">
        <f t="shared" ca="1" si="10"/>
        <v/>
      </c>
      <c r="K80" s="43" t="str">
        <f t="shared" ca="1" si="10"/>
        <v/>
      </c>
      <c r="L80" s="43" t="str">
        <f t="shared" ca="1" si="10"/>
        <v/>
      </c>
      <c r="M80" s="43" t="str">
        <f t="shared" ca="1" si="10"/>
        <v/>
      </c>
      <c r="N80" s="43" t="str">
        <f t="shared" ca="1" si="10"/>
        <v/>
      </c>
      <c r="O80" s="43" t="str">
        <f t="shared" ca="1" si="9"/>
        <v/>
      </c>
      <c r="P80" s="44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45" t="str">
        <f>IFERROR(IF(Datos!$A81="","",Idiomas!$A$12&amp;" "&amp;ROW()-1),"")</f>
        <v/>
      </c>
      <c r="B81" s="46">
        <f>IFERROR(MATCH(Datos!$A81,Configura!$B$9:$B$18,0),0)</f>
        <v>0</v>
      </c>
      <c r="C81" s="46">
        <f>IFERROR(MATCH(Datos!$B81,Configura!$D$9:$D$11,0),0)</f>
        <v>0</v>
      </c>
      <c r="D81" s="46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47" t="str">
        <f t="shared" ca="1" si="10"/>
        <v/>
      </c>
      <c r="F81" s="47" t="str">
        <f t="shared" ca="1" si="10"/>
        <v/>
      </c>
      <c r="G81" s="47" t="str">
        <f t="shared" ca="1" si="10"/>
        <v/>
      </c>
      <c r="H81" s="47" t="str">
        <f t="shared" ca="1" si="10"/>
        <v/>
      </c>
      <c r="I81" s="47" t="str">
        <f t="shared" ca="1" si="10"/>
        <v/>
      </c>
      <c r="J81" s="47" t="str">
        <f t="shared" ca="1" si="10"/>
        <v/>
      </c>
      <c r="K81" s="47" t="str">
        <f t="shared" ca="1" si="10"/>
        <v/>
      </c>
      <c r="L81" s="47" t="str">
        <f t="shared" ca="1" si="10"/>
        <v/>
      </c>
      <c r="M81" s="47" t="str">
        <f t="shared" ca="1" si="10"/>
        <v/>
      </c>
      <c r="N81" s="47" t="str">
        <f t="shared" ca="1" si="10"/>
        <v/>
      </c>
      <c r="O81" s="47" t="str">
        <f t="shared" ca="1" si="9"/>
        <v/>
      </c>
      <c r="P81" s="48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41" t="str">
        <f>IFERROR(IF(Datos!$A82="","",Idiomas!$A$12&amp;" "&amp;ROW()-1),"")</f>
        <v/>
      </c>
      <c r="B82" s="42">
        <f>IFERROR(MATCH(Datos!$A82,Configura!$B$9:$B$18,0),0)</f>
        <v>0</v>
      </c>
      <c r="C82" s="42">
        <f>IFERROR(MATCH(Datos!$B82,Configura!$D$9:$D$11,0),0)</f>
        <v>0</v>
      </c>
      <c r="D82" s="42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43" t="str">
        <f t="shared" ref="E82:N91" ca="1" si="11">IFERROR(E$1&amp;"-"&amp;MATCH($A82&amp;":",INDIRECT("KANBAN!"&amp;E$1&amp;":"&amp;E$1),0),"")</f>
        <v/>
      </c>
      <c r="F82" s="43" t="str">
        <f t="shared" ca="1" si="11"/>
        <v/>
      </c>
      <c r="G82" s="43" t="str">
        <f t="shared" ca="1" si="11"/>
        <v/>
      </c>
      <c r="H82" s="43" t="str">
        <f t="shared" ca="1" si="11"/>
        <v/>
      </c>
      <c r="I82" s="43" t="str">
        <f t="shared" ca="1" si="11"/>
        <v/>
      </c>
      <c r="J82" s="43" t="str">
        <f t="shared" ca="1" si="11"/>
        <v/>
      </c>
      <c r="K82" s="43" t="str">
        <f t="shared" ca="1" si="11"/>
        <v/>
      </c>
      <c r="L82" s="43" t="str">
        <f t="shared" ca="1" si="11"/>
        <v/>
      </c>
      <c r="M82" s="43" t="str">
        <f t="shared" ca="1" si="11"/>
        <v/>
      </c>
      <c r="N82" s="43" t="str">
        <f t="shared" ca="1" si="11"/>
        <v/>
      </c>
      <c r="O82" s="43" t="str">
        <f t="shared" ca="1" si="9"/>
        <v/>
      </c>
      <c r="P82" s="44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45" t="str">
        <f>IFERROR(IF(Datos!$A83="","",Idiomas!$A$12&amp;" "&amp;ROW()-1),"")</f>
        <v/>
      </c>
      <c r="B83" s="46">
        <f>IFERROR(MATCH(Datos!$A83,Configura!$B$9:$B$18,0),0)</f>
        <v>0</v>
      </c>
      <c r="C83" s="46">
        <f>IFERROR(MATCH(Datos!$B83,Configura!$D$9:$D$11,0),0)</f>
        <v>0</v>
      </c>
      <c r="D83" s="46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47" t="str">
        <f t="shared" ca="1" si="11"/>
        <v/>
      </c>
      <c r="F83" s="47" t="str">
        <f t="shared" ca="1" si="11"/>
        <v/>
      </c>
      <c r="G83" s="47" t="str">
        <f t="shared" ca="1" si="11"/>
        <v/>
      </c>
      <c r="H83" s="47" t="str">
        <f t="shared" ca="1" si="11"/>
        <v/>
      </c>
      <c r="I83" s="47" t="str">
        <f t="shared" ca="1" si="11"/>
        <v/>
      </c>
      <c r="J83" s="47" t="str">
        <f t="shared" ca="1" si="11"/>
        <v/>
      </c>
      <c r="K83" s="47" t="str">
        <f t="shared" ca="1" si="11"/>
        <v/>
      </c>
      <c r="L83" s="47" t="str">
        <f t="shared" ca="1" si="11"/>
        <v/>
      </c>
      <c r="M83" s="47" t="str">
        <f t="shared" ca="1" si="11"/>
        <v/>
      </c>
      <c r="N83" s="47" t="str">
        <f t="shared" ca="1" si="11"/>
        <v/>
      </c>
      <c r="O83" s="47" t="str">
        <f t="shared" ca="1" si="9"/>
        <v/>
      </c>
      <c r="P83" s="48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41" t="str">
        <f>IFERROR(IF(Datos!$A84="","",Idiomas!$A$12&amp;" "&amp;ROW()-1),"")</f>
        <v/>
      </c>
      <c r="B84" s="42">
        <f>IFERROR(MATCH(Datos!$A84,Configura!$B$9:$B$18,0),0)</f>
        <v>0</v>
      </c>
      <c r="C84" s="42">
        <f>IFERROR(MATCH(Datos!$B84,Configura!$D$9:$D$11,0),0)</f>
        <v>0</v>
      </c>
      <c r="D84" s="42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43" t="str">
        <f t="shared" ca="1" si="11"/>
        <v/>
      </c>
      <c r="F84" s="43" t="str">
        <f t="shared" ca="1" si="11"/>
        <v/>
      </c>
      <c r="G84" s="43" t="str">
        <f t="shared" ca="1" si="11"/>
        <v/>
      </c>
      <c r="H84" s="43" t="str">
        <f t="shared" ca="1" si="11"/>
        <v/>
      </c>
      <c r="I84" s="43" t="str">
        <f t="shared" ca="1" si="11"/>
        <v/>
      </c>
      <c r="J84" s="43" t="str">
        <f t="shared" ca="1" si="11"/>
        <v/>
      </c>
      <c r="K84" s="43" t="str">
        <f t="shared" ca="1" si="11"/>
        <v/>
      </c>
      <c r="L84" s="43" t="str">
        <f t="shared" ca="1" si="11"/>
        <v/>
      </c>
      <c r="M84" s="43" t="str">
        <f t="shared" ca="1" si="11"/>
        <v/>
      </c>
      <c r="N84" s="43" t="str">
        <f t="shared" ca="1" si="11"/>
        <v/>
      </c>
      <c r="O84" s="43" t="str">
        <f t="shared" ca="1" si="9"/>
        <v/>
      </c>
      <c r="P84" s="44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45" t="str">
        <f>IFERROR(IF(Datos!$A85="","",Idiomas!$A$12&amp;" "&amp;ROW()-1),"")</f>
        <v>Tarea 84</v>
      </c>
      <c r="B85" s="46">
        <f>IFERROR(MATCH(Datos!$A85,Configura!$B$9:$B$18,0),0)</f>
        <v>4</v>
      </c>
      <c r="C85" s="46">
        <f>IFERROR(MATCH(Datos!$B85,Configura!$D$9:$D$11,0),0)</f>
        <v>3</v>
      </c>
      <c r="D85" s="46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47" t="str">
        <f t="shared" ca="1" si="11"/>
        <v/>
      </c>
      <c r="F85" s="47" t="str">
        <f t="shared" ca="1" si="11"/>
        <v/>
      </c>
      <c r="G85" s="47" t="str">
        <f t="shared" ca="1" si="11"/>
        <v/>
      </c>
      <c r="H85" s="47" t="str">
        <f t="shared" ca="1" si="11"/>
        <v>R-6</v>
      </c>
      <c r="I85" s="47" t="str">
        <f t="shared" ca="1" si="11"/>
        <v/>
      </c>
      <c r="J85" s="47" t="str">
        <f t="shared" ca="1" si="11"/>
        <v/>
      </c>
      <c r="K85" s="47" t="str">
        <f t="shared" ca="1" si="11"/>
        <v/>
      </c>
      <c r="L85" s="47" t="str">
        <f t="shared" ca="1" si="11"/>
        <v/>
      </c>
      <c r="M85" s="47" t="str">
        <f t="shared" ca="1" si="11"/>
        <v/>
      </c>
      <c r="N85" s="47" t="str">
        <f t="shared" ca="1" si="11"/>
        <v/>
      </c>
      <c r="O85" s="47" t="str">
        <f t="shared" ca="1" si="9"/>
        <v>R-6</v>
      </c>
      <c r="P85" s="48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5.6" thickTop="1" thickBot="1" x14ac:dyDescent="0.35">
      <c r="A86" s="41" t="str">
        <f>IFERROR(IF(Datos!$A86="","",Idiomas!$A$12&amp;" "&amp;ROW()-1),"")</f>
        <v/>
      </c>
      <c r="B86" s="42">
        <f>IFERROR(MATCH(Datos!$A86,Configura!$B$9:$B$18,0),0)</f>
        <v>0</v>
      </c>
      <c r="C86" s="42">
        <f>IFERROR(MATCH(Datos!$B86,Configura!$D$9:$D$11,0),0)</f>
        <v>0</v>
      </c>
      <c r="D86" s="42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43" t="str">
        <f t="shared" ca="1" si="11"/>
        <v/>
      </c>
      <c r="F86" s="43" t="str">
        <f t="shared" ca="1" si="11"/>
        <v/>
      </c>
      <c r="G86" s="43" t="str">
        <f t="shared" ca="1" si="11"/>
        <v/>
      </c>
      <c r="H86" s="43" t="str">
        <f t="shared" ca="1" si="11"/>
        <v/>
      </c>
      <c r="I86" s="43" t="str">
        <f t="shared" ca="1" si="11"/>
        <v/>
      </c>
      <c r="J86" s="43" t="str">
        <f t="shared" ca="1" si="11"/>
        <v/>
      </c>
      <c r="K86" s="43" t="str">
        <f t="shared" ca="1" si="11"/>
        <v/>
      </c>
      <c r="L86" s="43" t="str">
        <f t="shared" ca="1" si="11"/>
        <v/>
      </c>
      <c r="M86" s="43" t="str">
        <f t="shared" ca="1" si="11"/>
        <v/>
      </c>
      <c r="N86" s="43" t="str">
        <f t="shared" ca="1" si="11"/>
        <v/>
      </c>
      <c r="O86" s="43" t="str">
        <f t="shared" ca="1" si="9"/>
        <v/>
      </c>
      <c r="P86" s="44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45" t="str">
        <f>IFERROR(IF(Datos!$A87="","",Idiomas!$A$12&amp;" "&amp;ROW()-1),"")</f>
        <v/>
      </c>
      <c r="B87" s="46">
        <f>IFERROR(MATCH(Datos!$A87,Configura!$B$9:$B$18,0),0)</f>
        <v>0</v>
      </c>
      <c r="C87" s="46">
        <f>IFERROR(MATCH(Datos!$B87,Configura!$D$9:$D$11,0),0)</f>
        <v>0</v>
      </c>
      <c r="D87" s="46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47" t="str">
        <f t="shared" ca="1" si="11"/>
        <v/>
      </c>
      <c r="F87" s="47" t="str">
        <f t="shared" ca="1" si="11"/>
        <v/>
      </c>
      <c r="G87" s="47" t="str">
        <f t="shared" ca="1" si="11"/>
        <v/>
      </c>
      <c r="H87" s="47" t="str">
        <f t="shared" ca="1" si="11"/>
        <v/>
      </c>
      <c r="I87" s="47" t="str">
        <f t="shared" ca="1" si="11"/>
        <v/>
      </c>
      <c r="J87" s="47" t="str">
        <f t="shared" ca="1" si="11"/>
        <v/>
      </c>
      <c r="K87" s="47" t="str">
        <f t="shared" ca="1" si="11"/>
        <v/>
      </c>
      <c r="L87" s="47" t="str">
        <f t="shared" ca="1" si="11"/>
        <v/>
      </c>
      <c r="M87" s="47" t="str">
        <f t="shared" ca="1" si="11"/>
        <v/>
      </c>
      <c r="N87" s="47" t="str">
        <f t="shared" ca="1" si="11"/>
        <v/>
      </c>
      <c r="O87" s="47" t="str">
        <f t="shared" ca="1" si="9"/>
        <v/>
      </c>
      <c r="P87" s="48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41" t="str">
        <f>IFERROR(IF(Datos!$A88="","",Idiomas!$A$12&amp;" "&amp;ROW()-1),"")</f>
        <v/>
      </c>
      <c r="B88" s="42">
        <f>IFERROR(MATCH(Datos!$A88,Configura!$B$9:$B$18,0),0)</f>
        <v>0</v>
      </c>
      <c r="C88" s="42">
        <f>IFERROR(MATCH(Datos!$B88,Configura!$D$9:$D$11,0),0)</f>
        <v>0</v>
      </c>
      <c r="D88" s="42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43" t="str">
        <f t="shared" ca="1" si="11"/>
        <v/>
      </c>
      <c r="F88" s="43" t="str">
        <f t="shared" ca="1" si="11"/>
        <v/>
      </c>
      <c r="G88" s="43" t="str">
        <f t="shared" ca="1" si="11"/>
        <v/>
      </c>
      <c r="H88" s="43" t="str">
        <f t="shared" ca="1" si="11"/>
        <v/>
      </c>
      <c r="I88" s="43" t="str">
        <f t="shared" ca="1" si="11"/>
        <v/>
      </c>
      <c r="J88" s="43" t="str">
        <f t="shared" ca="1" si="11"/>
        <v/>
      </c>
      <c r="K88" s="43" t="str">
        <f t="shared" ca="1" si="11"/>
        <v/>
      </c>
      <c r="L88" s="43" t="str">
        <f t="shared" ca="1" si="11"/>
        <v/>
      </c>
      <c r="M88" s="43" t="str">
        <f t="shared" ca="1" si="11"/>
        <v/>
      </c>
      <c r="N88" s="43" t="str">
        <f t="shared" ca="1" si="11"/>
        <v/>
      </c>
      <c r="O88" s="43" t="str">
        <f t="shared" ca="1" si="9"/>
        <v/>
      </c>
      <c r="P88" s="44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45" t="str">
        <f>IFERROR(IF(Datos!$A89="","",Idiomas!$A$12&amp;" "&amp;ROW()-1),"")</f>
        <v/>
      </c>
      <c r="B89" s="46">
        <f>IFERROR(MATCH(Datos!$A89,Configura!$B$9:$B$18,0),0)</f>
        <v>0</v>
      </c>
      <c r="C89" s="46">
        <f>IFERROR(MATCH(Datos!$B89,Configura!$D$9:$D$11,0),0)</f>
        <v>0</v>
      </c>
      <c r="D89" s="46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47" t="str">
        <f t="shared" ca="1" si="11"/>
        <v/>
      </c>
      <c r="F89" s="47" t="str">
        <f t="shared" ca="1" si="11"/>
        <v/>
      </c>
      <c r="G89" s="47" t="str">
        <f t="shared" ca="1" si="11"/>
        <v/>
      </c>
      <c r="H89" s="47" t="str">
        <f t="shared" ca="1" si="11"/>
        <v/>
      </c>
      <c r="I89" s="47" t="str">
        <f t="shared" ca="1" si="11"/>
        <v/>
      </c>
      <c r="J89" s="47" t="str">
        <f t="shared" ca="1" si="11"/>
        <v/>
      </c>
      <c r="K89" s="47" t="str">
        <f t="shared" ca="1" si="11"/>
        <v/>
      </c>
      <c r="L89" s="47" t="str">
        <f t="shared" ca="1" si="11"/>
        <v/>
      </c>
      <c r="M89" s="47" t="str">
        <f t="shared" ca="1" si="11"/>
        <v/>
      </c>
      <c r="N89" s="47" t="str">
        <f t="shared" ca="1" si="11"/>
        <v/>
      </c>
      <c r="O89" s="47" t="str">
        <f t="shared" ca="1" si="9"/>
        <v/>
      </c>
      <c r="P89" s="48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41" t="str">
        <f>IFERROR(IF(Datos!$A90="","",Idiomas!$A$12&amp;" "&amp;ROW()-1),"")</f>
        <v/>
      </c>
      <c r="B90" s="42">
        <f>IFERROR(MATCH(Datos!$A90,Configura!$B$9:$B$18,0),0)</f>
        <v>0</v>
      </c>
      <c r="C90" s="42">
        <f>IFERROR(MATCH(Datos!$B90,Configura!$D$9:$D$11,0),0)</f>
        <v>0</v>
      </c>
      <c r="D90" s="42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43" t="str">
        <f t="shared" ca="1" si="11"/>
        <v/>
      </c>
      <c r="F90" s="43" t="str">
        <f t="shared" ca="1" si="11"/>
        <v/>
      </c>
      <c r="G90" s="43" t="str">
        <f t="shared" ca="1" si="11"/>
        <v/>
      </c>
      <c r="H90" s="43" t="str">
        <f t="shared" ca="1" si="11"/>
        <v/>
      </c>
      <c r="I90" s="43" t="str">
        <f t="shared" ca="1" si="11"/>
        <v/>
      </c>
      <c r="J90" s="43" t="str">
        <f t="shared" ca="1" si="11"/>
        <v/>
      </c>
      <c r="K90" s="43" t="str">
        <f t="shared" ca="1" si="11"/>
        <v/>
      </c>
      <c r="L90" s="43" t="str">
        <f t="shared" ca="1" si="11"/>
        <v/>
      </c>
      <c r="M90" s="43" t="str">
        <f t="shared" ca="1" si="11"/>
        <v/>
      </c>
      <c r="N90" s="43" t="str">
        <f t="shared" ca="1" si="11"/>
        <v/>
      </c>
      <c r="O90" s="43" t="str">
        <f t="shared" ca="1" si="9"/>
        <v/>
      </c>
      <c r="P90" s="44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45" t="str">
        <f>IFERROR(IF(Datos!$A91="","",Idiomas!$A$12&amp;" "&amp;ROW()-1),"")</f>
        <v/>
      </c>
      <c r="B91" s="46">
        <f>IFERROR(MATCH(Datos!$A91,Configura!$B$9:$B$18,0),0)</f>
        <v>0</v>
      </c>
      <c r="C91" s="46">
        <f>IFERROR(MATCH(Datos!$B91,Configura!$D$9:$D$11,0),0)</f>
        <v>0</v>
      </c>
      <c r="D91" s="46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47" t="str">
        <f t="shared" ca="1" si="11"/>
        <v/>
      </c>
      <c r="F91" s="47" t="str">
        <f t="shared" ca="1" si="11"/>
        <v/>
      </c>
      <c r="G91" s="47" t="str">
        <f t="shared" ca="1" si="11"/>
        <v/>
      </c>
      <c r="H91" s="47" t="str">
        <f t="shared" ca="1" si="11"/>
        <v/>
      </c>
      <c r="I91" s="47" t="str">
        <f t="shared" ca="1" si="11"/>
        <v/>
      </c>
      <c r="J91" s="47" t="str">
        <f t="shared" ca="1" si="11"/>
        <v/>
      </c>
      <c r="K91" s="47" t="str">
        <f t="shared" ca="1" si="11"/>
        <v/>
      </c>
      <c r="L91" s="47" t="str">
        <f t="shared" ca="1" si="11"/>
        <v/>
      </c>
      <c r="M91" s="47" t="str">
        <f t="shared" ca="1" si="11"/>
        <v/>
      </c>
      <c r="N91" s="47" t="str">
        <f t="shared" ca="1" si="11"/>
        <v/>
      </c>
      <c r="O91" s="47" t="str">
        <f t="shared" ca="1" si="9"/>
        <v/>
      </c>
      <c r="P91" s="48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41" t="str">
        <f>IFERROR(IF(Datos!$A92="","",Idiomas!$A$12&amp;" "&amp;ROW()-1),"")</f>
        <v/>
      </c>
      <c r="B92" s="42">
        <f>IFERROR(MATCH(Datos!$A92,Configura!$B$9:$B$18,0),0)</f>
        <v>0</v>
      </c>
      <c r="C92" s="42">
        <f>IFERROR(MATCH(Datos!$B92,Configura!$D$9:$D$11,0),0)</f>
        <v>0</v>
      </c>
      <c r="D92" s="42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43" t="str">
        <f t="shared" ref="E92:N101" ca="1" si="12">IFERROR(E$1&amp;"-"&amp;MATCH($A92&amp;":",INDIRECT("KANBAN!"&amp;E$1&amp;":"&amp;E$1),0),"")</f>
        <v/>
      </c>
      <c r="F92" s="43" t="str">
        <f t="shared" ca="1" si="12"/>
        <v/>
      </c>
      <c r="G92" s="43" t="str">
        <f t="shared" ca="1" si="12"/>
        <v/>
      </c>
      <c r="H92" s="43" t="str">
        <f t="shared" ca="1" si="12"/>
        <v/>
      </c>
      <c r="I92" s="43" t="str">
        <f t="shared" ca="1" si="12"/>
        <v/>
      </c>
      <c r="J92" s="43" t="str">
        <f t="shared" ca="1" si="12"/>
        <v/>
      </c>
      <c r="K92" s="43" t="str">
        <f t="shared" ca="1" si="12"/>
        <v/>
      </c>
      <c r="L92" s="43" t="str">
        <f t="shared" ca="1" si="12"/>
        <v/>
      </c>
      <c r="M92" s="43" t="str">
        <f t="shared" ca="1" si="12"/>
        <v/>
      </c>
      <c r="N92" s="43" t="str">
        <f t="shared" ca="1" si="12"/>
        <v/>
      </c>
      <c r="O92" s="43" t="str">
        <f t="shared" ca="1" si="9"/>
        <v/>
      </c>
      <c r="P92" s="44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45" t="str">
        <f>IFERROR(IF(Datos!$A93="","",Idiomas!$A$12&amp;" "&amp;ROW()-1),"")</f>
        <v/>
      </c>
      <c r="B93" s="46">
        <f>IFERROR(MATCH(Datos!$A93,Configura!$B$9:$B$18,0),0)</f>
        <v>0</v>
      </c>
      <c r="C93" s="46">
        <f>IFERROR(MATCH(Datos!$B93,Configura!$D$9:$D$11,0),0)</f>
        <v>0</v>
      </c>
      <c r="D93" s="46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47" t="str">
        <f t="shared" ca="1" si="12"/>
        <v/>
      </c>
      <c r="F93" s="47" t="str">
        <f t="shared" ca="1" si="12"/>
        <v/>
      </c>
      <c r="G93" s="47" t="str">
        <f t="shared" ca="1" si="12"/>
        <v/>
      </c>
      <c r="H93" s="47" t="str">
        <f t="shared" ca="1" si="12"/>
        <v/>
      </c>
      <c r="I93" s="47" t="str">
        <f t="shared" ca="1" si="12"/>
        <v/>
      </c>
      <c r="J93" s="47" t="str">
        <f t="shared" ca="1" si="12"/>
        <v/>
      </c>
      <c r="K93" s="47" t="str">
        <f t="shared" ca="1" si="12"/>
        <v/>
      </c>
      <c r="L93" s="47" t="str">
        <f t="shared" ca="1" si="12"/>
        <v/>
      </c>
      <c r="M93" s="47" t="str">
        <f t="shared" ca="1" si="12"/>
        <v/>
      </c>
      <c r="N93" s="47" t="str">
        <f t="shared" ca="1" si="12"/>
        <v/>
      </c>
      <c r="O93" s="47" t="str">
        <f t="shared" ca="1" si="9"/>
        <v/>
      </c>
      <c r="P93" s="48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41" t="str">
        <f>IFERROR(IF(Datos!$A94="","",Idiomas!$A$12&amp;" "&amp;ROW()-1),"")</f>
        <v/>
      </c>
      <c r="B94" s="42">
        <f>IFERROR(MATCH(Datos!$A94,Configura!$B$9:$B$18,0),0)</f>
        <v>0</v>
      </c>
      <c r="C94" s="42">
        <f>IFERROR(MATCH(Datos!$B94,Configura!$D$9:$D$11,0),0)</f>
        <v>0</v>
      </c>
      <c r="D94" s="42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43" t="str">
        <f t="shared" ca="1" si="12"/>
        <v/>
      </c>
      <c r="F94" s="43" t="str">
        <f t="shared" ca="1" si="12"/>
        <v/>
      </c>
      <c r="G94" s="43" t="str">
        <f t="shared" ca="1" si="12"/>
        <v/>
      </c>
      <c r="H94" s="43" t="str">
        <f t="shared" ca="1" si="12"/>
        <v/>
      </c>
      <c r="I94" s="43" t="str">
        <f t="shared" ca="1" si="12"/>
        <v/>
      </c>
      <c r="J94" s="43" t="str">
        <f t="shared" ca="1" si="12"/>
        <v/>
      </c>
      <c r="K94" s="43" t="str">
        <f t="shared" ca="1" si="12"/>
        <v/>
      </c>
      <c r="L94" s="43" t="str">
        <f t="shared" ca="1" si="12"/>
        <v/>
      </c>
      <c r="M94" s="43" t="str">
        <f t="shared" ca="1" si="12"/>
        <v/>
      </c>
      <c r="N94" s="43" t="str">
        <f t="shared" ca="1" si="12"/>
        <v/>
      </c>
      <c r="O94" s="43" t="str">
        <f t="shared" ca="1" si="9"/>
        <v/>
      </c>
      <c r="P94" s="44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45" t="str">
        <f>IFERROR(IF(Datos!$A95="","",Idiomas!$A$12&amp;" "&amp;ROW()-1),"")</f>
        <v/>
      </c>
      <c r="B95" s="46">
        <f>IFERROR(MATCH(Datos!$A95,Configura!$B$9:$B$18,0),0)</f>
        <v>0</v>
      </c>
      <c r="C95" s="46">
        <f>IFERROR(MATCH(Datos!$B95,Configura!$D$9:$D$11,0),0)</f>
        <v>0</v>
      </c>
      <c r="D95" s="46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47" t="str">
        <f t="shared" ca="1" si="12"/>
        <v/>
      </c>
      <c r="F95" s="47" t="str">
        <f t="shared" ca="1" si="12"/>
        <v/>
      </c>
      <c r="G95" s="47" t="str">
        <f t="shared" ca="1" si="12"/>
        <v/>
      </c>
      <c r="H95" s="47" t="str">
        <f t="shared" ca="1" si="12"/>
        <v/>
      </c>
      <c r="I95" s="47" t="str">
        <f t="shared" ca="1" si="12"/>
        <v/>
      </c>
      <c r="J95" s="47" t="str">
        <f t="shared" ca="1" si="12"/>
        <v/>
      </c>
      <c r="K95" s="47" t="str">
        <f t="shared" ca="1" si="12"/>
        <v/>
      </c>
      <c r="L95" s="47" t="str">
        <f t="shared" ca="1" si="12"/>
        <v/>
      </c>
      <c r="M95" s="47" t="str">
        <f t="shared" ca="1" si="12"/>
        <v/>
      </c>
      <c r="N95" s="47" t="str">
        <f t="shared" ca="1" si="12"/>
        <v/>
      </c>
      <c r="O95" s="47" t="str">
        <f t="shared" ca="1" si="9"/>
        <v/>
      </c>
      <c r="P95" s="48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41" t="str">
        <f>IFERROR(IF(Datos!$A96="","",Idiomas!$A$12&amp;" "&amp;ROW()-1),"")</f>
        <v/>
      </c>
      <c r="B96" s="42">
        <f>IFERROR(MATCH(Datos!$A96,Configura!$B$9:$B$18,0),0)</f>
        <v>0</v>
      </c>
      <c r="C96" s="42">
        <f>IFERROR(MATCH(Datos!$B96,Configura!$D$9:$D$11,0),0)</f>
        <v>0</v>
      </c>
      <c r="D96" s="42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43" t="str">
        <f t="shared" ca="1" si="12"/>
        <v/>
      </c>
      <c r="F96" s="43" t="str">
        <f t="shared" ca="1" si="12"/>
        <v/>
      </c>
      <c r="G96" s="43" t="str">
        <f t="shared" ca="1" si="12"/>
        <v/>
      </c>
      <c r="H96" s="43" t="str">
        <f t="shared" ca="1" si="12"/>
        <v/>
      </c>
      <c r="I96" s="43" t="str">
        <f t="shared" ca="1" si="12"/>
        <v/>
      </c>
      <c r="J96" s="43" t="str">
        <f t="shared" ca="1" si="12"/>
        <v/>
      </c>
      <c r="K96" s="43" t="str">
        <f t="shared" ca="1" si="12"/>
        <v/>
      </c>
      <c r="L96" s="43" t="str">
        <f t="shared" ca="1" si="12"/>
        <v/>
      </c>
      <c r="M96" s="43" t="str">
        <f t="shared" ca="1" si="12"/>
        <v/>
      </c>
      <c r="N96" s="43" t="str">
        <f t="shared" ca="1" si="12"/>
        <v/>
      </c>
      <c r="O96" s="43" t="str">
        <f t="shared" ca="1" si="9"/>
        <v/>
      </c>
      <c r="P96" s="44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45" t="str">
        <f>IFERROR(IF(Datos!$A97="","",Idiomas!$A$12&amp;" "&amp;ROW()-1),"")</f>
        <v/>
      </c>
      <c r="B97" s="46">
        <f>IFERROR(MATCH(Datos!$A97,Configura!$B$9:$B$18,0),0)</f>
        <v>0</v>
      </c>
      <c r="C97" s="46">
        <f>IFERROR(MATCH(Datos!$B97,Configura!$D$9:$D$11,0),0)</f>
        <v>0</v>
      </c>
      <c r="D97" s="46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47" t="str">
        <f t="shared" ca="1" si="12"/>
        <v/>
      </c>
      <c r="F97" s="47" t="str">
        <f t="shared" ca="1" si="12"/>
        <v/>
      </c>
      <c r="G97" s="47" t="str">
        <f t="shared" ca="1" si="12"/>
        <v/>
      </c>
      <c r="H97" s="47" t="str">
        <f t="shared" ca="1" si="12"/>
        <v/>
      </c>
      <c r="I97" s="47" t="str">
        <f t="shared" ca="1" si="12"/>
        <v/>
      </c>
      <c r="J97" s="47" t="str">
        <f t="shared" ca="1" si="12"/>
        <v/>
      </c>
      <c r="K97" s="47" t="str">
        <f t="shared" ca="1" si="12"/>
        <v/>
      </c>
      <c r="L97" s="47" t="str">
        <f t="shared" ca="1" si="12"/>
        <v/>
      </c>
      <c r="M97" s="47" t="str">
        <f t="shared" ca="1" si="12"/>
        <v/>
      </c>
      <c r="N97" s="47" t="str">
        <f t="shared" ca="1" si="12"/>
        <v/>
      </c>
      <c r="O97" s="47" t="str">
        <f t="shared" ca="1" si="9"/>
        <v/>
      </c>
      <c r="P97" s="48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41" t="str">
        <f>IFERROR(IF(Datos!$A98="","",Idiomas!$A$12&amp;" "&amp;ROW()-1),"")</f>
        <v/>
      </c>
      <c r="B98" s="42">
        <f>IFERROR(MATCH(Datos!$A98,Configura!$B$9:$B$18,0),0)</f>
        <v>0</v>
      </c>
      <c r="C98" s="42">
        <f>IFERROR(MATCH(Datos!$B98,Configura!$D$9:$D$11,0),0)</f>
        <v>0</v>
      </c>
      <c r="D98" s="42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43" t="str">
        <f t="shared" ca="1" si="12"/>
        <v/>
      </c>
      <c r="F98" s="43" t="str">
        <f t="shared" ca="1" si="12"/>
        <v/>
      </c>
      <c r="G98" s="43" t="str">
        <f t="shared" ca="1" si="12"/>
        <v/>
      </c>
      <c r="H98" s="43" t="str">
        <f t="shared" ca="1" si="12"/>
        <v/>
      </c>
      <c r="I98" s="43" t="str">
        <f t="shared" ca="1" si="12"/>
        <v/>
      </c>
      <c r="J98" s="43" t="str">
        <f t="shared" ca="1" si="12"/>
        <v/>
      </c>
      <c r="K98" s="43" t="str">
        <f t="shared" ca="1" si="12"/>
        <v/>
      </c>
      <c r="L98" s="43" t="str">
        <f t="shared" ca="1" si="12"/>
        <v/>
      </c>
      <c r="M98" s="43" t="str">
        <f t="shared" ca="1" si="12"/>
        <v/>
      </c>
      <c r="N98" s="43" t="str">
        <f t="shared" ca="1" si="12"/>
        <v/>
      </c>
      <c r="O98" s="43" t="str">
        <f t="shared" ref="O98:O101" ca="1" si="13">E98&amp;F98&amp;G98&amp;H98&amp;I98&amp;J98&amp;K98&amp;L98&amp;M98&amp;N98</f>
        <v/>
      </c>
      <c r="P98" s="44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45" t="str">
        <f>IFERROR(IF(Datos!$A99="","",Idiomas!$A$12&amp;" "&amp;ROW()-1),"")</f>
        <v/>
      </c>
      <c r="B99" s="46">
        <f>IFERROR(MATCH(Datos!$A99,Configura!$B$9:$B$18,0),0)</f>
        <v>0</v>
      </c>
      <c r="C99" s="46">
        <f>IFERROR(MATCH(Datos!$B99,Configura!$D$9:$D$11,0),0)</f>
        <v>0</v>
      </c>
      <c r="D99" s="46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47" t="str">
        <f t="shared" ca="1" si="12"/>
        <v/>
      </c>
      <c r="F99" s="47" t="str">
        <f t="shared" ca="1" si="12"/>
        <v/>
      </c>
      <c r="G99" s="47" t="str">
        <f t="shared" ca="1" si="12"/>
        <v/>
      </c>
      <c r="H99" s="47" t="str">
        <f t="shared" ca="1" si="12"/>
        <v/>
      </c>
      <c r="I99" s="47" t="str">
        <f t="shared" ca="1" si="12"/>
        <v/>
      </c>
      <c r="J99" s="47" t="str">
        <f t="shared" ca="1" si="12"/>
        <v/>
      </c>
      <c r="K99" s="47" t="str">
        <f t="shared" ca="1" si="12"/>
        <v/>
      </c>
      <c r="L99" s="47" t="str">
        <f t="shared" ca="1" si="12"/>
        <v/>
      </c>
      <c r="M99" s="47" t="str">
        <f t="shared" ca="1" si="12"/>
        <v/>
      </c>
      <c r="N99" s="47" t="str">
        <f t="shared" ca="1" si="12"/>
        <v/>
      </c>
      <c r="O99" s="47" t="str">
        <f t="shared" ca="1" si="13"/>
        <v/>
      </c>
      <c r="P99" s="48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41" t="str">
        <f>IFERROR(IF(Datos!$A100="","",Idiomas!$A$12&amp;" "&amp;ROW()-1),"")</f>
        <v/>
      </c>
      <c r="B100" s="42">
        <f>IFERROR(MATCH(Datos!$A100,Configura!$B$9:$B$18,0),0)</f>
        <v>0</v>
      </c>
      <c r="C100" s="42">
        <f>IFERROR(MATCH(Datos!$B100,Configura!$D$9:$D$11,0),0)</f>
        <v>0</v>
      </c>
      <c r="D100" s="42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43" t="str">
        <f t="shared" ca="1" si="12"/>
        <v/>
      </c>
      <c r="F100" s="43" t="str">
        <f t="shared" ca="1" si="12"/>
        <v/>
      </c>
      <c r="G100" s="43" t="str">
        <f t="shared" ca="1" si="12"/>
        <v/>
      </c>
      <c r="H100" s="43" t="str">
        <f t="shared" ca="1" si="12"/>
        <v/>
      </c>
      <c r="I100" s="43" t="str">
        <f t="shared" ca="1" si="12"/>
        <v/>
      </c>
      <c r="J100" s="43" t="str">
        <f t="shared" ca="1" si="12"/>
        <v/>
      </c>
      <c r="K100" s="43" t="str">
        <f t="shared" ca="1" si="12"/>
        <v/>
      </c>
      <c r="L100" s="43" t="str">
        <f t="shared" ca="1" si="12"/>
        <v/>
      </c>
      <c r="M100" s="43" t="str">
        <f t="shared" ca="1" si="12"/>
        <v/>
      </c>
      <c r="N100" s="43" t="str">
        <f t="shared" ca="1" si="12"/>
        <v/>
      </c>
      <c r="O100" s="43" t="str">
        <f t="shared" ca="1" si="13"/>
        <v/>
      </c>
      <c r="P100" s="44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49" t="str">
        <f>IFERROR(IF(Datos!$A101="","",Idiomas!$A$12&amp;" "&amp;ROW()-1),"")</f>
        <v/>
      </c>
      <c r="B101" s="50">
        <f>IFERROR(MATCH(Datos!$A101,Configura!$B$9:$B$18,0),0)</f>
        <v>0</v>
      </c>
      <c r="C101" s="50">
        <f>IFERROR(MATCH(Datos!$B101,Configura!$D$9:$D$11,0),0)</f>
        <v>0</v>
      </c>
      <c r="D101" s="50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51" t="str">
        <f t="shared" ca="1" si="12"/>
        <v/>
      </c>
      <c r="F101" s="51" t="str">
        <f t="shared" ca="1" si="12"/>
        <v/>
      </c>
      <c r="G101" s="51" t="str">
        <f t="shared" ca="1" si="12"/>
        <v/>
      </c>
      <c r="H101" s="51" t="str">
        <f t="shared" ca="1" si="12"/>
        <v/>
      </c>
      <c r="I101" s="51" t="str">
        <f t="shared" ca="1" si="12"/>
        <v/>
      </c>
      <c r="J101" s="51" t="str">
        <f t="shared" ca="1" si="12"/>
        <v/>
      </c>
      <c r="K101" s="51" t="str">
        <f t="shared" ca="1" si="12"/>
        <v/>
      </c>
      <c r="L101" s="51" t="str">
        <f t="shared" ca="1" si="12"/>
        <v/>
      </c>
      <c r="M101" s="51" t="str">
        <f t="shared" ca="1" si="12"/>
        <v/>
      </c>
      <c r="N101" s="51" t="str">
        <f t="shared" ca="1" si="12"/>
        <v/>
      </c>
      <c r="O101" s="51" t="str">
        <f t="shared" ca="1" si="13"/>
        <v/>
      </c>
      <c r="P101" s="52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1" customFormat="1" x14ac:dyDescent="0.3">
      <c r="A1" s="25"/>
      <c r="B1" s="20">
        <v>1</v>
      </c>
      <c r="C1" s="19" t="str" cm="1">
        <f t="array" ref="C1">IFERROR(INDEX(Configura!$B$9:$B$18,B1)&amp;"","")</f>
        <v>POR HACER</v>
      </c>
      <c r="D1" s="19"/>
      <c r="E1" s="19"/>
      <c r="F1" s="20" t="str">
        <f>KANBAN!F4</f>
        <v>^</v>
      </c>
      <c r="G1" s="20">
        <f>B1+1</f>
        <v>2</v>
      </c>
      <c r="H1" s="19" t="str" cm="1">
        <f t="array" ref="H1">IFERROR(INDEX(Configura!$B$9:$B$18,G1)&amp;"","")</f>
        <v>EN PROGRESO</v>
      </c>
      <c r="I1" s="19"/>
      <c r="J1" s="19"/>
      <c r="K1" s="20" t="str">
        <f>KANBAN!K4</f>
        <v>^</v>
      </c>
      <c r="L1" s="20">
        <f>G1+1</f>
        <v>3</v>
      </c>
      <c r="M1" s="19" t="str" cm="1">
        <f t="array" ref="M1">IFERROR(INDEX(Configura!$B$9:$B$18,L1)&amp;"","")</f>
        <v>EN ESPERA</v>
      </c>
      <c r="N1" s="19"/>
      <c r="O1" s="19"/>
      <c r="P1" s="20" t="str">
        <f>KANBAN!P4</f>
        <v>^</v>
      </c>
      <c r="Q1" s="20">
        <f>L1+1</f>
        <v>4</v>
      </c>
      <c r="R1" s="19" t="str" cm="1">
        <f t="array" ref="R1">IFERROR(INDEX(Configura!$B$9:$B$18,Q1)&amp;"","")</f>
        <v>COMPLETADO</v>
      </c>
      <c r="S1" s="19"/>
      <c r="T1" s="19"/>
      <c r="U1" s="20" t="str">
        <f>KANBAN!U4</f>
        <v>^</v>
      </c>
      <c r="V1" s="20">
        <f>Q1+1</f>
        <v>5</v>
      </c>
      <c r="W1" s="19" t="str" cm="1">
        <f t="array" ref="W1">IFERROR(INDEX(Configura!$B$9:$B$18,V1)&amp;"","")</f>
        <v>ARCHIVADO</v>
      </c>
      <c r="X1" s="19"/>
      <c r="Y1" s="19"/>
      <c r="Z1" s="20" t="str">
        <f>KANBAN!Z4</f>
        <v>^</v>
      </c>
      <c r="AA1" s="20">
        <f>V1+1</f>
        <v>6</v>
      </c>
      <c r="AB1" s="19" t="str" cm="1">
        <f t="array" ref="AB1">IFERROR(INDEX(Configura!$B$9:$B$18,AA1)&amp;"","")</f>
        <v>POR HACER</v>
      </c>
      <c r="AC1" s="19"/>
      <c r="AD1" s="19"/>
      <c r="AE1" s="20" t="str">
        <f>KANBAN!AE4</f>
        <v>^</v>
      </c>
      <c r="AF1" s="20">
        <f>AA1+1</f>
        <v>7</v>
      </c>
      <c r="AG1" s="19" t="str" cm="1">
        <f t="array" ref="AG1">IFERROR(INDEX(Configura!$B$9:$B$18,AF1)&amp;"","")</f>
        <v>EN PROGRESO</v>
      </c>
      <c r="AH1" s="19"/>
      <c r="AI1" s="19"/>
      <c r="AJ1" s="20" t="str">
        <f>KANBAN!AJ4</f>
        <v>^</v>
      </c>
      <c r="AK1" s="20">
        <f>AF1+1</f>
        <v>8</v>
      </c>
      <c r="AL1" s="19" t="str" cm="1">
        <f t="array" ref="AL1">IFERROR(INDEX(Configura!$B$9:$B$18,AK1)&amp;"","")</f>
        <v/>
      </c>
      <c r="AM1" s="19"/>
      <c r="AN1" s="19"/>
      <c r="AO1" s="20" t="str">
        <f>KANBAN!AO4</f>
        <v>^</v>
      </c>
      <c r="AP1" s="20">
        <f>AK1+1</f>
        <v>9</v>
      </c>
      <c r="AQ1" s="19" t="str" cm="1">
        <f t="array" ref="AQ1">IFERROR(INDEX(Configura!$B$9:$B$18,AP1)&amp;"","")</f>
        <v/>
      </c>
      <c r="AR1" s="19"/>
      <c r="AS1" s="19"/>
      <c r="AT1" s="20" t="str">
        <f>KANBAN!AT4</f>
        <v>^</v>
      </c>
      <c r="AU1" s="20">
        <f>AP1+1</f>
        <v>10</v>
      </c>
      <c r="AV1" s="19" t="str" cm="1">
        <f t="array" ref="AV1">IFERROR(INDEX(Configura!$B$9:$B$18,AU1)&amp;"","")</f>
        <v/>
      </c>
      <c r="AW1" s="19"/>
      <c r="AX1" s="19"/>
      <c r="AY1" s="20" t="str">
        <f>KANBAN!AY4</f>
        <v>^</v>
      </c>
    </row>
    <row r="2" spans="1:51" x14ac:dyDescent="0.3">
      <c r="B2" s="17" t="str" cm="1">
        <f t="array" aca="1" ref="B2:B101" ca="1">IF((misEstados=B$1)*(misFiltros=1),ROW(misEstados)-1,"")</f>
        <v/>
      </c>
      <c r="C2" s="18">
        <v>0</v>
      </c>
      <c r="D2" s="18"/>
      <c r="E2" s="18"/>
      <c r="F2" s="18"/>
      <c r="G2" s="17" t="str" cm="1">
        <f t="array" aca="1" ref="G2:G101" ca="1">IF((misEstados=G$1)*(misFiltros=1),ROW(misEstados)-1,"")</f>
        <v/>
      </c>
      <c r="H2" s="18">
        <v>0</v>
      </c>
      <c r="I2" s="18"/>
      <c r="J2" s="18"/>
      <c r="K2" s="18"/>
      <c r="L2" s="17" t="str" cm="1">
        <f t="array" aca="1" ref="L2:L101" ca="1">IF((misEstados=L$1)*(misFiltros=1),ROW(misEstados)-1,"")</f>
        <v/>
      </c>
      <c r="M2" s="18">
        <v>0</v>
      </c>
      <c r="N2" s="18"/>
      <c r="O2" s="18"/>
      <c r="P2" s="18"/>
      <c r="Q2" s="17" cm="1">
        <f t="array" aca="1" ref="Q2:Q101" ca="1">IF((misEstados=Q$1)*(misFiltros=1),ROW(misEstados)-1,"")</f>
        <v>1</v>
      </c>
      <c r="R2" s="18">
        <v>0</v>
      </c>
      <c r="S2" s="18"/>
      <c r="T2" s="18"/>
      <c r="U2" s="18"/>
      <c r="V2" s="17" t="str" cm="1">
        <f t="array" aca="1" ref="V2:V101" ca="1">IF((misEstados=V$1)*(misFiltros=1),ROW(misEstados)-1,"")</f>
        <v/>
      </c>
      <c r="W2" s="18">
        <v>0</v>
      </c>
      <c r="X2" s="18"/>
      <c r="Y2" s="18"/>
      <c r="Z2" s="18"/>
      <c r="AA2" s="17" t="str" cm="1">
        <f t="array" aca="1" ref="AA2:AA101" ca="1">IF((misEstados=AA$1)*(misFiltros=1),ROW(misEstados)-1,"")</f>
        <v/>
      </c>
      <c r="AB2" s="18">
        <v>0</v>
      </c>
      <c r="AC2" s="18"/>
      <c r="AD2" s="18"/>
      <c r="AE2" s="18"/>
      <c r="AF2" s="17" t="str" cm="1">
        <f t="array" aca="1" ref="AF2:AF101" ca="1">IF((misEstados=AF$1)*(misFiltros=1),ROW(misEstados)-1,"")</f>
        <v/>
      </c>
      <c r="AG2" s="18">
        <v>0</v>
      </c>
      <c r="AH2" s="18"/>
      <c r="AI2" s="18"/>
      <c r="AJ2" s="18"/>
      <c r="AK2" s="17" t="str" cm="1">
        <f t="array" aca="1" ref="AK2:AK101" ca="1">IF((misEstados=AK$1)*(misFiltros=1),ROW(misEstados)-1,"")</f>
        <v/>
      </c>
      <c r="AL2" s="18">
        <v>0</v>
      </c>
      <c r="AM2" s="18"/>
      <c r="AN2" s="18"/>
      <c r="AO2" s="18"/>
      <c r="AP2" s="17" t="str" cm="1">
        <f t="array" aca="1" ref="AP2:AP101" ca="1">IF((misEstados=AP$1)*(misFiltros=1),ROW(misEstados)-1,"")</f>
        <v/>
      </c>
      <c r="AQ2" s="18">
        <v>0</v>
      </c>
      <c r="AR2" s="18"/>
      <c r="AS2" s="18"/>
      <c r="AT2" s="18"/>
      <c r="AU2" s="17" t="str" cm="1">
        <f t="array" aca="1" ref="AU2:AU101" ca="1">IF((misEstados=AU$1)*(misFiltros=1),ROW(misEstados)-1,"")</f>
        <v/>
      </c>
      <c r="AV2" s="18">
        <v>0</v>
      </c>
      <c r="AW2" s="18"/>
      <c r="AX2" s="18"/>
      <c r="AY2" s="18"/>
    </row>
    <row r="3" spans="1:51" x14ac:dyDescent="0.3">
      <c r="B3" s="17" t="str">
        <f ca="1"/>
        <v/>
      </c>
      <c r="C3" s="18">
        <v>1</v>
      </c>
      <c r="D3" s="18" t="str">
        <f t="shared" ref="D3:D34" ca="1" si="0">IF(C3&gt;C2,IFERROR(IF(F$1="v",SMALL(B$2:B$101,C3),LARGE(B$2:B$101,C3)),""),D2)</f>
        <v/>
      </c>
      <c r="E3" s="18" t="str" cm="1">
        <f t="array" aca="1" ref="E3" ca="1">IF(D3="","",IF(D3&lt;&gt;D2,1,IF(E2=misLíneas-2,0,E2+1)))</f>
        <v/>
      </c>
      <c r="F3" s="18" t="str" cm="1">
        <f t="array" aca="1" ref="F3" ca="1">IF(OR(E3=0,E3=""),"",INDEX(misCriticidades,D3)&amp;"-"&amp;IFERROR(MATCH(E3,miOrdenTarjeta,0),0))</f>
        <v/>
      </c>
      <c r="G3" s="17" t="str">
        <f ca="1"/>
        <v/>
      </c>
      <c r="H3" s="18">
        <v>1</v>
      </c>
      <c r="I3" s="18" t="str">
        <f t="shared" ref="I3:I34" ca="1" si="1">IF(H3&gt;H2,IFERROR(IF(K$1="v",SMALL(G$2:G$101,H3),LARGE(G$2:G$101,H3)),""),I2)</f>
        <v/>
      </c>
      <c r="J3" s="18" t="str" cm="1">
        <f t="array" aca="1" ref="J3" ca="1">IF(I3="","",IF(I3&lt;&gt;I2,1,IF(J2=misLíneas-2,0,J2+1)))</f>
        <v/>
      </c>
      <c r="K3" s="18" t="str" cm="1">
        <f t="array" aca="1" ref="K3" ca="1">IF(OR(J3=0,J3=""),"",INDEX(misCriticidades,I3)&amp;"-"&amp;IFERROR(MATCH(J3,miOrdenTarjeta,0),0))</f>
        <v/>
      </c>
      <c r="L3" s="17" t="str">
        <f ca="1"/>
        <v/>
      </c>
      <c r="M3" s="18">
        <v>1</v>
      </c>
      <c r="N3" s="18" t="str">
        <f t="shared" ref="N3:N34" ca="1" si="2">IF(M3&gt;M2,IFERROR(IF(P$1="v",SMALL(L$2:L$101,M3),LARGE(L$2:L$101,M3)),""),N2)</f>
        <v/>
      </c>
      <c r="O3" s="18" t="str" cm="1">
        <f t="array" aca="1" ref="O3" ca="1">IF(N3="","",IF(N3&lt;&gt;N2,1,IF(O2=misLíneas-2,0,O2+1)))</f>
        <v/>
      </c>
      <c r="P3" s="18" t="str" cm="1">
        <f t="array" aca="1" ref="P3" ca="1">IF(OR(O3=0,O3=""),"",INDEX(misCriticidades,N3)&amp;"-"&amp;IFERROR(MATCH(O3,miOrdenTarjeta,0),0))</f>
        <v/>
      </c>
      <c r="Q3" s="17">
        <f ca="1"/>
        <v>2</v>
      </c>
      <c r="R3" s="18">
        <v>1</v>
      </c>
      <c r="S3" s="18">
        <f t="shared" ref="S3:S34" ca="1" si="3">IF(R3&gt;R2,IFERROR(IF(U$1="v",SMALL(Q$2:Q$101,R3),LARGE(Q$2:Q$101,R3)),""),S2)</f>
        <v>84</v>
      </c>
      <c r="T3" s="18" cm="1">
        <f t="array" aca="1" ref="T3" ca="1">IF(S3="","",IF(S3&lt;&gt;S2,1,IF(T2=misLíneas-2,0,T2+1)))</f>
        <v>1</v>
      </c>
      <c r="U3" s="18" t="str" cm="1">
        <f t="array" aca="1" ref="U3" ca="1">IF(OR(T3=0,T3=""),"",INDEX(misCriticidades,S3)&amp;"-"&amp;IFERROR(MATCH(T3,miOrdenTarjeta,0),0))</f>
        <v>3-1</v>
      </c>
      <c r="V3" s="17" t="str">
        <f ca="1"/>
        <v/>
      </c>
      <c r="W3" s="18">
        <v>1</v>
      </c>
      <c r="X3" s="18" t="str">
        <f t="shared" ref="X3:X34" ca="1" si="4">IF(W3&gt;W2,IFERROR(IF(Z$1="v",SMALL(V$2:V$101,W3),LARGE(V$2:V$101,W3)),""),X2)</f>
        <v/>
      </c>
      <c r="Y3" s="18" t="str" cm="1">
        <f t="array" aca="1" ref="Y3" ca="1">IF(X3="","",IF(X3&lt;&gt;X2,1,IF(Y2=misLíneas-2,0,Y2+1)))</f>
        <v/>
      </c>
      <c r="Z3" s="18" t="str" cm="1">
        <f t="array" aca="1" ref="Z3" ca="1">IF(OR(Y3=0,Y3=""),"",INDEX(misCriticidades,X3)&amp;"-"&amp;IFERROR(MATCH(Y3,miOrdenTarjeta,0),0))</f>
        <v/>
      </c>
      <c r="AA3" s="17" t="str">
        <f ca="1"/>
        <v/>
      </c>
      <c r="AB3" s="18">
        <v>1</v>
      </c>
      <c r="AC3" s="18" t="str">
        <f t="shared" ref="AC3:AC66" ca="1" si="5">IF(AB3&gt;AB2,IFERROR(IF(AE$1="v",SMALL(AA$2:AA$101,AB3),LARGE(AA$2:AA$101,AB3)),""),AC2)</f>
        <v/>
      </c>
      <c r="AD3" s="18" t="str" cm="1">
        <f t="array" aca="1" ref="AD3" ca="1">IF(AC3="","",IF(AC3&lt;&gt;AC2,1,IF(AD2=misLíneas-2,0,AD2+1)))</f>
        <v/>
      </c>
      <c r="AE3" s="18" t="str" cm="1">
        <f t="array" aca="1" ref="AE3" ca="1">IF(OR(AD3=0,AD3=""),"",INDEX(misCriticidades,AC3)&amp;"-"&amp;IFERROR(MATCH(AD3,miOrdenTarjeta,0),0))</f>
        <v/>
      </c>
      <c r="AF3" s="17" t="str">
        <f ca="1"/>
        <v/>
      </c>
      <c r="AG3" s="18">
        <v>1</v>
      </c>
      <c r="AH3" s="18" t="str">
        <f t="shared" ref="AH3:AH66" ca="1" si="6">IF(AG3&gt;AG2,IFERROR(IF(AJ$1="v",SMALL(AF$2:AF$101,AG3),LARGE(AF$2:AF$101,AG3)),""),AH2)</f>
        <v/>
      </c>
      <c r="AI3" s="18" t="str" cm="1">
        <f t="array" aca="1" ref="AI3" ca="1">IF(AH3="","",IF(AH3&lt;&gt;AH2,1,IF(AI2=misLíneas-2,0,AI2+1)))</f>
        <v/>
      </c>
      <c r="AJ3" s="18" t="str" cm="1">
        <f t="array" aca="1" ref="AJ3" ca="1">IF(OR(AI3=0,AI3=""),"",INDEX(misCriticidades,AH3)&amp;"-"&amp;IFERROR(MATCH(AI3,miOrdenTarjeta,0),0))</f>
        <v/>
      </c>
      <c r="AK3" s="17" t="str">
        <f ca="1"/>
        <v/>
      </c>
      <c r="AL3" s="18">
        <v>1</v>
      </c>
      <c r="AM3" s="18" t="str">
        <f t="shared" ref="AM3:AM66" ca="1" si="7">IF(AL3&gt;AL2,IFERROR(IF(AO$1="v",SMALL(AK$2:AK$101,AL3),LARGE(AK$2:AK$101,AL3)),""),AM2)</f>
        <v/>
      </c>
      <c r="AN3" s="18" t="str" cm="1">
        <f t="array" aca="1" ref="AN3" ca="1">IF(AM3="","",IF(AM3&lt;&gt;AM2,1,IF(AN2=misLíneas-2,0,AN2+1)))</f>
        <v/>
      </c>
      <c r="AO3" s="18" t="str" cm="1">
        <f t="array" aca="1" ref="AO3" ca="1">IF(OR(AN3=0,AN3=""),"",INDEX(misCriticidades,AM3)&amp;"-"&amp;IFERROR(MATCH(AN3,miOrdenTarjeta,0),0))</f>
        <v/>
      </c>
      <c r="AP3" s="17" t="str">
        <f ca="1"/>
        <v/>
      </c>
      <c r="AQ3" s="18">
        <v>1</v>
      </c>
      <c r="AR3" s="18" t="str">
        <f t="shared" ref="AR3:AR66" ca="1" si="8">IF(AQ3&gt;AQ2,IFERROR(IF(AT$1="v",SMALL(AP$2:AP$101,AQ3),LARGE(AP$2:AP$101,AQ3)),""),AR2)</f>
        <v/>
      </c>
      <c r="AS3" s="18" t="str" cm="1">
        <f t="array" aca="1" ref="AS3" ca="1">IF(AR3="","",IF(AR3&lt;&gt;AR2,1,IF(AS2=misLíneas-2,0,AS2+1)))</f>
        <v/>
      </c>
      <c r="AT3" s="18" t="str" cm="1">
        <f t="array" aca="1" ref="AT3" ca="1">IF(OR(AS3=0,AS3=""),"",INDEX(misCriticidades,AR3)&amp;"-"&amp;IFERROR(MATCH(AS3,miOrdenTarjeta,0),0))</f>
        <v/>
      </c>
      <c r="AU3" s="17" t="str">
        <f ca="1"/>
        <v/>
      </c>
      <c r="AV3" s="18">
        <v>1</v>
      </c>
      <c r="AW3" s="18" t="str">
        <f t="shared" ref="AW3:AW66" ca="1" si="9">IF(AV3&gt;AV2,IFERROR(IF(AY$1="v",SMALL(AU$2:AU$101,AV3),LARGE(AU$2:AU$101,AV3)),""),AW2)</f>
        <v/>
      </c>
      <c r="AX3" s="18" t="str" cm="1">
        <f t="array" aca="1" ref="AX3" ca="1">IF(AW3="","",IF(AW3&lt;&gt;AW2,1,IF(AX2=misLíneas-2,0,AX2+1)))</f>
        <v/>
      </c>
      <c r="AY3" s="18" t="str" cm="1">
        <f t="array" aca="1" ref="AY3" ca="1">IF(OR(AX3=0,AX3=""),"",INDEX(misCriticidades,AW3)&amp;"-"&amp;IFERROR(MATCH(AX3,miOrdenTarjeta,0),0))</f>
        <v/>
      </c>
    </row>
    <row r="4" spans="1:51" x14ac:dyDescent="0.3">
      <c r="B4" s="17" t="str">
        <f ca="1"/>
        <v/>
      </c>
      <c r="C4" s="18">
        <f t="shared" ref="C4:C9" ca="1" si="10">C3--(E3=0)</f>
        <v>1</v>
      </c>
      <c r="D4" s="18" t="str">
        <f t="shared" ca="1" si="0"/>
        <v/>
      </c>
      <c r="E4" s="18" t="str" cm="1">
        <f t="array" aca="1" ref="E4" ca="1">IF(D4="","",IF(D4&lt;&gt;D3,1,IF(E3=misLíneas-2,0,E3+1)))</f>
        <v/>
      </c>
      <c r="F4" s="18" t="str" cm="1">
        <f t="array" aca="1" ref="F4" ca="1">IF(OR(E4=0,E4=""),"",INDEX(misCriticidades,D4)&amp;"-"&amp;IFERROR(MATCH(E4,miOrdenTarjeta,0),0))</f>
        <v/>
      </c>
      <c r="G4" s="17" t="str">
        <f ca="1"/>
        <v/>
      </c>
      <c r="H4" s="18">
        <f t="shared" ref="H4:H67" ca="1" si="11">H3--(J3=0)</f>
        <v>1</v>
      </c>
      <c r="I4" s="18" t="str">
        <f t="shared" ca="1" si="1"/>
        <v/>
      </c>
      <c r="J4" s="18" t="str" cm="1">
        <f t="array" aca="1" ref="J4" ca="1">IF(I4="","",IF(I4&lt;&gt;I3,1,IF(J3=misLíneas-2,0,J3+1)))</f>
        <v/>
      </c>
      <c r="K4" s="18" t="str" cm="1">
        <f t="array" aca="1" ref="K4" ca="1">IF(OR(J4=0,J4=""),"",INDEX(misCriticidades,I4)&amp;"-"&amp;IFERROR(MATCH(J4,miOrdenTarjeta,0),0))</f>
        <v/>
      </c>
      <c r="L4" s="17" t="str">
        <f ca="1"/>
        <v/>
      </c>
      <c r="M4" s="18">
        <f t="shared" ref="M4:M67" ca="1" si="12">M3--(O3=0)</f>
        <v>1</v>
      </c>
      <c r="N4" s="18" t="str">
        <f t="shared" ca="1" si="2"/>
        <v/>
      </c>
      <c r="O4" s="18" t="str" cm="1">
        <f t="array" aca="1" ref="O4" ca="1">IF(N4="","",IF(N4&lt;&gt;N3,1,IF(O3=misLíneas-2,0,O3+1)))</f>
        <v/>
      </c>
      <c r="P4" s="18" t="str" cm="1">
        <f t="array" aca="1" ref="P4" ca="1">IF(OR(O4=0,O4=""),"",INDEX(misCriticidades,N4)&amp;"-"&amp;IFERROR(MATCH(O4,miOrdenTarjeta,0),0))</f>
        <v/>
      </c>
      <c r="Q4" s="17">
        <f ca="1"/>
        <v>3</v>
      </c>
      <c r="R4" s="18">
        <f t="shared" ref="R4:R67" ca="1" si="13">R3--(T3=0)</f>
        <v>1</v>
      </c>
      <c r="S4" s="18">
        <f t="shared" ca="1" si="3"/>
        <v>84</v>
      </c>
      <c r="T4" s="18" cm="1">
        <f t="array" aca="1" ref="T4" ca="1">IF(S4="","",IF(S4&lt;&gt;S3,1,IF(T3=misLíneas-2,0,T3+1)))</f>
        <v>2</v>
      </c>
      <c r="U4" s="18" t="str" cm="1">
        <f t="array" aca="1" ref="U4" ca="1">IF(OR(T4=0,T4=""),"",INDEX(misCriticidades,S4)&amp;"-"&amp;IFERROR(MATCH(T4,miOrdenTarjeta,0),0))</f>
        <v>3-2</v>
      </c>
      <c r="V4" s="17" t="str">
        <f ca="1"/>
        <v/>
      </c>
      <c r="W4" s="18">
        <f t="shared" ref="W4:W67" ca="1" si="14">W3--(Y3=0)</f>
        <v>1</v>
      </c>
      <c r="X4" s="18" t="str">
        <f t="shared" ca="1" si="4"/>
        <v/>
      </c>
      <c r="Y4" s="18" t="str" cm="1">
        <f t="array" aca="1" ref="Y4" ca="1">IF(X4="","",IF(X4&lt;&gt;X3,1,IF(Y3=misLíneas-2,0,Y3+1)))</f>
        <v/>
      </c>
      <c r="Z4" s="18" t="str" cm="1">
        <f t="array" aca="1" ref="Z4" ca="1">IF(OR(Y4=0,Y4=""),"",INDEX(misCriticidades,X4)&amp;"-"&amp;IFERROR(MATCH(Y4,miOrdenTarjeta,0),0))</f>
        <v/>
      </c>
      <c r="AA4" s="17" t="str">
        <f ca="1"/>
        <v/>
      </c>
      <c r="AB4" s="18">
        <f t="shared" ref="AB4:AB67" ca="1" si="15">AB3--(AD3=0)</f>
        <v>1</v>
      </c>
      <c r="AC4" s="18" t="str">
        <f t="shared" ca="1" si="5"/>
        <v/>
      </c>
      <c r="AD4" s="18" t="str" cm="1">
        <f t="array" aca="1" ref="AD4" ca="1">IF(AC4="","",IF(AC4&lt;&gt;AC3,1,IF(AD3=misLíneas-2,0,AD3+1)))</f>
        <v/>
      </c>
      <c r="AE4" s="18" t="str" cm="1">
        <f t="array" aca="1" ref="AE4" ca="1">IF(OR(AD4=0,AD4=""),"",INDEX(misCriticidades,AC4)&amp;"-"&amp;IFERROR(MATCH(AD4,miOrdenTarjeta,0),0))</f>
        <v/>
      </c>
      <c r="AF4" s="17" t="str">
        <f ca="1"/>
        <v/>
      </c>
      <c r="AG4" s="18">
        <f t="shared" ref="AG4:AG67" ca="1" si="16">AG3--(AI3=0)</f>
        <v>1</v>
      </c>
      <c r="AH4" s="18" t="str">
        <f t="shared" ca="1" si="6"/>
        <v/>
      </c>
      <c r="AI4" s="18" t="str" cm="1">
        <f t="array" aca="1" ref="AI4" ca="1">IF(AH4="","",IF(AH4&lt;&gt;AH3,1,IF(AI3=misLíneas-2,0,AI3+1)))</f>
        <v/>
      </c>
      <c r="AJ4" s="18" t="str" cm="1">
        <f t="array" aca="1" ref="AJ4" ca="1">IF(OR(AI4=0,AI4=""),"",INDEX(misCriticidades,AH4)&amp;"-"&amp;IFERROR(MATCH(AI4,miOrdenTarjeta,0),0))</f>
        <v/>
      </c>
      <c r="AK4" s="17" t="str">
        <f ca="1"/>
        <v/>
      </c>
      <c r="AL4" s="18">
        <f t="shared" ref="AL4:AL67" ca="1" si="17">AL3--(AN3=0)</f>
        <v>1</v>
      </c>
      <c r="AM4" s="18" t="str">
        <f t="shared" ca="1" si="7"/>
        <v/>
      </c>
      <c r="AN4" s="18" t="str" cm="1">
        <f t="array" aca="1" ref="AN4" ca="1">IF(AM4="","",IF(AM4&lt;&gt;AM3,1,IF(AN3=misLíneas-2,0,AN3+1)))</f>
        <v/>
      </c>
      <c r="AO4" s="18" t="str" cm="1">
        <f t="array" aca="1" ref="AO4" ca="1">IF(OR(AN4=0,AN4=""),"",INDEX(misCriticidades,AM4)&amp;"-"&amp;IFERROR(MATCH(AN4,miOrdenTarjeta,0),0))</f>
        <v/>
      </c>
      <c r="AP4" s="17" t="str">
        <f ca="1"/>
        <v/>
      </c>
      <c r="AQ4" s="18">
        <f t="shared" ref="AQ4:AQ67" ca="1" si="18">AQ3--(AS3=0)</f>
        <v>1</v>
      </c>
      <c r="AR4" s="18" t="str">
        <f t="shared" ca="1" si="8"/>
        <v/>
      </c>
      <c r="AS4" s="18" t="str" cm="1">
        <f t="array" aca="1" ref="AS4" ca="1">IF(AR4="","",IF(AR4&lt;&gt;AR3,1,IF(AS3=misLíneas-2,0,AS3+1)))</f>
        <v/>
      </c>
      <c r="AT4" s="18" t="str" cm="1">
        <f t="array" aca="1" ref="AT4" ca="1">IF(OR(AS4=0,AS4=""),"",INDEX(misCriticidades,AR4)&amp;"-"&amp;IFERROR(MATCH(AS4,miOrdenTarjeta,0),0))</f>
        <v/>
      </c>
      <c r="AU4" s="17" t="str">
        <f ca="1"/>
        <v/>
      </c>
      <c r="AV4" s="18">
        <f t="shared" ref="AV4:AV67" ca="1" si="19">AV3--(AX3=0)</f>
        <v>1</v>
      </c>
      <c r="AW4" s="18" t="str">
        <f t="shared" ca="1" si="9"/>
        <v/>
      </c>
      <c r="AX4" s="18" t="str" cm="1">
        <f t="array" aca="1" ref="AX4" ca="1">IF(AW4="","",IF(AW4&lt;&gt;AW3,1,IF(AX3=misLíneas-2,0,AX3+1)))</f>
        <v/>
      </c>
      <c r="AY4" s="18" t="str" cm="1">
        <f t="array" aca="1" ref="AY4" ca="1">IF(OR(AX4=0,AX4=""),"",INDEX(misCriticidades,AW4)&amp;"-"&amp;IFERROR(MATCH(AX4,miOrdenTarjeta,0),0))</f>
        <v/>
      </c>
    </row>
    <row r="5" spans="1:51" x14ac:dyDescent="0.3">
      <c r="B5" s="17" t="str">
        <f ca="1"/>
        <v/>
      </c>
      <c r="C5" s="18">
        <f t="shared" ca="1" si="10"/>
        <v>1</v>
      </c>
      <c r="D5" s="18" t="str">
        <f t="shared" ca="1" si="0"/>
        <v/>
      </c>
      <c r="E5" s="18" t="str" cm="1">
        <f t="array" aca="1" ref="E5" ca="1">IF(D5="","",IF(D5&lt;&gt;D4,1,IF(E4=misLíneas-2,0,E4+1)))</f>
        <v/>
      </c>
      <c r="F5" s="18" t="str" cm="1">
        <f t="array" aca="1" ref="F5" ca="1">IF(OR(E5=0,E5=""),"",INDEX(misCriticidades,D5)&amp;"-"&amp;IFERROR(MATCH(E5,miOrdenTarjeta,0),0))</f>
        <v/>
      </c>
      <c r="G5" s="17" t="str">
        <f ca="1"/>
        <v/>
      </c>
      <c r="H5" s="18">
        <f t="shared" ca="1" si="11"/>
        <v>1</v>
      </c>
      <c r="I5" s="18" t="str">
        <f t="shared" ca="1" si="1"/>
        <v/>
      </c>
      <c r="J5" s="18" t="str" cm="1">
        <f t="array" aca="1" ref="J5" ca="1">IF(I5="","",IF(I5&lt;&gt;I4,1,IF(J4=misLíneas-2,0,J4+1)))</f>
        <v/>
      </c>
      <c r="K5" s="18" t="str" cm="1">
        <f t="array" aca="1" ref="K5" ca="1">IF(OR(J5=0,J5=""),"",INDEX(misCriticidades,I5)&amp;"-"&amp;IFERROR(MATCH(J5,miOrdenTarjeta,0),0))</f>
        <v/>
      </c>
      <c r="L5" s="17" t="str">
        <f ca="1"/>
        <v/>
      </c>
      <c r="M5" s="18">
        <f t="shared" ca="1" si="12"/>
        <v>1</v>
      </c>
      <c r="N5" s="18" t="str">
        <f t="shared" ca="1" si="2"/>
        <v/>
      </c>
      <c r="O5" s="18" t="str" cm="1">
        <f t="array" aca="1" ref="O5" ca="1">IF(N5="","",IF(N5&lt;&gt;N4,1,IF(O4=misLíneas-2,0,O4+1)))</f>
        <v/>
      </c>
      <c r="P5" s="18" t="str" cm="1">
        <f t="array" aca="1" ref="P5" ca="1">IF(OR(O5=0,O5=""),"",INDEX(misCriticidades,N5)&amp;"-"&amp;IFERROR(MATCH(O5,miOrdenTarjeta,0),0))</f>
        <v/>
      </c>
      <c r="Q5" s="17">
        <f ca="1"/>
        <v>4</v>
      </c>
      <c r="R5" s="18">
        <f t="shared" ca="1" si="13"/>
        <v>1</v>
      </c>
      <c r="S5" s="18">
        <f t="shared" ca="1" si="3"/>
        <v>84</v>
      </c>
      <c r="T5" s="18" cm="1">
        <f t="array" aca="1" ref="T5" ca="1">IF(S5="","",IF(S5&lt;&gt;S4,1,IF(T4=misLíneas-2,0,T4+1)))</f>
        <v>3</v>
      </c>
      <c r="U5" s="18" t="str" cm="1">
        <f t="array" aca="1" ref="U5" ca="1">IF(OR(T5=0,T5=""),"",INDEX(misCriticidades,S5)&amp;"-"&amp;IFERROR(MATCH(T5,miOrdenTarjeta,0),0))</f>
        <v>3-3</v>
      </c>
      <c r="V5" s="17" t="str">
        <f ca="1"/>
        <v/>
      </c>
      <c r="W5" s="18">
        <f t="shared" ca="1" si="14"/>
        <v>1</v>
      </c>
      <c r="X5" s="18" t="str">
        <f t="shared" ca="1" si="4"/>
        <v/>
      </c>
      <c r="Y5" s="18" t="str" cm="1">
        <f t="array" aca="1" ref="Y5" ca="1">IF(X5="","",IF(X5&lt;&gt;X4,1,IF(Y4=misLíneas-2,0,Y4+1)))</f>
        <v/>
      </c>
      <c r="Z5" s="18" t="str" cm="1">
        <f t="array" aca="1" ref="Z5" ca="1">IF(OR(Y5=0,Y5=""),"",INDEX(misCriticidades,X5)&amp;"-"&amp;IFERROR(MATCH(Y5,miOrdenTarjeta,0),0))</f>
        <v/>
      </c>
      <c r="AA5" s="17" t="str">
        <f ca="1"/>
        <v/>
      </c>
      <c r="AB5" s="18">
        <f t="shared" ca="1" si="15"/>
        <v>1</v>
      </c>
      <c r="AC5" s="18" t="str">
        <f t="shared" ca="1" si="5"/>
        <v/>
      </c>
      <c r="AD5" s="18" t="str" cm="1">
        <f t="array" aca="1" ref="AD5" ca="1">IF(AC5="","",IF(AC5&lt;&gt;AC4,1,IF(AD4=misLíneas-2,0,AD4+1)))</f>
        <v/>
      </c>
      <c r="AE5" s="18" t="str" cm="1">
        <f t="array" aca="1" ref="AE5" ca="1">IF(OR(AD5=0,AD5=""),"",INDEX(misCriticidades,AC5)&amp;"-"&amp;IFERROR(MATCH(AD5,miOrdenTarjeta,0),0))</f>
        <v/>
      </c>
      <c r="AF5" s="17" t="str">
        <f ca="1"/>
        <v/>
      </c>
      <c r="AG5" s="18">
        <f t="shared" ca="1" si="16"/>
        <v>1</v>
      </c>
      <c r="AH5" s="18" t="str">
        <f t="shared" ca="1" si="6"/>
        <v/>
      </c>
      <c r="AI5" s="18" t="str" cm="1">
        <f t="array" aca="1" ref="AI5" ca="1">IF(AH5="","",IF(AH5&lt;&gt;AH4,1,IF(AI4=misLíneas-2,0,AI4+1)))</f>
        <v/>
      </c>
      <c r="AJ5" s="18" t="str" cm="1">
        <f t="array" aca="1" ref="AJ5" ca="1">IF(OR(AI5=0,AI5=""),"",INDEX(misCriticidades,AH5)&amp;"-"&amp;IFERROR(MATCH(AI5,miOrdenTarjeta,0),0))</f>
        <v/>
      </c>
      <c r="AK5" s="17" t="str">
        <f ca="1"/>
        <v/>
      </c>
      <c r="AL5" s="18">
        <f t="shared" ca="1" si="17"/>
        <v>1</v>
      </c>
      <c r="AM5" s="18" t="str">
        <f t="shared" ca="1" si="7"/>
        <v/>
      </c>
      <c r="AN5" s="18" t="str" cm="1">
        <f t="array" aca="1" ref="AN5" ca="1">IF(AM5="","",IF(AM5&lt;&gt;AM4,1,IF(AN4=misLíneas-2,0,AN4+1)))</f>
        <v/>
      </c>
      <c r="AO5" s="18" t="str" cm="1">
        <f t="array" aca="1" ref="AO5" ca="1">IF(OR(AN5=0,AN5=""),"",INDEX(misCriticidades,AM5)&amp;"-"&amp;IFERROR(MATCH(AN5,miOrdenTarjeta,0),0))</f>
        <v/>
      </c>
      <c r="AP5" s="17" t="str">
        <f ca="1"/>
        <v/>
      </c>
      <c r="AQ5" s="18">
        <f t="shared" ca="1" si="18"/>
        <v>1</v>
      </c>
      <c r="AR5" s="18" t="str">
        <f t="shared" ca="1" si="8"/>
        <v/>
      </c>
      <c r="AS5" s="18" t="str" cm="1">
        <f t="array" aca="1" ref="AS5" ca="1">IF(AR5="","",IF(AR5&lt;&gt;AR4,1,IF(AS4=misLíneas-2,0,AS4+1)))</f>
        <v/>
      </c>
      <c r="AT5" s="18" t="str" cm="1">
        <f t="array" aca="1" ref="AT5" ca="1">IF(OR(AS5=0,AS5=""),"",INDEX(misCriticidades,AR5)&amp;"-"&amp;IFERROR(MATCH(AS5,miOrdenTarjeta,0),0))</f>
        <v/>
      </c>
      <c r="AU5" s="17" t="str">
        <f ca="1"/>
        <v/>
      </c>
      <c r="AV5" s="18">
        <f t="shared" ca="1" si="19"/>
        <v>1</v>
      </c>
      <c r="AW5" s="18" t="str">
        <f t="shared" ca="1" si="9"/>
        <v/>
      </c>
      <c r="AX5" s="18" t="str" cm="1">
        <f t="array" aca="1" ref="AX5" ca="1">IF(AW5="","",IF(AW5&lt;&gt;AW4,1,IF(AX4=misLíneas-2,0,AX4+1)))</f>
        <v/>
      </c>
      <c r="AY5" s="18" t="str" cm="1">
        <f t="array" aca="1" ref="AY5" ca="1">IF(OR(AX5=0,AX5=""),"",INDEX(misCriticidades,AW5)&amp;"-"&amp;IFERROR(MATCH(AX5,miOrdenTarjeta,0),0))</f>
        <v/>
      </c>
    </row>
    <row r="6" spans="1:51" x14ac:dyDescent="0.3">
      <c r="B6" s="17" t="str">
        <f ca="1"/>
        <v/>
      </c>
      <c r="C6" s="18">
        <f t="shared" ca="1" si="10"/>
        <v>1</v>
      </c>
      <c r="D6" s="18" t="str">
        <f t="shared" ca="1" si="0"/>
        <v/>
      </c>
      <c r="E6" s="18" t="str" cm="1">
        <f t="array" aca="1" ref="E6" ca="1">IF(D6="","",IF(D6&lt;&gt;D5,1,IF(E5=misLíneas-2,0,E5+1)))</f>
        <v/>
      </c>
      <c r="F6" s="18" t="str" cm="1">
        <f t="array" aca="1" ref="F6" ca="1">IF(OR(E6=0,E6=""),"",INDEX(misCriticidades,D6)&amp;"-"&amp;IFERROR(MATCH(E6,miOrdenTarjeta,0),0))</f>
        <v/>
      </c>
      <c r="G6" s="17" t="str">
        <f ca="1"/>
        <v/>
      </c>
      <c r="H6" s="18">
        <f t="shared" ca="1" si="11"/>
        <v>1</v>
      </c>
      <c r="I6" s="18" t="str">
        <f t="shared" ca="1" si="1"/>
        <v/>
      </c>
      <c r="J6" s="18" t="str" cm="1">
        <f t="array" aca="1" ref="J6" ca="1">IF(I6="","",IF(I6&lt;&gt;I5,1,IF(J5=misLíneas-2,0,J5+1)))</f>
        <v/>
      </c>
      <c r="K6" s="18" t="str" cm="1">
        <f t="array" aca="1" ref="K6" ca="1">IF(OR(J6=0,J6=""),"",INDEX(misCriticidades,I6)&amp;"-"&amp;IFERROR(MATCH(J6,miOrdenTarjeta,0),0))</f>
        <v/>
      </c>
      <c r="L6" s="17" t="str">
        <f ca="1"/>
        <v/>
      </c>
      <c r="M6" s="18">
        <f t="shared" ca="1" si="12"/>
        <v>1</v>
      </c>
      <c r="N6" s="18" t="str">
        <f t="shared" ca="1" si="2"/>
        <v/>
      </c>
      <c r="O6" s="18" t="str" cm="1">
        <f t="array" aca="1" ref="O6" ca="1">IF(N6="","",IF(N6&lt;&gt;N5,1,IF(O5=misLíneas-2,0,O5+1)))</f>
        <v/>
      </c>
      <c r="P6" s="18" t="str" cm="1">
        <f t="array" aca="1" ref="P6" ca="1">IF(OR(O6=0,O6=""),"",INDEX(misCriticidades,N6)&amp;"-"&amp;IFERROR(MATCH(O6,miOrdenTarjeta,0),0))</f>
        <v/>
      </c>
      <c r="Q6" s="17">
        <f ca="1"/>
        <v>5</v>
      </c>
      <c r="R6" s="18">
        <f t="shared" ca="1" si="13"/>
        <v>1</v>
      </c>
      <c r="S6" s="18">
        <f t="shared" ca="1" si="3"/>
        <v>84</v>
      </c>
      <c r="T6" s="18" cm="1">
        <f t="array" aca="1" ref="T6" ca="1">IF(S6="","",IF(S6&lt;&gt;S5,1,IF(T5=misLíneas-2,0,T5+1)))</f>
        <v>4</v>
      </c>
      <c r="U6" s="18" t="str" cm="1">
        <f t="array" aca="1" ref="U6" ca="1">IF(OR(T6=0,T6=""),"",INDEX(misCriticidades,S6)&amp;"-"&amp;IFERROR(MATCH(T6,miOrdenTarjeta,0),0))</f>
        <v>3-4</v>
      </c>
      <c r="V6" s="17" t="str">
        <f ca="1"/>
        <v/>
      </c>
      <c r="W6" s="18">
        <f t="shared" ca="1" si="14"/>
        <v>1</v>
      </c>
      <c r="X6" s="18" t="str">
        <f t="shared" ca="1" si="4"/>
        <v/>
      </c>
      <c r="Y6" s="18" t="str" cm="1">
        <f t="array" aca="1" ref="Y6" ca="1">IF(X6="","",IF(X6&lt;&gt;X5,1,IF(Y5=misLíneas-2,0,Y5+1)))</f>
        <v/>
      </c>
      <c r="Z6" s="18" t="str" cm="1">
        <f t="array" aca="1" ref="Z6" ca="1">IF(OR(Y6=0,Y6=""),"",INDEX(misCriticidades,X6)&amp;"-"&amp;IFERROR(MATCH(Y6,miOrdenTarjeta,0),0))</f>
        <v/>
      </c>
      <c r="AA6" s="17" t="str">
        <f ca="1"/>
        <v/>
      </c>
      <c r="AB6" s="18">
        <f t="shared" ca="1" si="15"/>
        <v>1</v>
      </c>
      <c r="AC6" s="18" t="str">
        <f t="shared" ca="1" si="5"/>
        <v/>
      </c>
      <c r="AD6" s="18" t="str" cm="1">
        <f t="array" aca="1" ref="AD6" ca="1">IF(AC6="","",IF(AC6&lt;&gt;AC5,1,IF(AD5=misLíneas-2,0,AD5+1)))</f>
        <v/>
      </c>
      <c r="AE6" s="18" t="str" cm="1">
        <f t="array" aca="1" ref="AE6" ca="1">IF(OR(AD6=0,AD6=""),"",INDEX(misCriticidades,AC6)&amp;"-"&amp;IFERROR(MATCH(AD6,miOrdenTarjeta,0),0))</f>
        <v/>
      </c>
      <c r="AF6" s="17" t="str">
        <f ca="1"/>
        <v/>
      </c>
      <c r="AG6" s="18">
        <f t="shared" ca="1" si="16"/>
        <v>1</v>
      </c>
      <c r="AH6" s="18" t="str">
        <f t="shared" ca="1" si="6"/>
        <v/>
      </c>
      <c r="AI6" s="18" t="str" cm="1">
        <f t="array" aca="1" ref="AI6" ca="1">IF(AH6="","",IF(AH6&lt;&gt;AH5,1,IF(AI5=misLíneas-2,0,AI5+1)))</f>
        <v/>
      </c>
      <c r="AJ6" s="18" t="str" cm="1">
        <f t="array" aca="1" ref="AJ6" ca="1">IF(OR(AI6=0,AI6=""),"",INDEX(misCriticidades,AH6)&amp;"-"&amp;IFERROR(MATCH(AI6,miOrdenTarjeta,0),0))</f>
        <v/>
      </c>
      <c r="AK6" s="17" t="str">
        <f ca="1"/>
        <v/>
      </c>
      <c r="AL6" s="18">
        <f t="shared" ca="1" si="17"/>
        <v>1</v>
      </c>
      <c r="AM6" s="18" t="str">
        <f t="shared" ca="1" si="7"/>
        <v/>
      </c>
      <c r="AN6" s="18" t="str" cm="1">
        <f t="array" aca="1" ref="AN6" ca="1">IF(AM6="","",IF(AM6&lt;&gt;AM5,1,IF(AN5=misLíneas-2,0,AN5+1)))</f>
        <v/>
      </c>
      <c r="AO6" s="18" t="str" cm="1">
        <f t="array" aca="1" ref="AO6" ca="1">IF(OR(AN6=0,AN6=""),"",INDEX(misCriticidades,AM6)&amp;"-"&amp;IFERROR(MATCH(AN6,miOrdenTarjeta,0),0))</f>
        <v/>
      </c>
      <c r="AP6" s="17" t="str">
        <f ca="1"/>
        <v/>
      </c>
      <c r="AQ6" s="18">
        <f t="shared" ca="1" si="18"/>
        <v>1</v>
      </c>
      <c r="AR6" s="18" t="str">
        <f t="shared" ca="1" si="8"/>
        <v/>
      </c>
      <c r="AS6" s="18" t="str" cm="1">
        <f t="array" aca="1" ref="AS6" ca="1">IF(AR6="","",IF(AR6&lt;&gt;AR5,1,IF(AS5=misLíneas-2,0,AS5+1)))</f>
        <v/>
      </c>
      <c r="AT6" s="18" t="str" cm="1">
        <f t="array" aca="1" ref="AT6" ca="1">IF(OR(AS6=0,AS6=""),"",INDEX(misCriticidades,AR6)&amp;"-"&amp;IFERROR(MATCH(AS6,miOrdenTarjeta,0),0))</f>
        <v/>
      </c>
      <c r="AU6" s="17" t="str">
        <f ca="1"/>
        <v/>
      </c>
      <c r="AV6" s="18">
        <f t="shared" ca="1" si="19"/>
        <v>1</v>
      </c>
      <c r="AW6" s="18" t="str">
        <f t="shared" ca="1" si="9"/>
        <v/>
      </c>
      <c r="AX6" s="18" t="str" cm="1">
        <f t="array" aca="1" ref="AX6" ca="1">IF(AW6="","",IF(AW6&lt;&gt;AW5,1,IF(AX5=misLíneas-2,0,AX5+1)))</f>
        <v/>
      </c>
      <c r="AY6" s="18" t="str" cm="1">
        <f t="array" aca="1" ref="AY6" ca="1">IF(OR(AX6=0,AX6=""),"",INDEX(misCriticidades,AW6)&amp;"-"&amp;IFERROR(MATCH(AX6,miOrdenTarjeta,0),0))</f>
        <v/>
      </c>
    </row>
    <row r="7" spans="1:51" x14ac:dyDescent="0.3">
      <c r="B7" s="17" t="str">
        <f ca="1"/>
        <v/>
      </c>
      <c r="C7" s="18">
        <f t="shared" ca="1" si="10"/>
        <v>1</v>
      </c>
      <c r="D7" s="18" t="str">
        <f t="shared" ca="1" si="0"/>
        <v/>
      </c>
      <c r="E7" s="18" t="str" cm="1">
        <f t="array" aca="1" ref="E7" ca="1">IF(D7="","",IF(D7&lt;&gt;D6,1,IF(E6=misLíneas-2,0,E6+1)))</f>
        <v/>
      </c>
      <c r="F7" s="18" t="str" cm="1">
        <f t="array" aca="1" ref="F7" ca="1">IF(OR(E7=0,E7=""),"",INDEX(misCriticidades,D7)&amp;"-"&amp;IFERROR(MATCH(E7,miOrdenTarjeta,0),0))</f>
        <v/>
      </c>
      <c r="G7" s="17" t="str">
        <f ca="1"/>
        <v/>
      </c>
      <c r="H7" s="18">
        <f t="shared" ca="1" si="11"/>
        <v>1</v>
      </c>
      <c r="I7" s="18" t="str">
        <f t="shared" ca="1" si="1"/>
        <v/>
      </c>
      <c r="J7" s="18" t="str" cm="1">
        <f t="array" aca="1" ref="J7" ca="1">IF(I7="","",IF(I7&lt;&gt;I6,1,IF(J6=misLíneas-2,0,J6+1)))</f>
        <v/>
      </c>
      <c r="K7" s="18" t="str" cm="1">
        <f t="array" aca="1" ref="K7" ca="1">IF(OR(J7=0,J7=""),"",INDEX(misCriticidades,I7)&amp;"-"&amp;IFERROR(MATCH(J7,miOrdenTarjeta,0),0))</f>
        <v/>
      </c>
      <c r="L7" s="17" t="str">
        <f ca="1"/>
        <v/>
      </c>
      <c r="M7" s="18">
        <f t="shared" ca="1" si="12"/>
        <v>1</v>
      </c>
      <c r="N7" s="18" t="str">
        <f t="shared" ca="1" si="2"/>
        <v/>
      </c>
      <c r="O7" s="18" t="str" cm="1">
        <f t="array" aca="1" ref="O7" ca="1">IF(N7="","",IF(N7&lt;&gt;N6,1,IF(O6=misLíneas-2,0,O6+1)))</f>
        <v/>
      </c>
      <c r="P7" s="18" t="str" cm="1">
        <f t="array" aca="1" ref="P7" ca="1">IF(OR(O7=0,O7=""),"",INDEX(misCriticidades,N7)&amp;"-"&amp;IFERROR(MATCH(O7,miOrdenTarjeta,0),0))</f>
        <v/>
      </c>
      <c r="Q7" s="17">
        <f ca="1"/>
        <v>6</v>
      </c>
      <c r="R7" s="18">
        <f t="shared" ca="1" si="13"/>
        <v>1</v>
      </c>
      <c r="S7" s="18">
        <f t="shared" ca="1" si="3"/>
        <v>84</v>
      </c>
      <c r="T7" s="18" cm="1">
        <f t="array" aca="1" ref="T7" ca="1">IF(S7="","",IF(S7&lt;&gt;S6,1,IF(T6=misLíneas-2,0,T6+1)))</f>
        <v>5</v>
      </c>
      <c r="U7" s="18" t="str" cm="1">
        <f t="array" aca="1" ref="U7" ca="1">IF(OR(T7=0,T7=""),"",INDEX(misCriticidades,S7)&amp;"-"&amp;IFERROR(MATCH(T7,miOrdenTarjeta,0),0))</f>
        <v>3-5</v>
      </c>
      <c r="V7" s="17" t="str">
        <f ca="1"/>
        <v/>
      </c>
      <c r="W7" s="18">
        <f t="shared" ca="1" si="14"/>
        <v>1</v>
      </c>
      <c r="X7" s="18" t="str">
        <f t="shared" ca="1" si="4"/>
        <v/>
      </c>
      <c r="Y7" s="18" t="str" cm="1">
        <f t="array" aca="1" ref="Y7" ca="1">IF(X7="","",IF(X7&lt;&gt;X6,1,IF(Y6=misLíneas-2,0,Y6+1)))</f>
        <v/>
      </c>
      <c r="Z7" s="18" t="str" cm="1">
        <f t="array" aca="1" ref="Z7" ca="1">IF(OR(Y7=0,Y7=""),"",INDEX(misCriticidades,X7)&amp;"-"&amp;IFERROR(MATCH(Y7,miOrdenTarjeta,0),0))</f>
        <v/>
      </c>
      <c r="AA7" s="17" t="str">
        <f ca="1"/>
        <v/>
      </c>
      <c r="AB7" s="18">
        <f t="shared" ca="1" si="15"/>
        <v>1</v>
      </c>
      <c r="AC7" s="18" t="str">
        <f t="shared" ca="1" si="5"/>
        <v/>
      </c>
      <c r="AD7" s="18" t="str" cm="1">
        <f t="array" aca="1" ref="AD7" ca="1">IF(AC7="","",IF(AC7&lt;&gt;AC6,1,IF(AD6=misLíneas-2,0,AD6+1)))</f>
        <v/>
      </c>
      <c r="AE7" s="18" t="str" cm="1">
        <f t="array" aca="1" ref="AE7" ca="1">IF(OR(AD7=0,AD7=""),"",INDEX(misCriticidades,AC7)&amp;"-"&amp;IFERROR(MATCH(AD7,miOrdenTarjeta,0),0))</f>
        <v/>
      </c>
      <c r="AF7" s="17" t="str">
        <f ca="1"/>
        <v/>
      </c>
      <c r="AG7" s="18">
        <f t="shared" ca="1" si="16"/>
        <v>1</v>
      </c>
      <c r="AH7" s="18" t="str">
        <f t="shared" ca="1" si="6"/>
        <v/>
      </c>
      <c r="AI7" s="18" t="str" cm="1">
        <f t="array" aca="1" ref="AI7" ca="1">IF(AH7="","",IF(AH7&lt;&gt;AH6,1,IF(AI6=misLíneas-2,0,AI6+1)))</f>
        <v/>
      </c>
      <c r="AJ7" s="18" t="str" cm="1">
        <f t="array" aca="1" ref="AJ7" ca="1">IF(OR(AI7=0,AI7=""),"",INDEX(misCriticidades,AH7)&amp;"-"&amp;IFERROR(MATCH(AI7,miOrdenTarjeta,0),0))</f>
        <v/>
      </c>
      <c r="AK7" s="17" t="str">
        <f ca="1"/>
        <v/>
      </c>
      <c r="AL7" s="18">
        <f t="shared" ca="1" si="17"/>
        <v>1</v>
      </c>
      <c r="AM7" s="18" t="str">
        <f t="shared" ca="1" si="7"/>
        <v/>
      </c>
      <c r="AN7" s="18" t="str" cm="1">
        <f t="array" aca="1" ref="AN7" ca="1">IF(AM7="","",IF(AM7&lt;&gt;AM6,1,IF(AN6=misLíneas-2,0,AN6+1)))</f>
        <v/>
      </c>
      <c r="AO7" s="18" t="str" cm="1">
        <f t="array" aca="1" ref="AO7" ca="1">IF(OR(AN7=0,AN7=""),"",INDEX(misCriticidades,AM7)&amp;"-"&amp;IFERROR(MATCH(AN7,miOrdenTarjeta,0),0))</f>
        <v/>
      </c>
      <c r="AP7" s="17" t="str">
        <f ca="1"/>
        <v/>
      </c>
      <c r="AQ7" s="18">
        <f t="shared" ca="1" si="18"/>
        <v>1</v>
      </c>
      <c r="AR7" s="18" t="str">
        <f t="shared" ca="1" si="8"/>
        <v/>
      </c>
      <c r="AS7" s="18" t="str" cm="1">
        <f t="array" aca="1" ref="AS7" ca="1">IF(AR7="","",IF(AR7&lt;&gt;AR6,1,IF(AS6=misLíneas-2,0,AS6+1)))</f>
        <v/>
      </c>
      <c r="AT7" s="18" t="str" cm="1">
        <f t="array" aca="1" ref="AT7" ca="1">IF(OR(AS7=0,AS7=""),"",INDEX(misCriticidades,AR7)&amp;"-"&amp;IFERROR(MATCH(AS7,miOrdenTarjeta,0),0))</f>
        <v/>
      </c>
      <c r="AU7" s="17" t="str">
        <f ca="1"/>
        <v/>
      </c>
      <c r="AV7" s="18">
        <f t="shared" ca="1" si="19"/>
        <v>1</v>
      </c>
      <c r="AW7" s="18" t="str">
        <f t="shared" ca="1" si="9"/>
        <v/>
      </c>
      <c r="AX7" s="18" t="str" cm="1">
        <f t="array" aca="1" ref="AX7" ca="1">IF(AW7="","",IF(AW7&lt;&gt;AW6,1,IF(AX6=misLíneas-2,0,AX6+1)))</f>
        <v/>
      </c>
      <c r="AY7" s="18" t="str" cm="1">
        <f t="array" aca="1" ref="AY7" ca="1">IF(OR(AX7=0,AX7=""),"",INDEX(misCriticidades,AW7)&amp;"-"&amp;IFERROR(MATCH(AX7,miOrdenTarjeta,0),0))</f>
        <v/>
      </c>
    </row>
    <row r="8" spans="1:51" x14ac:dyDescent="0.3">
      <c r="B8" s="17" t="str">
        <f ca="1"/>
        <v/>
      </c>
      <c r="C8" s="18">
        <f t="shared" ca="1" si="10"/>
        <v>1</v>
      </c>
      <c r="D8" s="18" t="str">
        <f t="shared" ca="1" si="0"/>
        <v/>
      </c>
      <c r="E8" s="18" t="str" cm="1">
        <f t="array" aca="1" ref="E8" ca="1">IF(D8="","",IF(D8&lt;&gt;D7,1,IF(E7=misLíneas-2,0,E7+1)))</f>
        <v/>
      </c>
      <c r="F8" s="18" t="str" cm="1">
        <f t="array" aca="1" ref="F8" ca="1">IF(OR(E8=0,E8=""),"",INDEX(misCriticidades,D8)&amp;"-"&amp;IFERROR(MATCH(E8,miOrdenTarjeta,0),0))</f>
        <v/>
      </c>
      <c r="G8" s="17" t="str">
        <f ca="1"/>
        <v/>
      </c>
      <c r="H8" s="18">
        <f t="shared" ca="1" si="11"/>
        <v>1</v>
      </c>
      <c r="I8" s="18" t="str">
        <f t="shared" ca="1" si="1"/>
        <v/>
      </c>
      <c r="J8" s="18" t="str" cm="1">
        <f t="array" aca="1" ref="J8" ca="1">IF(I8="","",IF(I8&lt;&gt;I7,1,IF(J7=misLíneas-2,0,J7+1)))</f>
        <v/>
      </c>
      <c r="K8" s="18" t="str" cm="1">
        <f t="array" aca="1" ref="K8" ca="1">IF(OR(J8=0,J8=""),"",INDEX(misCriticidades,I8)&amp;"-"&amp;IFERROR(MATCH(J8,miOrdenTarjeta,0),0))</f>
        <v/>
      </c>
      <c r="L8" s="17" t="str">
        <f ca="1"/>
        <v/>
      </c>
      <c r="M8" s="18">
        <f t="shared" ca="1" si="12"/>
        <v>1</v>
      </c>
      <c r="N8" s="18" t="str">
        <f t="shared" ca="1" si="2"/>
        <v/>
      </c>
      <c r="O8" s="18" t="str" cm="1">
        <f t="array" aca="1" ref="O8" ca="1">IF(N8="","",IF(N8&lt;&gt;N7,1,IF(O7=misLíneas-2,0,O7+1)))</f>
        <v/>
      </c>
      <c r="P8" s="18" t="str" cm="1">
        <f t="array" aca="1" ref="P8" ca="1">IF(OR(O8=0,O8=""),"",INDEX(misCriticidades,N8)&amp;"-"&amp;IFERROR(MATCH(O8,miOrdenTarjeta,0),0))</f>
        <v/>
      </c>
      <c r="Q8" s="17">
        <f ca="1"/>
        <v>7</v>
      </c>
      <c r="R8" s="18">
        <f t="shared" ca="1" si="13"/>
        <v>1</v>
      </c>
      <c r="S8" s="18">
        <f t="shared" ca="1" si="3"/>
        <v>84</v>
      </c>
      <c r="T8" s="18" cm="1">
        <f t="array" aca="1" ref="T8" ca="1">IF(S8="","",IF(S8&lt;&gt;S7,1,IF(T7=misLíneas-2,0,T7+1)))</f>
        <v>6</v>
      </c>
      <c r="U8" s="18" t="str" cm="1">
        <f t="array" aca="1" ref="U8" ca="1">IF(OR(T8=0,T8=""),"",INDEX(misCriticidades,S8)&amp;"-"&amp;IFERROR(MATCH(T8,miOrdenTarjeta,0),0))</f>
        <v>3-6</v>
      </c>
      <c r="V8" s="17" t="str">
        <f ca="1"/>
        <v/>
      </c>
      <c r="W8" s="18">
        <f t="shared" ca="1" si="14"/>
        <v>1</v>
      </c>
      <c r="X8" s="18" t="str">
        <f t="shared" ca="1" si="4"/>
        <v/>
      </c>
      <c r="Y8" s="18" t="str" cm="1">
        <f t="array" aca="1" ref="Y8" ca="1">IF(X8="","",IF(X8&lt;&gt;X7,1,IF(Y7=misLíneas-2,0,Y7+1)))</f>
        <v/>
      </c>
      <c r="Z8" s="18" t="str" cm="1">
        <f t="array" aca="1" ref="Z8" ca="1">IF(OR(Y8=0,Y8=""),"",INDEX(misCriticidades,X8)&amp;"-"&amp;IFERROR(MATCH(Y8,miOrdenTarjeta,0),0))</f>
        <v/>
      </c>
      <c r="AA8" s="17" t="str">
        <f ca="1"/>
        <v/>
      </c>
      <c r="AB8" s="18">
        <f t="shared" ca="1" si="15"/>
        <v>1</v>
      </c>
      <c r="AC8" s="18" t="str">
        <f t="shared" ca="1" si="5"/>
        <v/>
      </c>
      <c r="AD8" s="18" t="str" cm="1">
        <f t="array" aca="1" ref="AD8" ca="1">IF(AC8="","",IF(AC8&lt;&gt;AC7,1,IF(AD7=misLíneas-2,0,AD7+1)))</f>
        <v/>
      </c>
      <c r="AE8" s="18" t="str" cm="1">
        <f t="array" aca="1" ref="AE8" ca="1">IF(OR(AD8=0,AD8=""),"",INDEX(misCriticidades,AC8)&amp;"-"&amp;IFERROR(MATCH(AD8,miOrdenTarjeta,0),0))</f>
        <v/>
      </c>
      <c r="AF8" s="17" t="str">
        <f ca="1"/>
        <v/>
      </c>
      <c r="AG8" s="18">
        <f t="shared" ca="1" si="16"/>
        <v>1</v>
      </c>
      <c r="AH8" s="18" t="str">
        <f t="shared" ca="1" si="6"/>
        <v/>
      </c>
      <c r="AI8" s="18" t="str" cm="1">
        <f t="array" aca="1" ref="AI8" ca="1">IF(AH8="","",IF(AH8&lt;&gt;AH7,1,IF(AI7=misLíneas-2,0,AI7+1)))</f>
        <v/>
      </c>
      <c r="AJ8" s="18" t="str" cm="1">
        <f t="array" aca="1" ref="AJ8" ca="1">IF(OR(AI8=0,AI8=""),"",INDEX(misCriticidades,AH8)&amp;"-"&amp;IFERROR(MATCH(AI8,miOrdenTarjeta,0),0))</f>
        <v/>
      </c>
      <c r="AK8" s="17" t="str">
        <f ca="1"/>
        <v/>
      </c>
      <c r="AL8" s="18">
        <f t="shared" ca="1" si="17"/>
        <v>1</v>
      </c>
      <c r="AM8" s="18" t="str">
        <f t="shared" ca="1" si="7"/>
        <v/>
      </c>
      <c r="AN8" s="18" t="str" cm="1">
        <f t="array" aca="1" ref="AN8" ca="1">IF(AM8="","",IF(AM8&lt;&gt;AM7,1,IF(AN7=misLíneas-2,0,AN7+1)))</f>
        <v/>
      </c>
      <c r="AO8" s="18" t="str" cm="1">
        <f t="array" aca="1" ref="AO8" ca="1">IF(OR(AN8=0,AN8=""),"",INDEX(misCriticidades,AM8)&amp;"-"&amp;IFERROR(MATCH(AN8,miOrdenTarjeta,0),0))</f>
        <v/>
      </c>
      <c r="AP8" s="17" t="str">
        <f ca="1"/>
        <v/>
      </c>
      <c r="AQ8" s="18">
        <f t="shared" ca="1" si="18"/>
        <v>1</v>
      </c>
      <c r="AR8" s="18" t="str">
        <f t="shared" ca="1" si="8"/>
        <v/>
      </c>
      <c r="AS8" s="18" t="str" cm="1">
        <f t="array" aca="1" ref="AS8" ca="1">IF(AR8="","",IF(AR8&lt;&gt;AR7,1,IF(AS7=misLíneas-2,0,AS7+1)))</f>
        <v/>
      </c>
      <c r="AT8" s="18" t="str" cm="1">
        <f t="array" aca="1" ref="AT8" ca="1">IF(OR(AS8=0,AS8=""),"",INDEX(misCriticidades,AR8)&amp;"-"&amp;IFERROR(MATCH(AS8,miOrdenTarjeta,0),0))</f>
        <v/>
      </c>
      <c r="AU8" s="17" t="str">
        <f ca="1"/>
        <v/>
      </c>
      <c r="AV8" s="18">
        <f t="shared" ca="1" si="19"/>
        <v>1</v>
      </c>
      <c r="AW8" s="18" t="str">
        <f t="shared" ca="1" si="9"/>
        <v/>
      </c>
      <c r="AX8" s="18" t="str" cm="1">
        <f t="array" aca="1" ref="AX8" ca="1">IF(AW8="","",IF(AW8&lt;&gt;AW7,1,IF(AX7=misLíneas-2,0,AX7+1)))</f>
        <v/>
      </c>
      <c r="AY8" s="18" t="str" cm="1">
        <f t="array" aca="1" ref="AY8" ca="1">IF(OR(AX8=0,AX8=""),"",INDEX(misCriticidades,AW8)&amp;"-"&amp;IFERROR(MATCH(AX8,miOrdenTarjeta,0),0))</f>
        <v/>
      </c>
    </row>
    <row r="9" spans="1:51" x14ac:dyDescent="0.3">
      <c r="B9" s="17" t="str">
        <f ca="1"/>
        <v/>
      </c>
      <c r="C9" s="18">
        <f t="shared" ca="1" si="10"/>
        <v>1</v>
      </c>
      <c r="D9" s="18" t="str">
        <f t="shared" ca="1" si="0"/>
        <v/>
      </c>
      <c r="E9" s="18" t="str" cm="1">
        <f t="array" aca="1" ref="E9" ca="1">IF(D9="","",IF(D9&lt;&gt;D8,1,IF(E8=misLíneas-2,0,E8+1)))</f>
        <v/>
      </c>
      <c r="F9" s="18" t="str" cm="1">
        <f t="array" aca="1" ref="F9" ca="1">IF(OR(E9=0,E9=""),"",INDEX(misCriticidades,D9)&amp;"-"&amp;IFERROR(MATCH(E9,miOrdenTarjeta,0),0))</f>
        <v/>
      </c>
      <c r="G9" s="17" t="str">
        <f ca="1"/>
        <v/>
      </c>
      <c r="H9" s="18">
        <f t="shared" ca="1" si="11"/>
        <v>1</v>
      </c>
      <c r="I9" s="18" t="str">
        <f t="shared" ca="1" si="1"/>
        <v/>
      </c>
      <c r="J9" s="18" t="str" cm="1">
        <f t="array" aca="1" ref="J9" ca="1">IF(I9="","",IF(I9&lt;&gt;I8,1,IF(J8=misLíneas-2,0,J8+1)))</f>
        <v/>
      </c>
      <c r="K9" s="18" t="str" cm="1">
        <f t="array" aca="1" ref="K9" ca="1">IF(OR(J9=0,J9=""),"",INDEX(misCriticidades,I9)&amp;"-"&amp;IFERROR(MATCH(J9,miOrdenTarjeta,0),0))</f>
        <v/>
      </c>
      <c r="L9" s="17" t="str">
        <f ca="1"/>
        <v/>
      </c>
      <c r="M9" s="18">
        <f t="shared" ca="1" si="12"/>
        <v>1</v>
      </c>
      <c r="N9" s="18" t="str">
        <f t="shared" ca="1" si="2"/>
        <v/>
      </c>
      <c r="O9" s="18" t="str" cm="1">
        <f t="array" aca="1" ref="O9" ca="1">IF(N9="","",IF(N9&lt;&gt;N8,1,IF(O8=misLíneas-2,0,O8+1)))</f>
        <v/>
      </c>
      <c r="P9" s="18" t="str" cm="1">
        <f t="array" aca="1" ref="P9" ca="1">IF(OR(O9=0,O9=""),"",INDEX(misCriticidades,N9)&amp;"-"&amp;IFERROR(MATCH(O9,miOrdenTarjeta,0),0))</f>
        <v/>
      </c>
      <c r="Q9" s="17">
        <f ca="1"/>
        <v>8</v>
      </c>
      <c r="R9" s="18">
        <f t="shared" ca="1" si="13"/>
        <v>1</v>
      </c>
      <c r="S9" s="18">
        <f t="shared" ca="1" si="3"/>
        <v>84</v>
      </c>
      <c r="T9" s="18" cm="1">
        <f t="array" aca="1" ref="T9" ca="1">IF(S9="","",IF(S9&lt;&gt;S8,1,IF(T8=misLíneas-2,0,T8+1)))</f>
        <v>7</v>
      </c>
      <c r="U9" s="18" t="str" cm="1">
        <f t="array" aca="1" ref="U9" ca="1">IF(OR(T9=0,T9=""),"",INDEX(misCriticidades,S9)&amp;"-"&amp;IFERROR(MATCH(T9,miOrdenTarjeta,0),0))</f>
        <v>3-7</v>
      </c>
      <c r="V9" s="17" t="str">
        <f ca="1"/>
        <v/>
      </c>
      <c r="W9" s="18">
        <f t="shared" ca="1" si="14"/>
        <v>1</v>
      </c>
      <c r="X9" s="18" t="str">
        <f t="shared" ca="1" si="4"/>
        <v/>
      </c>
      <c r="Y9" s="18" t="str" cm="1">
        <f t="array" aca="1" ref="Y9" ca="1">IF(X9="","",IF(X9&lt;&gt;X8,1,IF(Y8=misLíneas-2,0,Y8+1)))</f>
        <v/>
      </c>
      <c r="Z9" s="18" t="str" cm="1">
        <f t="array" aca="1" ref="Z9" ca="1">IF(OR(Y9=0,Y9=""),"",INDEX(misCriticidades,X9)&amp;"-"&amp;IFERROR(MATCH(Y9,miOrdenTarjeta,0),0))</f>
        <v/>
      </c>
      <c r="AA9" s="17" t="str">
        <f ca="1"/>
        <v/>
      </c>
      <c r="AB9" s="18">
        <f t="shared" ca="1" si="15"/>
        <v>1</v>
      </c>
      <c r="AC9" s="18" t="str">
        <f t="shared" ca="1" si="5"/>
        <v/>
      </c>
      <c r="AD9" s="18" t="str" cm="1">
        <f t="array" aca="1" ref="AD9" ca="1">IF(AC9="","",IF(AC9&lt;&gt;AC8,1,IF(AD8=misLíneas-2,0,AD8+1)))</f>
        <v/>
      </c>
      <c r="AE9" s="18" t="str" cm="1">
        <f t="array" aca="1" ref="AE9" ca="1">IF(OR(AD9=0,AD9=""),"",INDEX(misCriticidades,AC9)&amp;"-"&amp;IFERROR(MATCH(AD9,miOrdenTarjeta,0),0))</f>
        <v/>
      </c>
      <c r="AF9" s="17" t="str">
        <f ca="1"/>
        <v/>
      </c>
      <c r="AG9" s="18">
        <f t="shared" ca="1" si="16"/>
        <v>1</v>
      </c>
      <c r="AH9" s="18" t="str">
        <f t="shared" ca="1" si="6"/>
        <v/>
      </c>
      <c r="AI9" s="18" t="str" cm="1">
        <f t="array" aca="1" ref="AI9" ca="1">IF(AH9="","",IF(AH9&lt;&gt;AH8,1,IF(AI8=misLíneas-2,0,AI8+1)))</f>
        <v/>
      </c>
      <c r="AJ9" s="18" t="str" cm="1">
        <f t="array" aca="1" ref="AJ9" ca="1">IF(OR(AI9=0,AI9=""),"",INDEX(misCriticidades,AH9)&amp;"-"&amp;IFERROR(MATCH(AI9,miOrdenTarjeta,0),0))</f>
        <v/>
      </c>
      <c r="AK9" s="17" t="str">
        <f ca="1"/>
        <v/>
      </c>
      <c r="AL9" s="18">
        <f t="shared" ca="1" si="17"/>
        <v>1</v>
      </c>
      <c r="AM9" s="18" t="str">
        <f t="shared" ca="1" si="7"/>
        <v/>
      </c>
      <c r="AN9" s="18" t="str" cm="1">
        <f t="array" aca="1" ref="AN9" ca="1">IF(AM9="","",IF(AM9&lt;&gt;AM8,1,IF(AN8=misLíneas-2,0,AN8+1)))</f>
        <v/>
      </c>
      <c r="AO9" s="18" t="str" cm="1">
        <f t="array" aca="1" ref="AO9" ca="1">IF(OR(AN9=0,AN9=""),"",INDEX(misCriticidades,AM9)&amp;"-"&amp;IFERROR(MATCH(AN9,miOrdenTarjeta,0),0))</f>
        <v/>
      </c>
      <c r="AP9" s="17" t="str">
        <f ca="1"/>
        <v/>
      </c>
      <c r="AQ9" s="18">
        <f t="shared" ca="1" si="18"/>
        <v>1</v>
      </c>
      <c r="AR9" s="18" t="str">
        <f t="shared" ca="1" si="8"/>
        <v/>
      </c>
      <c r="AS9" s="18" t="str" cm="1">
        <f t="array" aca="1" ref="AS9" ca="1">IF(AR9="","",IF(AR9&lt;&gt;AR8,1,IF(AS8=misLíneas-2,0,AS8+1)))</f>
        <v/>
      </c>
      <c r="AT9" s="18" t="str" cm="1">
        <f t="array" aca="1" ref="AT9" ca="1">IF(OR(AS9=0,AS9=""),"",INDEX(misCriticidades,AR9)&amp;"-"&amp;IFERROR(MATCH(AS9,miOrdenTarjeta,0),0))</f>
        <v/>
      </c>
      <c r="AU9" s="17" t="str">
        <f ca="1"/>
        <v/>
      </c>
      <c r="AV9" s="18">
        <f t="shared" ca="1" si="19"/>
        <v>1</v>
      </c>
      <c r="AW9" s="18" t="str">
        <f t="shared" ca="1" si="9"/>
        <v/>
      </c>
      <c r="AX9" s="18" t="str" cm="1">
        <f t="array" aca="1" ref="AX9" ca="1">IF(AW9="","",IF(AW9&lt;&gt;AW8,1,IF(AX8=misLíneas-2,0,AX8+1)))</f>
        <v/>
      </c>
      <c r="AY9" s="18" t="str" cm="1">
        <f t="array" aca="1" ref="AY9" ca="1">IF(OR(AX9=0,AX9=""),"",INDEX(misCriticidades,AW9)&amp;"-"&amp;IFERROR(MATCH(AX9,miOrdenTarjeta,0),0))</f>
        <v/>
      </c>
    </row>
    <row r="10" spans="1:51" x14ac:dyDescent="0.3">
      <c r="B10" s="17" t="str">
        <f ca="1"/>
        <v/>
      </c>
      <c r="C10" s="18">
        <f ca="1">C9--(E9=0)</f>
        <v>1</v>
      </c>
      <c r="D10" s="18" t="str">
        <f t="shared" ca="1" si="0"/>
        <v/>
      </c>
      <c r="E10" s="18" t="str" cm="1">
        <f t="array" aca="1" ref="E10" ca="1">IF(D10="","",IF(D10&lt;&gt;D9,1,IF(E9=misLíneas-2,0,E9+1)))</f>
        <v/>
      </c>
      <c r="F10" s="18" t="str" cm="1">
        <f t="array" aca="1" ref="F10" ca="1">IF(OR(E10=0,E10=""),"",INDEX(misCriticidades,D10)&amp;"-"&amp;IFERROR(MATCH(E10,miOrdenTarjeta,0),0))</f>
        <v/>
      </c>
      <c r="G10" s="17" t="str">
        <f ca="1"/>
        <v/>
      </c>
      <c r="H10" s="18">
        <f t="shared" ca="1" si="11"/>
        <v>1</v>
      </c>
      <c r="I10" s="18" t="str">
        <f t="shared" ca="1" si="1"/>
        <v/>
      </c>
      <c r="J10" s="18" t="str" cm="1">
        <f t="array" aca="1" ref="J10" ca="1">IF(I10="","",IF(I10&lt;&gt;I9,1,IF(J9=misLíneas-2,0,J9+1)))</f>
        <v/>
      </c>
      <c r="K10" s="18" t="str" cm="1">
        <f t="array" aca="1" ref="K10" ca="1">IF(OR(J10=0,J10=""),"",INDEX(misCriticidades,I10)&amp;"-"&amp;IFERROR(MATCH(J10,miOrdenTarjeta,0),0))</f>
        <v/>
      </c>
      <c r="L10" s="17" t="str">
        <f ca="1"/>
        <v/>
      </c>
      <c r="M10" s="18">
        <f t="shared" ca="1" si="12"/>
        <v>1</v>
      </c>
      <c r="N10" s="18" t="str">
        <f t="shared" ca="1" si="2"/>
        <v/>
      </c>
      <c r="O10" s="18" t="str" cm="1">
        <f t="array" aca="1" ref="O10" ca="1">IF(N10="","",IF(N10&lt;&gt;N9,1,IF(O9=misLíneas-2,0,O9+1)))</f>
        <v/>
      </c>
      <c r="P10" s="18" t="str" cm="1">
        <f t="array" aca="1" ref="P10" ca="1">IF(OR(O10=0,O10=""),"",INDEX(misCriticidades,N10)&amp;"-"&amp;IFERROR(MATCH(O10,miOrdenTarjeta,0),0))</f>
        <v/>
      </c>
      <c r="Q10" s="17">
        <f ca="1"/>
        <v>9</v>
      </c>
      <c r="R10" s="18">
        <f t="shared" ca="1" si="13"/>
        <v>1</v>
      </c>
      <c r="S10" s="18">
        <f t="shared" ca="1" si="3"/>
        <v>84</v>
      </c>
      <c r="T10" s="18" cm="1">
        <f t="array" aca="1" ref="T10" ca="1">IF(S10="","",IF(S10&lt;&gt;S9,1,IF(T9=misLíneas-2,0,T9+1)))</f>
        <v>8</v>
      </c>
      <c r="U10" s="18" t="str" cm="1">
        <f t="array" aca="1" ref="U10" ca="1">IF(OR(T10=0,T10=""),"",INDEX(misCriticidades,S10)&amp;"-"&amp;IFERROR(MATCH(T10,miOrdenTarjeta,0),0))</f>
        <v>3-8</v>
      </c>
      <c r="V10" s="17" t="str">
        <f ca="1"/>
        <v/>
      </c>
      <c r="W10" s="18">
        <f t="shared" ca="1" si="14"/>
        <v>1</v>
      </c>
      <c r="X10" s="18" t="str">
        <f t="shared" ca="1" si="4"/>
        <v/>
      </c>
      <c r="Y10" s="18" t="str" cm="1">
        <f t="array" aca="1" ref="Y10" ca="1">IF(X10="","",IF(X10&lt;&gt;X9,1,IF(Y9=misLíneas-2,0,Y9+1)))</f>
        <v/>
      </c>
      <c r="Z10" s="18" t="str" cm="1">
        <f t="array" aca="1" ref="Z10" ca="1">IF(OR(Y10=0,Y10=""),"",INDEX(misCriticidades,X10)&amp;"-"&amp;IFERROR(MATCH(Y10,miOrdenTarjeta,0),0))</f>
        <v/>
      </c>
      <c r="AA10" s="17" t="str">
        <f ca="1"/>
        <v/>
      </c>
      <c r="AB10" s="18">
        <f t="shared" ca="1" si="15"/>
        <v>1</v>
      </c>
      <c r="AC10" s="18" t="str">
        <f t="shared" ca="1" si="5"/>
        <v/>
      </c>
      <c r="AD10" s="18" t="str" cm="1">
        <f t="array" aca="1" ref="AD10" ca="1">IF(AC10="","",IF(AC10&lt;&gt;AC9,1,IF(AD9=misLíneas-2,0,AD9+1)))</f>
        <v/>
      </c>
      <c r="AE10" s="18" t="str" cm="1">
        <f t="array" aca="1" ref="AE10" ca="1">IF(OR(AD10=0,AD10=""),"",INDEX(misCriticidades,AC10)&amp;"-"&amp;IFERROR(MATCH(AD10,miOrdenTarjeta,0),0))</f>
        <v/>
      </c>
      <c r="AF10" s="17" t="str">
        <f ca="1"/>
        <v/>
      </c>
      <c r="AG10" s="18">
        <f t="shared" ca="1" si="16"/>
        <v>1</v>
      </c>
      <c r="AH10" s="18" t="str">
        <f t="shared" ca="1" si="6"/>
        <v/>
      </c>
      <c r="AI10" s="18" t="str" cm="1">
        <f t="array" aca="1" ref="AI10" ca="1">IF(AH10="","",IF(AH10&lt;&gt;AH9,1,IF(AI9=misLíneas-2,0,AI9+1)))</f>
        <v/>
      </c>
      <c r="AJ10" s="18" t="str" cm="1">
        <f t="array" aca="1" ref="AJ10" ca="1">IF(OR(AI10=0,AI10=""),"",INDEX(misCriticidades,AH10)&amp;"-"&amp;IFERROR(MATCH(AI10,miOrdenTarjeta,0),0))</f>
        <v/>
      </c>
      <c r="AK10" s="17" t="str">
        <f ca="1"/>
        <v/>
      </c>
      <c r="AL10" s="18">
        <f t="shared" ca="1" si="17"/>
        <v>1</v>
      </c>
      <c r="AM10" s="18" t="str">
        <f t="shared" ca="1" si="7"/>
        <v/>
      </c>
      <c r="AN10" s="18" t="str" cm="1">
        <f t="array" aca="1" ref="AN10" ca="1">IF(AM10="","",IF(AM10&lt;&gt;AM9,1,IF(AN9=misLíneas-2,0,AN9+1)))</f>
        <v/>
      </c>
      <c r="AO10" s="18" t="str" cm="1">
        <f t="array" aca="1" ref="AO10" ca="1">IF(OR(AN10=0,AN10=""),"",INDEX(misCriticidades,AM10)&amp;"-"&amp;IFERROR(MATCH(AN10,miOrdenTarjeta,0),0))</f>
        <v/>
      </c>
      <c r="AP10" s="17" t="str">
        <f ca="1"/>
        <v/>
      </c>
      <c r="AQ10" s="18">
        <f t="shared" ca="1" si="18"/>
        <v>1</v>
      </c>
      <c r="AR10" s="18" t="str">
        <f t="shared" ca="1" si="8"/>
        <v/>
      </c>
      <c r="AS10" s="18" t="str" cm="1">
        <f t="array" aca="1" ref="AS10" ca="1">IF(AR10="","",IF(AR10&lt;&gt;AR9,1,IF(AS9=misLíneas-2,0,AS9+1)))</f>
        <v/>
      </c>
      <c r="AT10" s="18" t="str" cm="1">
        <f t="array" aca="1" ref="AT10" ca="1">IF(OR(AS10=0,AS10=""),"",INDEX(misCriticidades,AR10)&amp;"-"&amp;IFERROR(MATCH(AS10,miOrdenTarjeta,0),0))</f>
        <v/>
      </c>
      <c r="AU10" s="17" t="str">
        <f ca="1"/>
        <v/>
      </c>
      <c r="AV10" s="18">
        <f t="shared" ca="1" si="19"/>
        <v>1</v>
      </c>
      <c r="AW10" s="18" t="str">
        <f t="shared" ca="1" si="9"/>
        <v/>
      </c>
      <c r="AX10" s="18" t="str" cm="1">
        <f t="array" aca="1" ref="AX10" ca="1">IF(AW10="","",IF(AW10&lt;&gt;AW9,1,IF(AX9=misLíneas-2,0,AX9+1)))</f>
        <v/>
      </c>
      <c r="AY10" s="18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7" t="str">
        <f ca="1"/>
        <v/>
      </c>
      <c r="C11" s="18">
        <f t="shared" ref="C11:C74" ca="1" si="20">C10--(E10=0)</f>
        <v>1</v>
      </c>
      <c r="D11" s="18" t="str">
        <f t="shared" ca="1" si="0"/>
        <v/>
      </c>
      <c r="E11" s="18" t="str" cm="1">
        <f t="array" aca="1" ref="E11" ca="1">IF(D11="","",IF(D11&lt;&gt;D10,1,IF(E10=misLíneas-2,0,E10+1)))</f>
        <v/>
      </c>
      <c r="F11" s="18" t="str" cm="1">
        <f t="array" aca="1" ref="F11" ca="1">IF(OR(E11=0,E11=""),"",INDEX(misCriticidades,D11)&amp;"-"&amp;IFERROR(MATCH(E11,miOrdenTarjeta,0),0))</f>
        <v/>
      </c>
      <c r="G11" s="17" t="str">
        <f ca="1"/>
        <v/>
      </c>
      <c r="H11" s="18">
        <f t="shared" ca="1" si="11"/>
        <v>1</v>
      </c>
      <c r="I11" s="18" t="str">
        <f t="shared" ca="1" si="1"/>
        <v/>
      </c>
      <c r="J11" s="18" t="str" cm="1">
        <f t="array" aca="1" ref="J11" ca="1">IF(I11="","",IF(I11&lt;&gt;I10,1,IF(J10=misLíneas-2,0,J10+1)))</f>
        <v/>
      </c>
      <c r="K11" s="18" t="str" cm="1">
        <f t="array" aca="1" ref="K11" ca="1">IF(OR(J11=0,J11=""),"",INDEX(misCriticidades,I11)&amp;"-"&amp;IFERROR(MATCH(J11,miOrdenTarjeta,0),0))</f>
        <v/>
      </c>
      <c r="L11" s="17" t="str">
        <f ca="1"/>
        <v/>
      </c>
      <c r="M11" s="18">
        <f t="shared" ca="1" si="12"/>
        <v>1</v>
      </c>
      <c r="N11" s="18" t="str">
        <f t="shared" ca="1" si="2"/>
        <v/>
      </c>
      <c r="O11" s="18" t="str" cm="1">
        <f t="array" aca="1" ref="O11" ca="1">IF(N11="","",IF(N11&lt;&gt;N10,1,IF(O10=misLíneas-2,0,O10+1)))</f>
        <v/>
      </c>
      <c r="P11" s="18" t="str" cm="1">
        <f t="array" aca="1" ref="P11" ca="1">IF(OR(O11=0,O11=""),"",INDEX(misCriticidades,N11)&amp;"-"&amp;IFERROR(MATCH(O11,miOrdenTarjeta,0),0))</f>
        <v/>
      </c>
      <c r="Q11" s="17">
        <f ca="1"/>
        <v>10</v>
      </c>
      <c r="R11" s="18">
        <f t="shared" ca="1" si="13"/>
        <v>1</v>
      </c>
      <c r="S11" s="18">
        <f t="shared" ca="1" si="3"/>
        <v>84</v>
      </c>
      <c r="T11" s="18" cm="1">
        <f t="array" aca="1" ref="T11" ca="1">IF(S11="","",IF(S11&lt;&gt;S10,1,IF(T10=misLíneas-2,0,T10+1)))</f>
        <v>0</v>
      </c>
      <c r="U11" s="18" t="str" cm="1">
        <f t="array" aca="1" ref="U11" ca="1">IF(OR(T11=0,T11=""),"",INDEX(misCriticidades,S11)&amp;"-"&amp;IFERROR(MATCH(T11,miOrdenTarjeta,0),0))</f>
        <v/>
      </c>
      <c r="V11" s="17" t="str">
        <f ca="1"/>
        <v/>
      </c>
      <c r="W11" s="18">
        <f t="shared" ca="1" si="14"/>
        <v>1</v>
      </c>
      <c r="X11" s="18" t="str">
        <f t="shared" ca="1" si="4"/>
        <v/>
      </c>
      <c r="Y11" s="18" t="str" cm="1">
        <f t="array" aca="1" ref="Y11" ca="1">IF(X11="","",IF(X11&lt;&gt;X10,1,IF(Y10=misLíneas-2,0,Y10+1)))</f>
        <v/>
      </c>
      <c r="Z11" s="18" t="str" cm="1">
        <f t="array" aca="1" ref="Z11" ca="1">IF(OR(Y11=0,Y11=""),"",INDEX(misCriticidades,X11)&amp;"-"&amp;IFERROR(MATCH(Y11,miOrdenTarjeta,0),0))</f>
        <v/>
      </c>
      <c r="AA11" s="17" t="str">
        <f ca="1"/>
        <v/>
      </c>
      <c r="AB11" s="18">
        <f t="shared" ca="1" si="15"/>
        <v>1</v>
      </c>
      <c r="AC11" s="18" t="str">
        <f t="shared" ca="1" si="5"/>
        <v/>
      </c>
      <c r="AD11" s="18" t="str" cm="1">
        <f t="array" aca="1" ref="AD11" ca="1">IF(AC11="","",IF(AC11&lt;&gt;AC10,1,IF(AD10=misLíneas-2,0,AD10+1)))</f>
        <v/>
      </c>
      <c r="AE11" s="18" t="str" cm="1">
        <f t="array" aca="1" ref="AE11" ca="1">IF(OR(AD11=0,AD11=""),"",INDEX(misCriticidades,AC11)&amp;"-"&amp;IFERROR(MATCH(AD11,miOrdenTarjeta,0),0))</f>
        <v/>
      </c>
      <c r="AF11" s="17" t="str">
        <f ca="1"/>
        <v/>
      </c>
      <c r="AG11" s="18">
        <f t="shared" ca="1" si="16"/>
        <v>1</v>
      </c>
      <c r="AH11" s="18" t="str">
        <f t="shared" ca="1" si="6"/>
        <v/>
      </c>
      <c r="AI11" s="18" t="str" cm="1">
        <f t="array" aca="1" ref="AI11" ca="1">IF(AH11="","",IF(AH11&lt;&gt;AH10,1,IF(AI10=misLíneas-2,0,AI10+1)))</f>
        <v/>
      </c>
      <c r="AJ11" s="18" t="str" cm="1">
        <f t="array" aca="1" ref="AJ11" ca="1">IF(OR(AI11=0,AI11=""),"",INDEX(misCriticidades,AH11)&amp;"-"&amp;IFERROR(MATCH(AI11,miOrdenTarjeta,0),0))</f>
        <v/>
      </c>
      <c r="AK11" s="17" t="str">
        <f ca="1"/>
        <v/>
      </c>
      <c r="AL11" s="18">
        <f t="shared" ca="1" si="17"/>
        <v>1</v>
      </c>
      <c r="AM11" s="18" t="str">
        <f t="shared" ca="1" si="7"/>
        <v/>
      </c>
      <c r="AN11" s="18" t="str" cm="1">
        <f t="array" aca="1" ref="AN11" ca="1">IF(AM11="","",IF(AM11&lt;&gt;AM10,1,IF(AN10=misLíneas-2,0,AN10+1)))</f>
        <v/>
      </c>
      <c r="AO11" s="18" t="str" cm="1">
        <f t="array" aca="1" ref="AO11" ca="1">IF(OR(AN11=0,AN11=""),"",INDEX(misCriticidades,AM11)&amp;"-"&amp;IFERROR(MATCH(AN11,miOrdenTarjeta,0),0))</f>
        <v/>
      </c>
      <c r="AP11" s="17" t="str">
        <f ca="1"/>
        <v/>
      </c>
      <c r="AQ11" s="18">
        <f t="shared" ca="1" si="18"/>
        <v>1</v>
      </c>
      <c r="AR11" s="18" t="str">
        <f t="shared" ca="1" si="8"/>
        <v/>
      </c>
      <c r="AS11" s="18" t="str" cm="1">
        <f t="array" aca="1" ref="AS11" ca="1">IF(AR11="","",IF(AR11&lt;&gt;AR10,1,IF(AS10=misLíneas-2,0,AS10+1)))</f>
        <v/>
      </c>
      <c r="AT11" s="18" t="str" cm="1">
        <f t="array" aca="1" ref="AT11" ca="1">IF(OR(AS11=0,AS11=""),"",INDEX(misCriticidades,AR11)&amp;"-"&amp;IFERROR(MATCH(AS11,miOrdenTarjeta,0),0))</f>
        <v/>
      </c>
      <c r="AU11" s="17" t="str">
        <f ca="1"/>
        <v/>
      </c>
      <c r="AV11" s="18">
        <f t="shared" ca="1" si="19"/>
        <v>1</v>
      </c>
      <c r="AW11" s="18" t="str">
        <f t="shared" ca="1" si="9"/>
        <v/>
      </c>
      <c r="AX11" s="18" t="str" cm="1">
        <f t="array" aca="1" ref="AX11" ca="1">IF(AW11="","",IF(AW11&lt;&gt;AW10,1,IF(AX10=misLíneas-2,0,AX10+1)))</f>
        <v/>
      </c>
      <c r="AY11" s="18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7" t="str">
        <f ca="1"/>
        <v/>
      </c>
      <c r="C12" s="18">
        <f t="shared" ca="1" si="20"/>
        <v>1</v>
      </c>
      <c r="D12" s="18" t="str">
        <f t="shared" ca="1" si="0"/>
        <v/>
      </c>
      <c r="E12" s="18" t="str" cm="1">
        <f t="array" aca="1" ref="E12" ca="1">IF(D12="","",IF(D12&lt;&gt;D11,1,IF(E11=misLíneas-2,0,E11+1)))</f>
        <v/>
      </c>
      <c r="F12" s="18" t="str" cm="1">
        <f t="array" aca="1" ref="F12" ca="1">IF(OR(E12=0,E12=""),"",INDEX(misCriticidades,D12)&amp;"-"&amp;IFERROR(MATCH(E12,miOrdenTarjeta,0),0))</f>
        <v/>
      </c>
      <c r="G12" s="17" t="str">
        <f ca="1"/>
        <v/>
      </c>
      <c r="H12" s="18">
        <f t="shared" ca="1" si="11"/>
        <v>1</v>
      </c>
      <c r="I12" s="18" t="str">
        <f t="shared" ca="1" si="1"/>
        <v/>
      </c>
      <c r="J12" s="18" t="str" cm="1">
        <f t="array" aca="1" ref="J12" ca="1">IF(I12="","",IF(I12&lt;&gt;I11,1,IF(J11=misLíneas-2,0,J11+1)))</f>
        <v/>
      </c>
      <c r="K12" s="18" t="str" cm="1">
        <f t="array" aca="1" ref="K12" ca="1">IF(OR(J12=0,J12=""),"",INDEX(misCriticidades,I12)&amp;"-"&amp;IFERROR(MATCH(J12,miOrdenTarjeta,0),0))</f>
        <v/>
      </c>
      <c r="L12" s="17" t="str">
        <f ca="1"/>
        <v/>
      </c>
      <c r="M12" s="18">
        <f t="shared" ca="1" si="12"/>
        <v>1</v>
      </c>
      <c r="N12" s="18" t="str">
        <f t="shared" ca="1" si="2"/>
        <v/>
      </c>
      <c r="O12" s="18" t="str" cm="1">
        <f t="array" aca="1" ref="O12" ca="1">IF(N12="","",IF(N12&lt;&gt;N11,1,IF(O11=misLíneas-2,0,O11+1)))</f>
        <v/>
      </c>
      <c r="P12" s="18" t="str" cm="1">
        <f t="array" aca="1" ref="P12" ca="1">IF(OR(O12=0,O12=""),"",INDEX(misCriticidades,N12)&amp;"-"&amp;IFERROR(MATCH(O12,miOrdenTarjeta,0),0))</f>
        <v/>
      </c>
      <c r="Q12" s="17">
        <f ca="1"/>
        <v>11</v>
      </c>
      <c r="R12" s="18">
        <f t="shared" ca="1" si="13"/>
        <v>2</v>
      </c>
      <c r="S12" s="18">
        <f t="shared" ca="1" si="3"/>
        <v>29</v>
      </c>
      <c r="T12" s="18" cm="1">
        <f t="array" aca="1" ref="T12" ca="1">IF(S12="","",IF(S12&lt;&gt;S11,1,IF(T11=misLíneas-2,0,T11+1)))</f>
        <v>1</v>
      </c>
      <c r="U12" s="18" t="str" cm="1">
        <f t="array" aca="1" ref="U12" ca="1">IF(OR(T12=0,T12=""),"",INDEX(misCriticidades,S12)&amp;"-"&amp;IFERROR(MATCH(T12,miOrdenTarjeta,0),0))</f>
        <v>1-1</v>
      </c>
      <c r="V12" s="17" t="str">
        <f ca="1"/>
        <v/>
      </c>
      <c r="W12" s="18">
        <f t="shared" ca="1" si="14"/>
        <v>1</v>
      </c>
      <c r="X12" s="18" t="str">
        <f t="shared" ca="1" si="4"/>
        <v/>
      </c>
      <c r="Y12" s="18" t="str" cm="1">
        <f t="array" aca="1" ref="Y12" ca="1">IF(X12="","",IF(X12&lt;&gt;X11,1,IF(Y11=misLíneas-2,0,Y11+1)))</f>
        <v/>
      </c>
      <c r="Z12" s="18" t="str" cm="1">
        <f t="array" aca="1" ref="Z12" ca="1">IF(OR(Y12=0,Y12=""),"",INDEX(misCriticidades,X12)&amp;"-"&amp;IFERROR(MATCH(Y12,miOrdenTarjeta,0),0))</f>
        <v/>
      </c>
      <c r="AA12" s="17" t="str">
        <f ca="1"/>
        <v/>
      </c>
      <c r="AB12" s="18">
        <f t="shared" ca="1" si="15"/>
        <v>1</v>
      </c>
      <c r="AC12" s="18" t="str">
        <f t="shared" ca="1" si="5"/>
        <v/>
      </c>
      <c r="AD12" s="18" t="str" cm="1">
        <f t="array" aca="1" ref="AD12" ca="1">IF(AC12="","",IF(AC12&lt;&gt;AC11,1,IF(AD11=misLíneas-2,0,AD11+1)))</f>
        <v/>
      </c>
      <c r="AE12" s="18" t="str" cm="1">
        <f t="array" aca="1" ref="AE12" ca="1">IF(OR(AD12=0,AD12=""),"",INDEX(misCriticidades,AC12)&amp;"-"&amp;IFERROR(MATCH(AD12,miOrdenTarjeta,0),0))</f>
        <v/>
      </c>
      <c r="AF12" s="17" t="str">
        <f ca="1"/>
        <v/>
      </c>
      <c r="AG12" s="18">
        <f t="shared" ca="1" si="16"/>
        <v>1</v>
      </c>
      <c r="AH12" s="18" t="str">
        <f t="shared" ca="1" si="6"/>
        <v/>
      </c>
      <c r="AI12" s="18" t="str" cm="1">
        <f t="array" aca="1" ref="AI12" ca="1">IF(AH12="","",IF(AH12&lt;&gt;AH11,1,IF(AI11=misLíneas-2,0,AI11+1)))</f>
        <v/>
      </c>
      <c r="AJ12" s="18" t="str" cm="1">
        <f t="array" aca="1" ref="AJ12" ca="1">IF(OR(AI12=0,AI12=""),"",INDEX(misCriticidades,AH12)&amp;"-"&amp;IFERROR(MATCH(AI12,miOrdenTarjeta,0),0))</f>
        <v/>
      </c>
      <c r="AK12" s="17" t="str">
        <f ca="1"/>
        <v/>
      </c>
      <c r="AL12" s="18">
        <f t="shared" ca="1" si="17"/>
        <v>1</v>
      </c>
      <c r="AM12" s="18" t="str">
        <f t="shared" ca="1" si="7"/>
        <v/>
      </c>
      <c r="AN12" s="18" t="str" cm="1">
        <f t="array" aca="1" ref="AN12" ca="1">IF(AM12="","",IF(AM12&lt;&gt;AM11,1,IF(AN11=misLíneas-2,0,AN11+1)))</f>
        <v/>
      </c>
      <c r="AO12" s="18" t="str" cm="1">
        <f t="array" aca="1" ref="AO12" ca="1">IF(OR(AN12=0,AN12=""),"",INDEX(misCriticidades,AM12)&amp;"-"&amp;IFERROR(MATCH(AN12,miOrdenTarjeta,0),0))</f>
        <v/>
      </c>
      <c r="AP12" s="17" t="str">
        <f ca="1"/>
        <v/>
      </c>
      <c r="AQ12" s="18">
        <f t="shared" ca="1" si="18"/>
        <v>1</v>
      </c>
      <c r="AR12" s="18" t="str">
        <f t="shared" ca="1" si="8"/>
        <v/>
      </c>
      <c r="AS12" s="18" t="str" cm="1">
        <f t="array" aca="1" ref="AS12" ca="1">IF(AR12="","",IF(AR12&lt;&gt;AR11,1,IF(AS11=misLíneas-2,0,AS11+1)))</f>
        <v/>
      </c>
      <c r="AT12" s="18" t="str" cm="1">
        <f t="array" aca="1" ref="AT12" ca="1">IF(OR(AS12=0,AS12=""),"",INDEX(misCriticidades,AR12)&amp;"-"&amp;IFERROR(MATCH(AS12,miOrdenTarjeta,0),0))</f>
        <v/>
      </c>
      <c r="AU12" s="17" t="str">
        <f ca="1"/>
        <v/>
      </c>
      <c r="AV12" s="18">
        <f t="shared" ca="1" si="19"/>
        <v>1</v>
      </c>
      <c r="AW12" s="18" t="str">
        <f t="shared" ca="1" si="9"/>
        <v/>
      </c>
      <c r="AX12" s="18" t="str" cm="1">
        <f t="array" aca="1" ref="AX12" ca="1">IF(AW12="","",IF(AW12&lt;&gt;AW11,1,IF(AX11=misLíneas-2,0,AX11+1)))</f>
        <v/>
      </c>
      <c r="AY12" s="18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7" t="str">
        <f ca="1"/>
        <v/>
      </c>
      <c r="C13" s="18">
        <f t="shared" ca="1" si="20"/>
        <v>1</v>
      </c>
      <c r="D13" s="18" t="str">
        <f t="shared" ca="1" si="0"/>
        <v/>
      </c>
      <c r="E13" s="18" t="str" cm="1">
        <f t="array" aca="1" ref="E13" ca="1">IF(D13="","",IF(D13&lt;&gt;D12,1,IF(E12=misLíneas-2,0,E12+1)))</f>
        <v/>
      </c>
      <c r="F13" s="18" t="str" cm="1">
        <f t="array" aca="1" ref="F13" ca="1">IF(OR(E13=0,E13=""),"",INDEX(misCriticidades,D13)&amp;"-"&amp;IFERROR(MATCH(E13,miOrdenTarjeta,0),0))</f>
        <v/>
      </c>
      <c r="G13" s="17" t="str">
        <f ca="1"/>
        <v/>
      </c>
      <c r="H13" s="18">
        <f t="shared" ca="1" si="11"/>
        <v>1</v>
      </c>
      <c r="I13" s="18" t="str">
        <f t="shared" ca="1" si="1"/>
        <v/>
      </c>
      <c r="J13" s="18" t="str" cm="1">
        <f t="array" aca="1" ref="J13" ca="1">IF(I13="","",IF(I13&lt;&gt;I12,1,IF(J12=misLíneas-2,0,J12+1)))</f>
        <v/>
      </c>
      <c r="K13" s="18" t="str" cm="1">
        <f t="array" aca="1" ref="K13" ca="1">IF(OR(J13=0,J13=""),"",INDEX(misCriticidades,I13)&amp;"-"&amp;IFERROR(MATCH(J13,miOrdenTarjeta,0),0))</f>
        <v/>
      </c>
      <c r="L13" s="17" t="str">
        <f ca="1"/>
        <v/>
      </c>
      <c r="M13" s="18">
        <f t="shared" ca="1" si="12"/>
        <v>1</v>
      </c>
      <c r="N13" s="18" t="str">
        <f t="shared" ca="1" si="2"/>
        <v/>
      </c>
      <c r="O13" s="18" t="str" cm="1">
        <f t="array" aca="1" ref="O13" ca="1">IF(N13="","",IF(N13&lt;&gt;N12,1,IF(O12=misLíneas-2,0,O12+1)))</f>
        <v/>
      </c>
      <c r="P13" s="18" t="str" cm="1">
        <f t="array" aca="1" ref="P13" ca="1">IF(OR(O13=0,O13=""),"",INDEX(misCriticidades,N13)&amp;"-"&amp;IFERROR(MATCH(O13,miOrdenTarjeta,0),0))</f>
        <v/>
      </c>
      <c r="Q13" s="17">
        <f ca="1"/>
        <v>12</v>
      </c>
      <c r="R13" s="18">
        <f t="shared" ca="1" si="13"/>
        <v>2</v>
      </c>
      <c r="S13" s="18">
        <f t="shared" ca="1" si="3"/>
        <v>29</v>
      </c>
      <c r="T13" s="18" cm="1">
        <f t="array" aca="1" ref="T13" ca="1">IF(S13="","",IF(S13&lt;&gt;S12,1,IF(T12=misLíneas-2,0,T12+1)))</f>
        <v>2</v>
      </c>
      <c r="U13" s="18" t="str" cm="1">
        <f t="array" aca="1" ref="U13" ca="1">IF(OR(T13=0,T13=""),"",INDEX(misCriticidades,S13)&amp;"-"&amp;IFERROR(MATCH(T13,miOrdenTarjeta,0),0))</f>
        <v>1-2</v>
      </c>
      <c r="V13" s="17" t="str">
        <f ca="1"/>
        <v/>
      </c>
      <c r="W13" s="18">
        <f t="shared" ca="1" si="14"/>
        <v>1</v>
      </c>
      <c r="X13" s="18" t="str">
        <f t="shared" ca="1" si="4"/>
        <v/>
      </c>
      <c r="Y13" s="18" t="str" cm="1">
        <f t="array" aca="1" ref="Y13" ca="1">IF(X13="","",IF(X13&lt;&gt;X12,1,IF(Y12=misLíneas-2,0,Y12+1)))</f>
        <v/>
      </c>
      <c r="Z13" s="18" t="str" cm="1">
        <f t="array" aca="1" ref="Z13" ca="1">IF(OR(Y13=0,Y13=""),"",INDEX(misCriticidades,X13)&amp;"-"&amp;IFERROR(MATCH(Y13,miOrdenTarjeta,0),0))</f>
        <v/>
      </c>
      <c r="AA13" s="17" t="str">
        <f ca="1"/>
        <v/>
      </c>
      <c r="AB13" s="18">
        <f t="shared" ca="1" si="15"/>
        <v>1</v>
      </c>
      <c r="AC13" s="18" t="str">
        <f t="shared" ca="1" si="5"/>
        <v/>
      </c>
      <c r="AD13" s="18" t="str" cm="1">
        <f t="array" aca="1" ref="AD13" ca="1">IF(AC13="","",IF(AC13&lt;&gt;AC12,1,IF(AD12=misLíneas-2,0,AD12+1)))</f>
        <v/>
      </c>
      <c r="AE13" s="18" t="str" cm="1">
        <f t="array" aca="1" ref="AE13" ca="1">IF(OR(AD13=0,AD13=""),"",INDEX(misCriticidades,AC13)&amp;"-"&amp;IFERROR(MATCH(AD13,miOrdenTarjeta,0),0))</f>
        <v/>
      </c>
      <c r="AF13" s="17" t="str">
        <f ca="1"/>
        <v/>
      </c>
      <c r="AG13" s="18">
        <f t="shared" ca="1" si="16"/>
        <v>1</v>
      </c>
      <c r="AH13" s="18" t="str">
        <f t="shared" ca="1" si="6"/>
        <v/>
      </c>
      <c r="AI13" s="18" t="str" cm="1">
        <f t="array" aca="1" ref="AI13" ca="1">IF(AH13="","",IF(AH13&lt;&gt;AH12,1,IF(AI12=misLíneas-2,0,AI12+1)))</f>
        <v/>
      </c>
      <c r="AJ13" s="18" t="str" cm="1">
        <f t="array" aca="1" ref="AJ13" ca="1">IF(OR(AI13=0,AI13=""),"",INDEX(misCriticidades,AH13)&amp;"-"&amp;IFERROR(MATCH(AI13,miOrdenTarjeta,0),0))</f>
        <v/>
      </c>
      <c r="AK13" s="17" t="str">
        <f ca="1"/>
        <v/>
      </c>
      <c r="AL13" s="18">
        <f t="shared" ca="1" si="17"/>
        <v>1</v>
      </c>
      <c r="AM13" s="18" t="str">
        <f t="shared" ca="1" si="7"/>
        <v/>
      </c>
      <c r="AN13" s="18" t="str" cm="1">
        <f t="array" aca="1" ref="AN13" ca="1">IF(AM13="","",IF(AM13&lt;&gt;AM12,1,IF(AN12=misLíneas-2,0,AN12+1)))</f>
        <v/>
      </c>
      <c r="AO13" s="18" t="str" cm="1">
        <f t="array" aca="1" ref="AO13" ca="1">IF(OR(AN13=0,AN13=""),"",INDEX(misCriticidades,AM13)&amp;"-"&amp;IFERROR(MATCH(AN13,miOrdenTarjeta,0),0))</f>
        <v/>
      </c>
      <c r="AP13" s="17" t="str">
        <f ca="1"/>
        <v/>
      </c>
      <c r="AQ13" s="18">
        <f t="shared" ca="1" si="18"/>
        <v>1</v>
      </c>
      <c r="AR13" s="18" t="str">
        <f t="shared" ca="1" si="8"/>
        <v/>
      </c>
      <c r="AS13" s="18" t="str" cm="1">
        <f t="array" aca="1" ref="AS13" ca="1">IF(AR13="","",IF(AR13&lt;&gt;AR12,1,IF(AS12=misLíneas-2,0,AS12+1)))</f>
        <v/>
      </c>
      <c r="AT13" s="18" t="str" cm="1">
        <f t="array" aca="1" ref="AT13" ca="1">IF(OR(AS13=0,AS13=""),"",INDEX(misCriticidades,AR13)&amp;"-"&amp;IFERROR(MATCH(AS13,miOrdenTarjeta,0),0))</f>
        <v/>
      </c>
      <c r="AU13" s="17" t="str">
        <f ca="1"/>
        <v/>
      </c>
      <c r="AV13" s="18">
        <f t="shared" ca="1" si="19"/>
        <v>1</v>
      </c>
      <c r="AW13" s="18" t="str">
        <f t="shared" ca="1" si="9"/>
        <v/>
      </c>
      <c r="AX13" s="18" t="str" cm="1">
        <f t="array" aca="1" ref="AX13" ca="1">IF(AW13="","",IF(AW13&lt;&gt;AW12,1,IF(AX12=misLíneas-2,0,AX12+1)))</f>
        <v/>
      </c>
      <c r="AY13" s="18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7" t="str">
        <f ca="1"/>
        <v/>
      </c>
      <c r="C14" s="18">
        <f t="shared" ca="1" si="20"/>
        <v>1</v>
      </c>
      <c r="D14" s="18" t="str">
        <f t="shared" ca="1" si="0"/>
        <v/>
      </c>
      <c r="E14" s="18" t="str" cm="1">
        <f t="array" aca="1" ref="E14" ca="1">IF(D14="","",IF(D14&lt;&gt;D13,1,IF(E13=misLíneas-2,0,E13+1)))</f>
        <v/>
      </c>
      <c r="F14" s="18" t="str" cm="1">
        <f t="array" aca="1" ref="F14" ca="1">IF(OR(E14=0,E14=""),"",INDEX(misCriticidades,D14)&amp;"-"&amp;IFERROR(MATCH(E14,miOrdenTarjeta,0),0))</f>
        <v/>
      </c>
      <c r="G14" s="17" t="str">
        <f ca="1"/>
        <v/>
      </c>
      <c r="H14" s="18">
        <f t="shared" ca="1" si="11"/>
        <v>1</v>
      </c>
      <c r="I14" s="18" t="str">
        <f t="shared" ca="1" si="1"/>
        <v/>
      </c>
      <c r="J14" s="18" t="str" cm="1">
        <f t="array" aca="1" ref="J14" ca="1">IF(I14="","",IF(I14&lt;&gt;I13,1,IF(J13=misLíneas-2,0,J13+1)))</f>
        <v/>
      </c>
      <c r="K14" s="18" t="str" cm="1">
        <f t="array" aca="1" ref="K14" ca="1">IF(OR(J14=0,J14=""),"",INDEX(misCriticidades,I14)&amp;"-"&amp;IFERROR(MATCH(J14,miOrdenTarjeta,0),0))</f>
        <v/>
      </c>
      <c r="L14" s="17" t="str">
        <f ca="1"/>
        <v/>
      </c>
      <c r="M14" s="18">
        <f t="shared" ca="1" si="12"/>
        <v>1</v>
      </c>
      <c r="N14" s="18" t="str">
        <f t="shared" ca="1" si="2"/>
        <v/>
      </c>
      <c r="O14" s="18" t="str" cm="1">
        <f t="array" aca="1" ref="O14" ca="1">IF(N14="","",IF(N14&lt;&gt;N13,1,IF(O13=misLíneas-2,0,O13+1)))</f>
        <v/>
      </c>
      <c r="P14" s="18" t="str" cm="1">
        <f t="array" aca="1" ref="P14" ca="1">IF(OR(O14=0,O14=""),"",INDEX(misCriticidades,N14)&amp;"-"&amp;IFERROR(MATCH(O14,miOrdenTarjeta,0),0))</f>
        <v/>
      </c>
      <c r="Q14" s="17">
        <f ca="1"/>
        <v>13</v>
      </c>
      <c r="R14" s="18">
        <f t="shared" ca="1" si="13"/>
        <v>2</v>
      </c>
      <c r="S14" s="18">
        <f t="shared" ca="1" si="3"/>
        <v>29</v>
      </c>
      <c r="T14" s="18" cm="1">
        <f t="array" aca="1" ref="T14" ca="1">IF(S14="","",IF(S14&lt;&gt;S13,1,IF(T13=misLíneas-2,0,T13+1)))</f>
        <v>3</v>
      </c>
      <c r="U14" s="18" t="str" cm="1">
        <f t="array" aca="1" ref="U14" ca="1">IF(OR(T14=0,T14=""),"",INDEX(misCriticidades,S14)&amp;"-"&amp;IFERROR(MATCH(T14,miOrdenTarjeta,0),0))</f>
        <v>1-3</v>
      </c>
      <c r="V14" s="17" t="str">
        <f ca="1"/>
        <v/>
      </c>
      <c r="W14" s="18">
        <f t="shared" ca="1" si="14"/>
        <v>1</v>
      </c>
      <c r="X14" s="18" t="str">
        <f t="shared" ca="1" si="4"/>
        <v/>
      </c>
      <c r="Y14" s="18" t="str" cm="1">
        <f t="array" aca="1" ref="Y14" ca="1">IF(X14="","",IF(X14&lt;&gt;X13,1,IF(Y13=misLíneas-2,0,Y13+1)))</f>
        <v/>
      </c>
      <c r="Z14" s="18" t="str" cm="1">
        <f t="array" aca="1" ref="Z14" ca="1">IF(OR(Y14=0,Y14=""),"",INDEX(misCriticidades,X14)&amp;"-"&amp;IFERROR(MATCH(Y14,miOrdenTarjeta,0),0))</f>
        <v/>
      </c>
      <c r="AA14" s="17" t="str">
        <f ca="1"/>
        <v/>
      </c>
      <c r="AB14" s="18">
        <f t="shared" ca="1" si="15"/>
        <v>1</v>
      </c>
      <c r="AC14" s="18" t="str">
        <f t="shared" ca="1" si="5"/>
        <v/>
      </c>
      <c r="AD14" s="18" t="str" cm="1">
        <f t="array" aca="1" ref="AD14" ca="1">IF(AC14="","",IF(AC14&lt;&gt;AC13,1,IF(AD13=misLíneas-2,0,AD13+1)))</f>
        <v/>
      </c>
      <c r="AE14" s="18" t="str" cm="1">
        <f t="array" aca="1" ref="AE14" ca="1">IF(OR(AD14=0,AD14=""),"",INDEX(misCriticidades,AC14)&amp;"-"&amp;IFERROR(MATCH(AD14,miOrdenTarjeta,0),0))</f>
        <v/>
      </c>
      <c r="AF14" s="17" t="str">
        <f ca="1"/>
        <v/>
      </c>
      <c r="AG14" s="18">
        <f t="shared" ca="1" si="16"/>
        <v>1</v>
      </c>
      <c r="AH14" s="18" t="str">
        <f t="shared" ca="1" si="6"/>
        <v/>
      </c>
      <c r="AI14" s="18" t="str" cm="1">
        <f t="array" aca="1" ref="AI14" ca="1">IF(AH14="","",IF(AH14&lt;&gt;AH13,1,IF(AI13=misLíneas-2,0,AI13+1)))</f>
        <v/>
      </c>
      <c r="AJ14" s="18" t="str" cm="1">
        <f t="array" aca="1" ref="AJ14" ca="1">IF(OR(AI14=0,AI14=""),"",INDEX(misCriticidades,AH14)&amp;"-"&amp;IFERROR(MATCH(AI14,miOrdenTarjeta,0),0))</f>
        <v/>
      </c>
      <c r="AK14" s="17" t="str">
        <f ca="1"/>
        <v/>
      </c>
      <c r="AL14" s="18">
        <f t="shared" ca="1" si="17"/>
        <v>1</v>
      </c>
      <c r="AM14" s="18" t="str">
        <f t="shared" ca="1" si="7"/>
        <v/>
      </c>
      <c r="AN14" s="18" t="str" cm="1">
        <f t="array" aca="1" ref="AN14" ca="1">IF(AM14="","",IF(AM14&lt;&gt;AM13,1,IF(AN13=misLíneas-2,0,AN13+1)))</f>
        <v/>
      </c>
      <c r="AO14" s="18" t="str" cm="1">
        <f t="array" aca="1" ref="AO14" ca="1">IF(OR(AN14=0,AN14=""),"",INDEX(misCriticidades,AM14)&amp;"-"&amp;IFERROR(MATCH(AN14,miOrdenTarjeta,0),0))</f>
        <v/>
      </c>
      <c r="AP14" s="17" t="str">
        <f ca="1"/>
        <v/>
      </c>
      <c r="AQ14" s="18">
        <f t="shared" ca="1" si="18"/>
        <v>1</v>
      </c>
      <c r="AR14" s="18" t="str">
        <f t="shared" ca="1" si="8"/>
        <v/>
      </c>
      <c r="AS14" s="18" t="str" cm="1">
        <f t="array" aca="1" ref="AS14" ca="1">IF(AR14="","",IF(AR14&lt;&gt;AR13,1,IF(AS13=misLíneas-2,0,AS13+1)))</f>
        <v/>
      </c>
      <c r="AT14" s="18" t="str" cm="1">
        <f t="array" aca="1" ref="AT14" ca="1">IF(OR(AS14=0,AS14=""),"",INDEX(misCriticidades,AR14)&amp;"-"&amp;IFERROR(MATCH(AS14,miOrdenTarjeta,0),0))</f>
        <v/>
      </c>
      <c r="AU14" s="17" t="str">
        <f ca="1"/>
        <v/>
      </c>
      <c r="AV14" s="18">
        <f t="shared" ca="1" si="19"/>
        <v>1</v>
      </c>
      <c r="AW14" s="18" t="str">
        <f t="shared" ca="1" si="9"/>
        <v/>
      </c>
      <c r="AX14" s="18" t="str" cm="1">
        <f t="array" aca="1" ref="AX14" ca="1">IF(AW14="","",IF(AW14&lt;&gt;AW13,1,IF(AX13=misLíneas-2,0,AX13+1)))</f>
        <v/>
      </c>
      <c r="AY14" s="18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7" t="str">
        <f ca="1"/>
        <v/>
      </c>
      <c r="C15" s="18">
        <f t="shared" ca="1" si="20"/>
        <v>1</v>
      </c>
      <c r="D15" s="18" t="str">
        <f t="shared" ca="1" si="0"/>
        <v/>
      </c>
      <c r="E15" s="18" t="str" cm="1">
        <f t="array" aca="1" ref="E15" ca="1">IF(D15="","",IF(D15&lt;&gt;D14,1,IF(E14=misLíneas-2,0,E14+1)))</f>
        <v/>
      </c>
      <c r="F15" s="18" t="str" cm="1">
        <f t="array" aca="1" ref="F15" ca="1">IF(OR(E15=0,E15=""),"",INDEX(misCriticidades,D15)&amp;"-"&amp;IFERROR(MATCH(E15,miOrdenTarjeta,0),0))</f>
        <v/>
      </c>
      <c r="G15" s="17" t="str">
        <f ca="1"/>
        <v/>
      </c>
      <c r="H15" s="18">
        <f t="shared" ca="1" si="11"/>
        <v>1</v>
      </c>
      <c r="I15" s="18" t="str">
        <f t="shared" ca="1" si="1"/>
        <v/>
      </c>
      <c r="J15" s="18" t="str" cm="1">
        <f t="array" aca="1" ref="J15" ca="1">IF(I15="","",IF(I15&lt;&gt;I14,1,IF(J14=misLíneas-2,0,J14+1)))</f>
        <v/>
      </c>
      <c r="K15" s="18" t="str" cm="1">
        <f t="array" aca="1" ref="K15" ca="1">IF(OR(J15=0,J15=""),"",INDEX(misCriticidades,I15)&amp;"-"&amp;IFERROR(MATCH(J15,miOrdenTarjeta,0),0))</f>
        <v/>
      </c>
      <c r="L15" s="17" t="str">
        <f ca="1"/>
        <v/>
      </c>
      <c r="M15" s="18">
        <f t="shared" ca="1" si="12"/>
        <v>1</v>
      </c>
      <c r="N15" s="18" t="str">
        <f t="shared" ca="1" si="2"/>
        <v/>
      </c>
      <c r="O15" s="18" t="str" cm="1">
        <f t="array" aca="1" ref="O15" ca="1">IF(N15="","",IF(N15&lt;&gt;N14,1,IF(O14=misLíneas-2,0,O14+1)))</f>
        <v/>
      </c>
      <c r="P15" s="18" t="str" cm="1">
        <f t="array" aca="1" ref="P15" ca="1">IF(OR(O15=0,O15=""),"",INDEX(misCriticidades,N15)&amp;"-"&amp;IFERROR(MATCH(O15,miOrdenTarjeta,0),0))</f>
        <v/>
      </c>
      <c r="Q15" s="17">
        <f ca="1"/>
        <v>14</v>
      </c>
      <c r="R15" s="18">
        <f t="shared" ca="1" si="13"/>
        <v>2</v>
      </c>
      <c r="S15" s="18">
        <f t="shared" ca="1" si="3"/>
        <v>29</v>
      </c>
      <c r="T15" s="18" cm="1">
        <f t="array" aca="1" ref="T15" ca="1">IF(S15="","",IF(S15&lt;&gt;S14,1,IF(T14=misLíneas-2,0,T14+1)))</f>
        <v>4</v>
      </c>
      <c r="U15" s="18" t="str" cm="1">
        <f t="array" aca="1" ref="U15" ca="1">IF(OR(T15=0,T15=""),"",INDEX(misCriticidades,S15)&amp;"-"&amp;IFERROR(MATCH(T15,miOrdenTarjeta,0),0))</f>
        <v>1-4</v>
      </c>
      <c r="V15" s="17" t="str">
        <f ca="1"/>
        <v/>
      </c>
      <c r="W15" s="18">
        <f t="shared" ca="1" si="14"/>
        <v>1</v>
      </c>
      <c r="X15" s="18" t="str">
        <f t="shared" ca="1" si="4"/>
        <v/>
      </c>
      <c r="Y15" s="18" t="str" cm="1">
        <f t="array" aca="1" ref="Y15" ca="1">IF(X15="","",IF(X15&lt;&gt;X14,1,IF(Y14=misLíneas-2,0,Y14+1)))</f>
        <v/>
      </c>
      <c r="Z15" s="18" t="str" cm="1">
        <f t="array" aca="1" ref="Z15" ca="1">IF(OR(Y15=0,Y15=""),"",INDEX(misCriticidades,X15)&amp;"-"&amp;IFERROR(MATCH(Y15,miOrdenTarjeta,0),0))</f>
        <v/>
      </c>
      <c r="AA15" s="17" t="str">
        <f ca="1"/>
        <v/>
      </c>
      <c r="AB15" s="18">
        <f t="shared" ca="1" si="15"/>
        <v>1</v>
      </c>
      <c r="AC15" s="18" t="str">
        <f t="shared" ca="1" si="5"/>
        <v/>
      </c>
      <c r="AD15" s="18" t="str" cm="1">
        <f t="array" aca="1" ref="AD15" ca="1">IF(AC15="","",IF(AC15&lt;&gt;AC14,1,IF(AD14=misLíneas-2,0,AD14+1)))</f>
        <v/>
      </c>
      <c r="AE15" s="18" t="str" cm="1">
        <f t="array" aca="1" ref="AE15" ca="1">IF(OR(AD15=0,AD15=""),"",INDEX(misCriticidades,AC15)&amp;"-"&amp;IFERROR(MATCH(AD15,miOrdenTarjeta,0),0))</f>
        <v/>
      </c>
      <c r="AF15" s="17" t="str">
        <f ca="1"/>
        <v/>
      </c>
      <c r="AG15" s="18">
        <f t="shared" ca="1" si="16"/>
        <v>1</v>
      </c>
      <c r="AH15" s="18" t="str">
        <f t="shared" ca="1" si="6"/>
        <v/>
      </c>
      <c r="AI15" s="18" t="str" cm="1">
        <f t="array" aca="1" ref="AI15" ca="1">IF(AH15="","",IF(AH15&lt;&gt;AH14,1,IF(AI14=misLíneas-2,0,AI14+1)))</f>
        <v/>
      </c>
      <c r="AJ15" s="18" t="str" cm="1">
        <f t="array" aca="1" ref="AJ15" ca="1">IF(OR(AI15=0,AI15=""),"",INDEX(misCriticidades,AH15)&amp;"-"&amp;IFERROR(MATCH(AI15,miOrdenTarjeta,0),0))</f>
        <v/>
      </c>
      <c r="AK15" s="17" t="str">
        <f ca="1"/>
        <v/>
      </c>
      <c r="AL15" s="18">
        <f t="shared" ca="1" si="17"/>
        <v>1</v>
      </c>
      <c r="AM15" s="18" t="str">
        <f t="shared" ca="1" si="7"/>
        <v/>
      </c>
      <c r="AN15" s="18" t="str" cm="1">
        <f t="array" aca="1" ref="AN15" ca="1">IF(AM15="","",IF(AM15&lt;&gt;AM14,1,IF(AN14=misLíneas-2,0,AN14+1)))</f>
        <v/>
      </c>
      <c r="AO15" s="18" t="str" cm="1">
        <f t="array" aca="1" ref="AO15" ca="1">IF(OR(AN15=0,AN15=""),"",INDEX(misCriticidades,AM15)&amp;"-"&amp;IFERROR(MATCH(AN15,miOrdenTarjeta,0),0))</f>
        <v/>
      </c>
      <c r="AP15" s="17" t="str">
        <f ca="1"/>
        <v/>
      </c>
      <c r="AQ15" s="18">
        <f t="shared" ca="1" si="18"/>
        <v>1</v>
      </c>
      <c r="AR15" s="18" t="str">
        <f t="shared" ca="1" si="8"/>
        <v/>
      </c>
      <c r="AS15" s="18" t="str" cm="1">
        <f t="array" aca="1" ref="AS15" ca="1">IF(AR15="","",IF(AR15&lt;&gt;AR14,1,IF(AS14=misLíneas-2,0,AS14+1)))</f>
        <v/>
      </c>
      <c r="AT15" s="18" t="str" cm="1">
        <f t="array" aca="1" ref="AT15" ca="1">IF(OR(AS15=0,AS15=""),"",INDEX(misCriticidades,AR15)&amp;"-"&amp;IFERROR(MATCH(AS15,miOrdenTarjeta,0),0))</f>
        <v/>
      </c>
      <c r="AU15" s="17" t="str">
        <f ca="1"/>
        <v/>
      </c>
      <c r="AV15" s="18">
        <f t="shared" ca="1" si="19"/>
        <v>1</v>
      </c>
      <c r="AW15" s="18" t="str">
        <f t="shared" ca="1" si="9"/>
        <v/>
      </c>
      <c r="AX15" s="18" t="str" cm="1">
        <f t="array" aca="1" ref="AX15" ca="1">IF(AW15="","",IF(AW15&lt;&gt;AW14,1,IF(AX14=misLíneas-2,0,AX14+1)))</f>
        <v/>
      </c>
      <c r="AY15" s="18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7" t="str">
        <f ca="1"/>
        <v/>
      </c>
      <c r="C16" s="18">
        <f t="shared" ca="1" si="20"/>
        <v>1</v>
      </c>
      <c r="D16" s="18" t="str">
        <f t="shared" ca="1" si="0"/>
        <v/>
      </c>
      <c r="E16" s="18" t="str" cm="1">
        <f t="array" aca="1" ref="E16" ca="1">IF(D16="","",IF(D16&lt;&gt;D15,1,IF(E15=misLíneas-2,0,E15+1)))</f>
        <v/>
      </c>
      <c r="F16" s="18" t="str" cm="1">
        <f t="array" aca="1" ref="F16" ca="1">IF(OR(E16=0,E16=""),"",INDEX(misCriticidades,D16)&amp;"-"&amp;IFERROR(MATCH(E16,miOrdenTarjeta,0),0))</f>
        <v/>
      </c>
      <c r="G16" s="17" t="str">
        <f ca="1"/>
        <v/>
      </c>
      <c r="H16" s="18">
        <f t="shared" ca="1" si="11"/>
        <v>1</v>
      </c>
      <c r="I16" s="18" t="str">
        <f t="shared" ca="1" si="1"/>
        <v/>
      </c>
      <c r="J16" s="18" t="str" cm="1">
        <f t="array" aca="1" ref="J16" ca="1">IF(I16="","",IF(I16&lt;&gt;I15,1,IF(J15=misLíneas-2,0,J15+1)))</f>
        <v/>
      </c>
      <c r="K16" s="18" t="str" cm="1">
        <f t="array" aca="1" ref="K16" ca="1">IF(OR(J16=0,J16=""),"",INDEX(misCriticidades,I16)&amp;"-"&amp;IFERROR(MATCH(J16,miOrdenTarjeta,0),0))</f>
        <v/>
      </c>
      <c r="L16" s="17" t="str">
        <f ca="1"/>
        <v/>
      </c>
      <c r="M16" s="18">
        <f t="shared" ca="1" si="12"/>
        <v>1</v>
      </c>
      <c r="N16" s="18" t="str">
        <f t="shared" ca="1" si="2"/>
        <v/>
      </c>
      <c r="O16" s="18" t="str" cm="1">
        <f t="array" aca="1" ref="O16" ca="1">IF(N16="","",IF(N16&lt;&gt;N15,1,IF(O15=misLíneas-2,0,O15+1)))</f>
        <v/>
      </c>
      <c r="P16" s="18" t="str" cm="1">
        <f t="array" aca="1" ref="P16" ca="1">IF(OR(O16=0,O16=""),"",INDEX(misCriticidades,N16)&amp;"-"&amp;IFERROR(MATCH(O16,miOrdenTarjeta,0),0))</f>
        <v/>
      </c>
      <c r="Q16" s="17">
        <f ca="1"/>
        <v>15</v>
      </c>
      <c r="R16" s="18">
        <f t="shared" ca="1" si="13"/>
        <v>2</v>
      </c>
      <c r="S16" s="18">
        <f t="shared" ca="1" si="3"/>
        <v>29</v>
      </c>
      <c r="T16" s="18" cm="1">
        <f t="array" aca="1" ref="T16" ca="1">IF(S16="","",IF(S16&lt;&gt;S15,1,IF(T15=misLíneas-2,0,T15+1)))</f>
        <v>5</v>
      </c>
      <c r="U16" s="18" t="str" cm="1">
        <f t="array" aca="1" ref="U16" ca="1">IF(OR(T16=0,T16=""),"",INDEX(misCriticidades,S16)&amp;"-"&amp;IFERROR(MATCH(T16,miOrdenTarjeta,0),0))</f>
        <v>1-5</v>
      </c>
      <c r="V16" s="17" t="str">
        <f ca="1"/>
        <v/>
      </c>
      <c r="W16" s="18">
        <f t="shared" ca="1" si="14"/>
        <v>1</v>
      </c>
      <c r="X16" s="18" t="str">
        <f t="shared" ca="1" si="4"/>
        <v/>
      </c>
      <c r="Y16" s="18" t="str" cm="1">
        <f t="array" aca="1" ref="Y16" ca="1">IF(X16="","",IF(X16&lt;&gt;X15,1,IF(Y15=misLíneas-2,0,Y15+1)))</f>
        <v/>
      </c>
      <c r="Z16" s="18" t="str" cm="1">
        <f t="array" aca="1" ref="Z16" ca="1">IF(OR(Y16=0,Y16=""),"",INDEX(misCriticidades,X16)&amp;"-"&amp;IFERROR(MATCH(Y16,miOrdenTarjeta,0),0))</f>
        <v/>
      </c>
      <c r="AA16" s="17" t="str">
        <f ca="1"/>
        <v/>
      </c>
      <c r="AB16" s="18">
        <f t="shared" ca="1" si="15"/>
        <v>1</v>
      </c>
      <c r="AC16" s="18" t="str">
        <f t="shared" ca="1" si="5"/>
        <v/>
      </c>
      <c r="AD16" s="18" t="str" cm="1">
        <f t="array" aca="1" ref="AD16" ca="1">IF(AC16="","",IF(AC16&lt;&gt;AC15,1,IF(AD15=misLíneas-2,0,AD15+1)))</f>
        <v/>
      </c>
      <c r="AE16" s="18" t="str" cm="1">
        <f t="array" aca="1" ref="AE16" ca="1">IF(OR(AD16=0,AD16=""),"",INDEX(misCriticidades,AC16)&amp;"-"&amp;IFERROR(MATCH(AD16,miOrdenTarjeta,0),0))</f>
        <v/>
      </c>
      <c r="AF16" s="17" t="str">
        <f ca="1"/>
        <v/>
      </c>
      <c r="AG16" s="18">
        <f t="shared" ca="1" si="16"/>
        <v>1</v>
      </c>
      <c r="AH16" s="18" t="str">
        <f t="shared" ca="1" si="6"/>
        <v/>
      </c>
      <c r="AI16" s="18" t="str" cm="1">
        <f t="array" aca="1" ref="AI16" ca="1">IF(AH16="","",IF(AH16&lt;&gt;AH15,1,IF(AI15=misLíneas-2,0,AI15+1)))</f>
        <v/>
      </c>
      <c r="AJ16" s="18" t="str" cm="1">
        <f t="array" aca="1" ref="AJ16" ca="1">IF(OR(AI16=0,AI16=""),"",INDEX(misCriticidades,AH16)&amp;"-"&amp;IFERROR(MATCH(AI16,miOrdenTarjeta,0),0))</f>
        <v/>
      </c>
      <c r="AK16" s="17" t="str">
        <f ca="1"/>
        <v/>
      </c>
      <c r="AL16" s="18">
        <f t="shared" ca="1" si="17"/>
        <v>1</v>
      </c>
      <c r="AM16" s="18" t="str">
        <f t="shared" ca="1" si="7"/>
        <v/>
      </c>
      <c r="AN16" s="18" t="str" cm="1">
        <f t="array" aca="1" ref="AN16" ca="1">IF(AM16="","",IF(AM16&lt;&gt;AM15,1,IF(AN15=misLíneas-2,0,AN15+1)))</f>
        <v/>
      </c>
      <c r="AO16" s="18" t="str" cm="1">
        <f t="array" aca="1" ref="AO16" ca="1">IF(OR(AN16=0,AN16=""),"",INDEX(misCriticidades,AM16)&amp;"-"&amp;IFERROR(MATCH(AN16,miOrdenTarjeta,0),0))</f>
        <v/>
      </c>
      <c r="AP16" s="17" t="str">
        <f ca="1"/>
        <v/>
      </c>
      <c r="AQ16" s="18">
        <f t="shared" ca="1" si="18"/>
        <v>1</v>
      </c>
      <c r="AR16" s="18" t="str">
        <f t="shared" ca="1" si="8"/>
        <v/>
      </c>
      <c r="AS16" s="18" t="str" cm="1">
        <f t="array" aca="1" ref="AS16" ca="1">IF(AR16="","",IF(AR16&lt;&gt;AR15,1,IF(AS15=misLíneas-2,0,AS15+1)))</f>
        <v/>
      </c>
      <c r="AT16" s="18" t="str" cm="1">
        <f t="array" aca="1" ref="AT16" ca="1">IF(OR(AS16=0,AS16=""),"",INDEX(misCriticidades,AR16)&amp;"-"&amp;IFERROR(MATCH(AS16,miOrdenTarjeta,0),0))</f>
        <v/>
      </c>
      <c r="AU16" s="17" t="str">
        <f ca="1"/>
        <v/>
      </c>
      <c r="AV16" s="18">
        <f t="shared" ca="1" si="19"/>
        <v>1</v>
      </c>
      <c r="AW16" s="18" t="str">
        <f t="shared" ca="1" si="9"/>
        <v/>
      </c>
      <c r="AX16" s="18" t="str" cm="1">
        <f t="array" aca="1" ref="AX16" ca="1">IF(AW16="","",IF(AW16&lt;&gt;AW15,1,IF(AX15=misLíneas-2,0,AX15+1)))</f>
        <v/>
      </c>
      <c r="AY16" s="18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7" t="str">
        <f ca="1"/>
        <v/>
      </c>
      <c r="C17" s="18">
        <f t="shared" ca="1" si="20"/>
        <v>1</v>
      </c>
      <c r="D17" s="18" t="str">
        <f t="shared" ca="1" si="0"/>
        <v/>
      </c>
      <c r="E17" s="18" t="str" cm="1">
        <f t="array" aca="1" ref="E17" ca="1">IF(D17="","",IF(D17&lt;&gt;D16,1,IF(E16=misLíneas-2,0,E16+1)))</f>
        <v/>
      </c>
      <c r="F17" s="18" t="str" cm="1">
        <f t="array" aca="1" ref="F17" ca="1">IF(OR(E17=0,E17=""),"",INDEX(misCriticidades,D17)&amp;"-"&amp;IFERROR(MATCH(E17,miOrdenTarjeta,0),0))</f>
        <v/>
      </c>
      <c r="G17" s="17" t="str">
        <f ca="1"/>
        <v/>
      </c>
      <c r="H17" s="18">
        <f t="shared" ca="1" si="11"/>
        <v>1</v>
      </c>
      <c r="I17" s="18" t="str">
        <f t="shared" ca="1" si="1"/>
        <v/>
      </c>
      <c r="J17" s="18" t="str" cm="1">
        <f t="array" aca="1" ref="J17" ca="1">IF(I17="","",IF(I17&lt;&gt;I16,1,IF(J16=misLíneas-2,0,J16+1)))</f>
        <v/>
      </c>
      <c r="K17" s="18" t="str" cm="1">
        <f t="array" aca="1" ref="K17" ca="1">IF(OR(J17=0,J17=""),"",INDEX(misCriticidades,I17)&amp;"-"&amp;IFERROR(MATCH(J17,miOrdenTarjeta,0),0))</f>
        <v/>
      </c>
      <c r="L17" s="17" t="str">
        <f ca="1"/>
        <v/>
      </c>
      <c r="M17" s="18">
        <f t="shared" ca="1" si="12"/>
        <v>1</v>
      </c>
      <c r="N17" s="18" t="str">
        <f t="shared" ca="1" si="2"/>
        <v/>
      </c>
      <c r="O17" s="18" t="str" cm="1">
        <f t="array" aca="1" ref="O17" ca="1">IF(N17="","",IF(N17&lt;&gt;N16,1,IF(O16=misLíneas-2,0,O16+1)))</f>
        <v/>
      </c>
      <c r="P17" s="18" t="str" cm="1">
        <f t="array" aca="1" ref="P17" ca="1">IF(OR(O17=0,O17=""),"",INDEX(misCriticidades,N17)&amp;"-"&amp;IFERROR(MATCH(O17,miOrdenTarjeta,0),0))</f>
        <v/>
      </c>
      <c r="Q17" s="17">
        <f ca="1"/>
        <v>16</v>
      </c>
      <c r="R17" s="18">
        <f t="shared" ca="1" si="13"/>
        <v>2</v>
      </c>
      <c r="S17" s="18">
        <f t="shared" ca="1" si="3"/>
        <v>29</v>
      </c>
      <c r="T17" s="18" cm="1">
        <f t="array" aca="1" ref="T17" ca="1">IF(S17="","",IF(S17&lt;&gt;S16,1,IF(T16=misLíneas-2,0,T16+1)))</f>
        <v>6</v>
      </c>
      <c r="U17" s="18" t="str" cm="1">
        <f t="array" aca="1" ref="U17" ca="1">IF(OR(T17=0,T17=""),"",INDEX(misCriticidades,S17)&amp;"-"&amp;IFERROR(MATCH(T17,miOrdenTarjeta,0),0))</f>
        <v>1-6</v>
      </c>
      <c r="V17" s="17" t="str">
        <f ca="1"/>
        <v/>
      </c>
      <c r="W17" s="18">
        <f t="shared" ca="1" si="14"/>
        <v>1</v>
      </c>
      <c r="X17" s="18" t="str">
        <f t="shared" ca="1" si="4"/>
        <v/>
      </c>
      <c r="Y17" s="18" t="str" cm="1">
        <f t="array" aca="1" ref="Y17" ca="1">IF(X17="","",IF(X17&lt;&gt;X16,1,IF(Y16=misLíneas-2,0,Y16+1)))</f>
        <v/>
      </c>
      <c r="Z17" s="18" t="str" cm="1">
        <f t="array" aca="1" ref="Z17" ca="1">IF(OR(Y17=0,Y17=""),"",INDEX(misCriticidades,X17)&amp;"-"&amp;IFERROR(MATCH(Y17,miOrdenTarjeta,0),0))</f>
        <v/>
      </c>
      <c r="AA17" s="17" t="str">
        <f ca="1"/>
        <v/>
      </c>
      <c r="AB17" s="18">
        <f t="shared" ca="1" si="15"/>
        <v>1</v>
      </c>
      <c r="AC17" s="18" t="str">
        <f t="shared" ca="1" si="5"/>
        <v/>
      </c>
      <c r="AD17" s="18" t="str" cm="1">
        <f t="array" aca="1" ref="AD17" ca="1">IF(AC17="","",IF(AC17&lt;&gt;AC16,1,IF(AD16=misLíneas-2,0,AD16+1)))</f>
        <v/>
      </c>
      <c r="AE17" s="18" t="str" cm="1">
        <f t="array" aca="1" ref="AE17" ca="1">IF(OR(AD17=0,AD17=""),"",INDEX(misCriticidades,AC17)&amp;"-"&amp;IFERROR(MATCH(AD17,miOrdenTarjeta,0),0))</f>
        <v/>
      </c>
      <c r="AF17" s="17" t="str">
        <f ca="1"/>
        <v/>
      </c>
      <c r="AG17" s="18">
        <f t="shared" ca="1" si="16"/>
        <v>1</v>
      </c>
      <c r="AH17" s="18" t="str">
        <f t="shared" ca="1" si="6"/>
        <v/>
      </c>
      <c r="AI17" s="18" t="str" cm="1">
        <f t="array" aca="1" ref="AI17" ca="1">IF(AH17="","",IF(AH17&lt;&gt;AH16,1,IF(AI16=misLíneas-2,0,AI16+1)))</f>
        <v/>
      </c>
      <c r="AJ17" s="18" t="str" cm="1">
        <f t="array" aca="1" ref="AJ17" ca="1">IF(OR(AI17=0,AI17=""),"",INDEX(misCriticidades,AH17)&amp;"-"&amp;IFERROR(MATCH(AI17,miOrdenTarjeta,0),0))</f>
        <v/>
      </c>
      <c r="AK17" s="17" t="str">
        <f ca="1"/>
        <v/>
      </c>
      <c r="AL17" s="18">
        <f t="shared" ca="1" si="17"/>
        <v>1</v>
      </c>
      <c r="AM17" s="18" t="str">
        <f t="shared" ca="1" si="7"/>
        <v/>
      </c>
      <c r="AN17" s="18" t="str" cm="1">
        <f t="array" aca="1" ref="AN17" ca="1">IF(AM17="","",IF(AM17&lt;&gt;AM16,1,IF(AN16=misLíneas-2,0,AN16+1)))</f>
        <v/>
      </c>
      <c r="AO17" s="18" t="str" cm="1">
        <f t="array" aca="1" ref="AO17" ca="1">IF(OR(AN17=0,AN17=""),"",INDEX(misCriticidades,AM17)&amp;"-"&amp;IFERROR(MATCH(AN17,miOrdenTarjeta,0),0))</f>
        <v/>
      </c>
      <c r="AP17" s="17" t="str">
        <f ca="1"/>
        <v/>
      </c>
      <c r="AQ17" s="18">
        <f t="shared" ca="1" si="18"/>
        <v>1</v>
      </c>
      <c r="AR17" s="18" t="str">
        <f t="shared" ca="1" si="8"/>
        <v/>
      </c>
      <c r="AS17" s="18" t="str" cm="1">
        <f t="array" aca="1" ref="AS17" ca="1">IF(AR17="","",IF(AR17&lt;&gt;AR16,1,IF(AS16=misLíneas-2,0,AS16+1)))</f>
        <v/>
      </c>
      <c r="AT17" s="18" t="str" cm="1">
        <f t="array" aca="1" ref="AT17" ca="1">IF(OR(AS17=0,AS17=""),"",INDEX(misCriticidades,AR17)&amp;"-"&amp;IFERROR(MATCH(AS17,miOrdenTarjeta,0),0))</f>
        <v/>
      </c>
      <c r="AU17" s="17" t="str">
        <f ca="1"/>
        <v/>
      </c>
      <c r="AV17" s="18">
        <f t="shared" ca="1" si="19"/>
        <v>1</v>
      </c>
      <c r="AW17" s="18" t="str">
        <f t="shared" ca="1" si="9"/>
        <v/>
      </c>
      <c r="AX17" s="18" t="str" cm="1">
        <f t="array" aca="1" ref="AX17" ca="1">IF(AW17="","",IF(AW17&lt;&gt;AW16,1,IF(AX16=misLíneas-2,0,AX16+1)))</f>
        <v/>
      </c>
      <c r="AY17" s="18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7" t="str">
        <f ca="1"/>
        <v/>
      </c>
      <c r="C18" s="18">
        <f t="shared" ca="1" si="20"/>
        <v>1</v>
      </c>
      <c r="D18" s="18" t="str">
        <f t="shared" ca="1" si="0"/>
        <v/>
      </c>
      <c r="E18" s="18" t="str" cm="1">
        <f t="array" aca="1" ref="E18" ca="1">IF(D18="","",IF(D18&lt;&gt;D17,1,IF(E17=misLíneas-2,0,E17+1)))</f>
        <v/>
      </c>
      <c r="F18" s="18" t="str" cm="1">
        <f t="array" aca="1" ref="F18" ca="1">IF(OR(E18=0,E18=""),"",INDEX(misCriticidades,D18)&amp;"-"&amp;IFERROR(MATCH(E18,miOrdenTarjeta,0),0))</f>
        <v/>
      </c>
      <c r="G18" s="17" t="str">
        <f ca="1"/>
        <v/>
      </c>
      <c r="H18" s="18">
        <f t="shared" ca="1" si="11"/>
        <v>1</v>
      </c>
      <c r="I18" s="18" t="str">
        <f t="shared" ca="1" si="1"/>
        <v/>
      </c>
      <c r="J18" s="18" t="str" cm="1">
        <f t="array" aca="1" ref="J18" ca="1">IF(I18="","",IF(I18&lt;&gt;I17,1,IF(J17=misLíneas-2,0,J17+1)))</f>
        <v/>
      </c>
      <c r="K18" s="18" t="str" cm="1">
        <f t="array" aca="1" ref="K18" ca="1">IF(OR(J18=0,J18=""),"",INDEX(misCriticidades,I18)&amp;"-"&amp;IFERROR(MATCH(J18,miOrdenTarjeta,0),0))</f>
        <v/>
      </c>
      <c r="L18" s="17" t="str">
        <f ca="1"/>
        <v/>
      </c>
      <c r="M18" s="18">
        <f t="shared" ca="1" si="12"/>
        <v>1</v>
      </c>
      <c r="N18" s="18" t="str">
        <f t="shared" ca="1" si="2"/>
        <v/>
      </c>
      <c r="O18" s="18" t="str" cm="1">
        <f t="array" aca="1" ref="O18" ca="1">IF(N18="","",IF(N18&lt;&gt;N17,1,IF(O17=misLíneas-2,0,O17+1)))</f>
        <v/>
      </c>
      <c r="P18" s="18" t="str" cm="1">
        <f t="array" aca="1" ref="P18" ca="1">IF(OR(O18=0,O18=""),"",INDEX(misCriticidades,N18)&amp;"-"&amp;IFERROR(MATCH(O18,miOrdenTarjeta,0),0))</f>
        <v/>
      </c>
      <c r="Q18" s="17">
        <f ca="1"/>
        <v>17</v>
      </c>
      <c r="R18" s="18">
        <f t="shared" ca="1" si="13"/>
        <v>2</v>
      </c>
      <c r="S18" s="18">
        <f t="shared" ca="1" si="3"/>
        <v>29</v>
      </c>
      <c r="T18" s="18" cm="1">
        <f t="array" aca="1" ref="T18" ca="1">IF(S18="","",IF(S18&lt;&gt;S17,1,IF(T17=misLíneas-2,0,T17+1)))</f>
        <v>7</v>
      </c>
      <c r="U18" s="18" t="str" cm="1">
        <f t="array" aca="1" ref="U18" ca="1">IF(OR(T18=0,T18=""),"",INDEX(misCriticidades,S18)&amp;"-"&amp;IFERROR(MATCH(T18,miOrdenTarjeta,0),0))</f>
        <v>1-7</v>
      </c>
      <c r="V18" s="17" t="str">
        <f ca="1"/>
        <v/>
      </c>
      <c r="W18" s="18">
        <f t="shared" ca="1" si="14"/>
        <v>1</v>
      </c>
      <c r="X18" s="18" t="str">
        <f t="shared" ca="1" si="4"/>
        <v/>
      </c>
      <c r="Y18" s="18" t="str" cm="1">
        <f t="array" aca="1" ref="Y18" ca="1">IF(X18="","",IF(X18&lt;&gt;X17,1,IF(Y17=misLíneas-2,0,Y17+1)))</f>
        <v/>
      </c>
      <c r="Z18" s="18" t="str" cm="1">
        <f t="array" aca="1" ref="Z18" ca="1">IF(OR(Y18=0,Y18=""),"",INDEX(misCriticidades,X18)&amp;"-"&amp;IFERROR(MATCH(Y18,miOrdenTarjeta,0),0))</f>
        <v/>
      </c>
      <c r="AA18" s="17" t="str">
        <f ca="1"/>
        <v/>
      </c>
      <c r="AB18" s="18">
        <f t="shared" ca="1" si="15"/>
        <v>1</v>
      </c>
      <c r="AC18" s="18" t="str">
        <f t="shared" ca="1" si="5"/>
        <v/>
      </c>
      <c r="AD18" s="18" t="str" cm="1">
        <f t="array" aca="1" ref="AD18" ca="1">IF(AC18="","",IF(AC18&lt;&gt;AC17,1,IF(AD17=misLíneas-2,0,AD17+1)))</f>
        <v/>
      </c>
      <c r="AE18" s="18" t="str" cm="1">
        <f t="array" aca="1" ref="AE18" ca="1">IF(OR(AD18=0,AD18=""),"",INDEX(misCriticidades,AC18)&amp;"-"&amp;IFERROR(MATCH(AD18,miOrdenTarjeta,0),0))</f>
        <v/>
      </c>
      <c r="AF18" s="17" t="str">
        <f ca="1"/>
        <v/>
      </c>
      <c r="AG18" s="18">
        <f t="shared" ca="1" si="16"/>
        <v>1</v>
      </c>
      <c r="AH18" s="18" t="str">
        <f t="shared" ca="1" si="6"/>
        <v/>
      </c>
      <c r="AI18" s="18" t="str" cm="1">
        <f t="array" aca="1" ref="AI18" ca="1">IF(AH18="","",IF(AH18&lt;&gt;AH17,1,IF(AI17=misLíneas-2,0,AI17+1)))</f>
        <v/>
      </c>
      <c r="AJ18" s="18" t="str" cm="1">
        <f t="array" aca="1" ref="AJ18" ca="1">IF(OR(AI18=0,AI18=""),"",INDEX(misCriticidades,AH18)&amp;"-"&amp;IFERROR(MATCH(AI18,miOrdenTarjeta,0),0))</f>
        <v/>
      </c>
      <c r="AK18" s="17" t="str">
        <f ca="1"/>
        <v/>
      </c>
      <c r="AL18" s="18">
        <f t="shared" ca="1" si="17"/>
        <v>1</v>
      </c>
      <c r="AM18" s="18" t="str">
        <f t="shared" ca="1" si="7"/>
        <v/>
      </c>
      <c r="AN18" s="18" t="str" cm="1">
        <f t="array" aca="1" ref="AN18" ca="1">IF(AM18="","",IF(AM18&lt;&gt;AM17,1,IF(AN17=misLíneas-2,0,AN17+1)))</f>
        <v/>
      </c>
      <c r="AO18" s="18" t="str" cm="1">
        <f t="array" aca="1" ref="AO18" ca="1">IF(OR(AN18=0,AN18=""),"",INDEX(misCriticidades,AM18)&amp;"-"&amp;IFERROR(MATCH(AN18,miOrdenTarjeta,0),0))</f>
        <v/>
      </c>
      <c r="AP18" s="17" t="str">
        <f ca="1"/>
        <v/>
      </c>
      <c r="AQ18" s="18">
        <f t="shared" ca="1" si="18"/>
        <v>1</v>
      </c>
      <c r="AR18" s="18" t="str">
        <f t="shared" ca="1" si="8"/>
        <v/>
      </c>
      <c r="AS18" s="18" t="str" cm="1">
        <f t="array" aca="1" ref="AS18" ca="1">IF(AR18="","",IF(AR18&lt;&gt;AR17,1,IF(AS17=misLíneas-2,0,AS17+1)))</f>
        <v/>
      </c>
      <c r="AT18" s="18" t="str" cm="1">
        <f t="array" aca="1" ref="AT18" ca="1">IF(OR(AS18=0,AS18=""),"",INDEX(misCriticidades,AR18)&amp;"-"&amp;IFERROR(MATCH(AS18,miOrdenTarjeta,0),0))</f>
        <v/>
      </c>
      <c r="AU18" s="17" t="str">
        <f ca="1"/>
        <v/>
      </c>
      <c r="AV18" s="18">
        <f t="shared" ca="1" si="19"/>
        <v>1</v>
      </c>
      <c r="AW18" s="18" t="str">
        <f t="shared" ca="1" si="9"/>
        <v/>
      </c>
      <c r="AX18" s="18" t="str" cm="1">
        <f t="array" aca="1" ref="AX18" ca="1">IF(AW18="","",IF(AW18&lt;&gt;AW17,1,IF(AX17=misLíneas-2,0,AX17+1)))</f>
        <v/>
      </c>
      <c r="AY18" s="18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7" t="str">
        <f ca="1"/>
        <v/>
      </c>
      <c r="C19" s="18">
        <f t="shared" ca="1" si="20"/>
        <v>1</v>
      </c>
      <c r="D19" s="18" t="str">
        <f t="shared" ca="1" si="0"/>
        <v/>
      </c>
      <c r="E19" s="18" t="str" cm="1">
        <f t="array" aca="1" ref="E19" ca="1">IF(D19="","",IF(D19&lt;&gt;D18,1,IF(E18=misLíneas-2,0,E18+1)))</f>
        <v/>
      </c>
      <c r="F19" s="18" t="str" cm="1">
        <f t="array" aca="1" ref="F19" ca="1">IF(OR(E19=0,E19=""),"",INDEX(misCriticidades,D19)&amp;"-"&amp;IFERROR(MATCH(E19,miOrdenTarjeta,0),0))</f>
        <v/>
      </c>
      <c r="G19" s="17" t="str">
        <f ca="1"/>
        <v/>
      </c>
      <c r="H19" s="18">
        <f t="shared" ca="1" si="11"/>
        <v>1</v>
      </c>
      <c r="I19" s="18" t="str">
        <f t="shared" ca="1" si="1"/>
        <v/>
      </c>
      <c r="J19" s="18" t="str" cm="1">
        <f t="array" aca="1" ref="J19" ca="1">IF(I19="","",IF(I19&lt;&gt;I18,1,IF(J18=misLíneas-2,0,J18+1)))</f>
        <v/>
      </c>
      <c r="K19" s="18" t="str" cm="1">
        <f t="array" aca="1" ref="K19" ca="1">IF(OR(J19=0,J19=""),"",INDEX(misCriticidades,I19)&amp;"-"&amp;IFERROR(MATCH(J19,miOrdenTarjeta,0),0))</f>
        <v/>
      </c>
      <c r="L19" s="17" t="str">
        <f ca="1"/>
        <v/>
      </c>
      <c r="M19" s="18">
        <f t="shared" ca="1" si="12"/>
        <v>1</v>
      </c>
      <c r="N19" s="18" t="str">
        <f t="shared" ca="1" si="2"/>
        <v/>
      </c>
      <c r="O19" s="18" t="str" cm="1">
        <f t="array" aca="1" ref="O19" ca="1">IF(N19="","",IF(N19&lt;&gt;N18,1,IF(O18=misLíneas-2,0,O18+1)))</f>
        <v/>
      </c>
      <c r="P19" s="18" t="str" cm="1">
        <f t="array" aca="1" ref="P19" ca="1">IF(OR(O19=0,O19=""),"",INDEX(misCriticidades,N19)&amp;"-"&amp;IFERROR(MATCH(O19,miOrdenTarjeta,0),0))</f>
        <v/>
      </c>
      <c r="Q19" s="17">
        <f ca="1"/>
        <v>18</v>
      </c>
      <c r="R19" s="18">
        <f t="shared" ca="1" si="13"/>
        <v>2</v>
      </c>
      <c r="S19" s="18">
        <f t="shared" ca="1" si="3"/>
        <v>29</v>
      </c>
      <c r="T19" s="18" cm="1">
        <f t="array" aca="1" ref="T19" ca="1">IF(S19="","",IF(S19&lt;&gt;S18,1,IF(T18=misLíneas-2,0,T18+1)))</f>
        <v>8</v>
      </c>
      <c r="U19" s="18" t="str" cm="1">
        <f t="array" aca="1" ref="U19" ca="1">IF(OR(T19=0,T19=""),"",INDEX(misCriticidades,S19)&amp;"-"&amp;IFERROR(MATCH(T19,miOrdenTarjeta,0),0))</f>
        <v>1-8</v>
      </c>
      <c r="V19" s="17" t="str">
        <f ca="1"/>
        <v/>
      </c>
      <c r="W19" s="18">
        <f t="shared" ca="1" si="14"/>
        <v>1</v>
      </c>
      <c r="X19" s="18" t="str">
        <f t="shared" ca="1" si="4"/>
        <v/>
      </c>
      <c r="Y19" s="18" t="str" cm="1">
        <f t="array" aca="1" ref="Y19" ca="1">IF(X19="","",IF(X19&lt;&gt;X18,1,IF(Y18=misLíneas-2,0,Y18+1)))</f>
        <v/>
      </c>
      <c r="Z19" s="18" t="str" cm="1">
        <f t="array" aca="1" ref="Z19" ca="1">IF(OR(Y19=0,Y19=""),"",INDEX(misCriticidades,X19)&amp;"-"&amp;IFERROR(MATCH(Y19,miOrdenTarjeta,0),0))</f>
        <v/>
      </c>
      <c r="AA19" s="17" t="str">
        <f ca="1"/>
        <v/>
      </c>
      <c r="AB19" s="18">
        <f t="shared" ca="1" si="15"/>
        <v>1</v>
      </c>
      <c r="AC19" s="18" t="str">
        <f t="shared" ca="1" si="5"/>
        <v/>
      </c>
      <c r="AD19" s="18" t="str" cm="1">
        <f t="array" aca="1" ref="AD19" ca="1">IF(AC19="","",IF(AC19&lt;&gt;AC18,1,IF(AD18=misLíneas-2,0,AD18+1)))</f>
        <v/>
      </c>
      <c r="AE19" s="18" t="str" cm="1">
        <f t="array" aca="1" ref="AE19" ca="1">IF(OR(AD19=0,AD19=""),"",INDEX(misCriticidades,AC19)&amp;"-"&amp;IFERROR(MATCH(AD19,miOrdenTarjeta,0),0))</f>
        <v/>
      </c>
      <c r="AF19" s="17" t="str">
        <f ca="1"/>
        <v/>
      </c>
      <c r="AG19" s="18">
        <f t="shared" ca="1" si="16"/>
        <v>1</v>
      </c>
      <c r="AH19" s="18" t="str">
        <f t="shared" ca="1" si="6"/>
        <v/>
      </c>
      <c r="AI19" s="18" t="str" cm="1">
        <f t="array" aca="1" ref="AI19" ca="1">IF(AH19="","",IF(AH19&lt;&gt;AH18,1,IF(AI18=misLíneas-2,0,AI18+1)))</f>
        <v/>
      </c>
      <c r="AJ19" s="18" t="str" cm="1">
        <f t="array" aca="1" ref="AJ19" ca="1">IF(OR(AI19=0,AI19=""),"",INDEX(misCriticidades,AH19)&amp;"-"&amp;IFERROR(MATCH(AI19,miOrdenTarjeta,0),0))</f>
        <v/>
      </c>
      <c r="AK19" s="17" t="str">
        <f ca="1"/>
        <v/>
      </c>
      <c r="AL19" s="18">
        <f t="shared" ca="1" si="17"/>
        <v>1</v>
      </c>
      <c r="AM19" s="18" t="str">
        <f t="shared" ca="1" si="7"/>
        <v/>
      </c>
      <c r="AN19" s="18" t="str" cm="1">
        <f t="array" aca="1" ref="AN19" ca="1">IF(AM19="","",IF(AM19&lt;&gt;AM18,1,IF(AN18=misLíneas-2,0,AN18+1)))</f>
        <v/>
      </c>
      <c r="AO19" s="18" t="str" cm="1">
        <f t="array" aca="1" ref="AO19" ca="1">IF(OR(AN19=0,AN19=""),"",INDEX(misCriticidades,AM19)&amp;"-"&amp;IFERROR(MATCH(AN19,miOrdenTarjeta,0),0))</f>
        <v/>
      </c>
      <c r="AP19" s="17" t="str">
        <f ca="1"/>
        <v/>
      </c>
      <c r="AQ19" s="18">
        <f t="shared" ca="1" si="18"/>
        <v>1</v>
      </c>
      <c r="AR19" s="18" t="str">
        <f t="shared" ca="1" si="8"/>
        <v/>
      </c>
      <c r="AS19" s="18" t="str" cm="1">
        <f t="array" aca="1" ref="AS19" ca="1">IF(AR19="","",IF(AR19&lt;&gt;AR18,1,IF(AS18=misLíneas-2,0,AS18+1)))</f>
        <v/>
      </c>
      <c r="AT19" s="18" t="str" cm="1">
        <f t="array" aca="1" ref="AT19" ca="1">IF(OR(AS19=0,AS19=""),"",INDEX(misCriticidades,AR19)&amp;"-"&amp;IFERROR(MATCH(AS19,miOrdenTarjeta,0),0))</f>
        <v/>
      </c>
      <c r="AU19" s="17" t="str">
        <f ca="1"/>
        <v/>
      </c>
      <c r="AV19" s="18">
        <f t="shared" ca="1" si="19"/>
        <v>1</v>
      </c>
      <c r="AW19" s="18" t="str">
        <f t="shared" ca="1" si="9"/>
        <v/>
      </c>
      <c r="AX19" s="18" t="str" cm="1">
        <f t="array" aca="1" ref="AX19" ca="1">IF(AW19="","",IF(AW19&lt;&gt;AW18,1,IF(AX18=misLíneas-2,0,AX18+1)))</f>
        <v/>
      </c>
      <c r="AY19" s="18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7" t="str">
        <f ca="1"/>
        <v/>
      </c>
      <c r="C20" s="18">
        <f t="shared" ca="1" si="20"/>
        <v>1</v>
      </c>
      <c r="D20" s="18" t="str">
        <f t="shared" ca="1" si="0"/>
        <v/>
      </c>
      <c r="E20" s="18" t="str" cm="1">
        <f t="array" aca="1" ref="E20" ca="1">IF(D20="","",IF(D20&lt;&gt;D19,1,IF(E19=misLíneas-2,0,E19+1)))</f>
        <v/>
      </c>
      <c r="F20" s="18" t="str" cm="1">
        <f t="array" aca="1" ref="F20" ca="1">IF(OR(E20=0,E20=""),"",INDEX(misCriticidades,D20)&amp;"-"&amp;IFERROR(MATCH(E20,miOrdenTarjeta,0),0))</f>
        <v/>
      </c>
      <c r="G20" s="17" t="str">
        <f ca="1"/>
        <v/>
      </c>
      <c r="H20" s="18">
        <f t="shared" ca="1" si="11"/>
        <v>1</v>
      </c>
      <c r="I20" s="18" t="str">
        <f t="shared" ca="1" si="1"/>
        <v/>
      </c>
      <c r="J20" s="18" t="str" cm="1">
        <f t="array" aca="1" ref="J20" ca="1">IF(I20="","",IF(I20&lt;&gt;I19,1,IF(J19=misLíneas-2,0,J19+1)))</f>
        <v/>
      </c>
      <c r="K20" s="18" t="str" cm="1">
        <f t="array" aca="1" ref="K20" ca="1">IF(OR(J20=0,J20=""),"",INDEX(misCriticidades,I20)&amp;"-"&amp;IFERROR(MATCH(J20,miOrdenTarjeta,0),0))</f>
        <v/>
      </c>
      <c r="L20" s="17" t="str">
        <f ca="1"/>
        <v/>
      </c>
      <c r="M20" s="18">
        <f t="shared" ca="1" si="12"/>
        <v>1</v>
      </c>
      <c r="N20" s="18" t="str">
        <f t="shared" ca="1" si="2"/>
        <v/>
      </c>
      <c r="O20" s="18" t="str" cm="1">
        <f t="array" aca="1" ref="O20" ca="1">IF(N20="","",IF(N20&lt;&gt;N19,1,IF(O19=misLíneas-2,0,O19+1)))</f>
        <v/>
      </c>
      <c r="P20" s="18" t="str" cm="1">
        <f t="array" aca="1" ref="P20" ca="1">IF(OR(O20=0,O20=""),"",INDEX(misCriticidades,N20)&amp;"-"&amp;IFERROR(MATCH(O20,miOrdenTarjeta,0),0))</f>
        <v/>
      </c>
      <c r="Q20" s="17">
        <f ca="1"/>
        <v>19</v>
      </c>
      <c r="R20" s="18">
        <f t="shared" ca="1" si="13"/>
        <v>2</v>
      </c>
      <c r="S20" s="18">
        <f t="shared" ca="1" si="3"/>
        <v>29</v>
      </c>
      <c r="T20" s="18" cm="1">
        <f t="array" aca="1" ref="T20" ca="1">IF(S20="","",IF(S20&lt;&gt;S19,1,IF(T19=misLíneas-2,0,T19+1)))</f>
        <v>0</v>
      </c>
      <c r="U20" s="18" t="str" cm="1">
        <f t="array" aca="1" ref="U20" ca="1">IF(OR(T20=0,T20=""),"",INDEX(misCriticidades,S20)&amp;"-"&amp;IFERROR(MATCH(T20,miOrdenTarjeta,0),0))</f>
        <v/>
      </c>
      <c r="V20" s="17" t="str">
        <f ca="1"/>
        <v/>
      </c>
      <c r="W20" s="18">
        <f t="shared" ca="1" si="14"/>
        <v>1</v>
      </c>
      <c r="X20" s="18" t="str">
        <f t="shared" ca="1" si="4"/>
        <v/>
      </c>
      <c r="Y20" s="18" t="str" cm="1">
        <f t="array" aca="1" ref="Y20" ca="1">IF(X20="","",IF(X20&lt;&gt;X19,1,IF(Y19=misLíneas-2,0,Y19+1)))</f>
        <v/>
      </c>
      <c r="Z20" s="18" t="str" cm="1">
        <f t="array" aca="1" ref="Z20" ca="1">IF(OR(Y20=0,Y20=""),"",INDEX(misCriticidades,X20)&amp;"-"&amp;IFERROR(MATCH(Y20,miOrdenTarjeta,0),0))</f>
        <v/>
      </c>
      <c r="AA20" s="17" t="str">
        <f ca="1"/>
        <v/>
      </c>
      <c r="AB20" s="18">
        <f t="shared" ca="1" si="15"/>
        <v>1</v>
      </c>
      <c r="AC20" s="18" t="str">
        <f t="shared" ca="1" si="5"/>
        <v/>
      </c>
      <c r="AD20" s="18" t="str" cm="1">
        <f t="array" aca="1" ref="AD20" ca="1">IF(AC20="","",IF(AC20&lt;&gt;AC19,1,IF(AD19=misLíneas-2,0,AD19+1)))</f>
        <v/>
      </c>
      <c r="AE20" s="18" t="str" cm="1">
        <f t="array" aca="1" ref="AE20" ca="1">IF(OR(AD20=0,AD20=""),"",INDEX(misCriticidades,AC20)&amp;"-"&amp;IFERROR(MATCH(AD20,miOrdenTarjeta,0),0))</f>
        <v/>
      </c>
      <c r="AF20" s="17" t="str">
        <f ca="1"/>
        <v/>
      </c>
      <c r="AG20" s="18">
        <f t="shared" ca="1" si="16"/>
        <v>1</v>
      </c>
      <c r="AH20" s="18" t="str">
        <f t="shared" ca="1" si="6"/>
        <v/>
      </c>
      <c r="AI20" s="18" t="str" cm="1">
        <f t="array" aca="1" ref="AI20" ca="1">IF(AH20="","",IF(AH20&lt;&gt;AH19,1,IF(AI19=misLíneas-2,0,AI19+1)))</f>
        <v/>
      </c>
      <c r="AJ20" s="18" t="str" cm="1">
        <f t="array" aca="1" ref="AJ20" ca="1">IF(OR(AI20=0,AI20=""),"",INDEX(misCriticidades,AH20)&amp;"-"&amp;IFERROR(MATCH(AI20,miOrdenTarjeta,0),0))</f>
        <v/>
      </c>
      <c r="AK20" s="17" t="str">
        <f ca="1"/>
        <v/>
      </c>
      <c r="AL20" s="18">
        <f t="shared" ca="1" si="17"/>
        <v>1</v>
      </c>
      <c r="AM20" s="18" t="str">
        <f t="shared" ca="1" si="7"/>
        <v/>
      </c>
      <c r="AN20" s="18" t="str" cm="1">
        <f t="array" aca="1" ref="AN20" ca="1">IF(AM20="","",IF(AM20&lt;&gt;AM19,1,IF(AN19=misLíneas-2,0,AN19+1)))</f>
        <v/>
      </c>
      <c r="AO20" s="18" t="str" cm="1">
        <f t="array" aca="1" ref="AO20" ca="1">IF(OR(AN20=0,AN20=""),"",INDEX(misCriticidades,AM20)&amp;"-"&amp;IFERROR(MATCH(AN20,miOrdenTarjeta,0),0))</f>
        <v/>
      </c>
      <c r="AP20" s="17" t="str">
        <f ca="1"/>
        <v/>
      </c>
      <c r="AQ20" s="18">
        <f t="shared" ca="1" si="18"/>
        <v>1</v>
      </c>
      <c r="AR20" s="18" t="str">
        <f t="shared" ca="1" si="8"/>
        <v/>
      </c>
      <c r="AS20" s="18" t="str" cm="1">
        <f t="array" aca="1" ref="AS20" ca="1">IF(AR20="","",IF(AR20&lt;&gt;AR19,1,IF(AS19=misLíneas-2,0,AS19+1)))</f>
        <v/>
      </c>
      <c r="AT20" s="18" t="str" cm="1">
        <f t="array" aca="1" ref="AT20" ca="1">IF(OR(AS20=0,AS20=""),"",INDEX(misCriticidades,AR20)&amp;"-"&amp;IFERROR(MATCH(AS20,miOrdenTarjeta,0),0))</f>
        <v/>
      </c>
      <c r="AU20" s="17" t="str">
        <f ca="1"/>
        <v/>
      </c>
      <c r="AV20" s="18">
        <f t="shared" ca="1" si="19"/>
        <v>1</v>
      </c>
      <c r="AW20" s="18" t="str">
        <f t="shared" ca="1" si="9"/>
        <v/>
      </c>
      <c r="AX20" s="18" t="str" cm="1">
        <f t="array" aca="1" ref="AX20" ca="1">IF(AW20="","",IF(AW20&lt;&gt;AW19,1,IF(AX19=misLíneas-2,0,AX19+1)))</f>
        <v/>
      </c>
      <c r="AY20" s="18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7" t="str">
        <f ca="1"/>
        <v/>
      </c>
      <c r="C21" s="18">
        <f t="shared" ca="1" si="20"/>
        <v>1</v>
      </c>
      <c r="D21" s="18" t="str">
        <f t="shared" ca="1" si="0"/>
        <v/>
      </c>
      <c r="E21" s="18" t="str" cm="1">
        <f t="array" aca="1" ref="E21" ca="1">IF(D21="","",IF(D21&lt;&gt;D20,1,IF(E20=misLíneas-2,0,E20+1)))</f>
        <v/>
      </c>
      <c r="F21" s="18" t="str" cm="1">
        <f t="array" aca="1" ref="F21" ca="1">IF(OR(E21=0,E21=""),"",INDEX(misCriticidades,D21)&amp;"-"&amp;IFERROR(MATCH(E21,miOrdenTarjeta,0),0))</f>
        <v/>
      </c>
      <c r="G21" s="17" t="str">
        <f ca="1"/>
        <v/>
      </c>
      <c r="H21" s="18">
        <f t="shared" ca="1" si="11"/>
        <v>1</v>
      </c>
      <c r="I21" s="18" t="str">
        <f t="shared" ca="1" si="1"/>
        <v/>
      </c>
      <c r="J21" s="18" t="str" cm="1">
        <f t="array" aca="1" ref="J21" ca="1">IF(I21="","",IF(I21&lt;&gt;I20,1,IF(J20=misLíneas-2,0,J20+1)))</f>
        <v/>
      </c>
      <c r="K21" s="18" t="str" cm="1">
        <f t="array" aca="1" ref="K21" ca="1">IF(OR(J21=0,J21=""),"",INDEX(misCriticidades,I21)&amp;"-"&amp;IFERROR(MATCH(J21,miOrdenTarjeta,0),0))</f>
        <v/>
      </c>
      <c r="L21" s="17" t="str">
        <f ca="1"/>
        <v/>
      </c>
      <c r="M21" s="18">
        <f t="shared" ca="1" si="12"/>
        <v>1</v>
      </c>
      <c r="N21" s="18" t="str">
        <f t="shared" ca="1" si="2"/>
        <v/>
      </c>
      <c r="O21" s="18" t="str" cm="1">
        <f t="array" aca="1" ref="O21" ca="1">IF(N21="","",IF(N21&lt;&gt;N20,1,IF(O20=misLíneas-2,0,O20+1)))</f>
        <v/>
      </c>
      <c r="P21" s="18" t="str" cm="1">
        <f t="array" aca="1" ref="P21" ca="1">IF(OR(O21=0,O21=""),"",INDEX(misCriticidades,N21)&amp;"-"&amp;IFERROR(MATCH(O21,miOrdenTarjeta,0),0))</f>
        <v/>
      </c>
      <c r="Q21" s="17">
        <f ca="1"/>
        <v>20</v>
      </c>
      <c r="R21" s="18">
        <f t="shared" ca="1" si="13"/>
        <v>3</v>
      </c>
      <c r="S21" s="18">
        <f t="shared" ca="1" si="3"/>
        <v>28</v>
      </c>
      <c r="T21" s="18" cm="1">
        <f t="array" aca="1" ref="T21" ca="1">IF(S21="","",IF(S21&lt;&gt;S20,1,IF(T20=misLíneas-2,0,T20+1)))</f>
        <v>1</v>
      </c>
      <c r="U21" s="18" t="str" cm="1">
        <f t="array" aca="1" ref="U21" ca="1">IF(OR(T21=0,T21=""),"",INDEX(misCriticidades,S21)&amp;"-"&amp;IFERROR(MATCH(T21,miOrdenTarjeta,0),0))</f>
        <v>3-1</v>
      </c>
      <c r="V21" s="17" t="str">
        <f ca="1"/>
        <v/>
      </c>
      <c r="W21" s="18">
        <f t="shared" ca="1" si="14"/>
        <v>1</v>
      </c>
      <c r="X21" s="18" t="str">
        <f t="shared" ca="1" si="4"/>
        <v/>
      </c>
      <c r="Y21" s="18" t="str" cm="1">
        <f t="array" aca="1" ref="Y21" ca="1">IF(X21="","",IF(X21&lt;&gt;X20,1,IF(Y20=misLíneas-2,0,Y20+1)))</f>
        <v/>
      </c>
      <c r="Z21" s="18" t="str" cm="1">
        <f t="array" aca="1" ref="Z21" ca="1">IF(OR(Y21=0,Y21=""),"",INDEX(misCriticidades,X21)&amp;"-"&amp;IFERROR(MATCH(Y21,miOrdenTarjeta,0),0))</f>
        <v/>
      </c>
      <c r="AA21" s="17" t="str">
        <f ca="1"/>
        <v/>
      </c>
      <c r="AB21" s="18">
        <f t="shared" ca="1" si="15"/>
        <v>1</v>
      </c>
      <c r="AC21" s="18" t="str">
        <f t="shared" ca="1" si="5"/>
        <v/>
      </c>
      <c r="AD21" s="18" t="str" cm="1">
        <f t="array" aca="1" ref="AD21" ca="1">IF(AC21="","",IF(AC21&lt;&gt;AC20,1,IF(AD20=misLíneas-2,0,AD20+1)))</f>
        <v/>
      </c>
      <c r="AE21" s="18" t="str" cm="1">
        <f t="array" aca="1" ref="AE21" ca="1">IF(OR(AD21=0,AD21=""),"",INDEX(misCriticidades,AC21)&amp;"-"&amp;IFERROR(MATCH(AD21,miOrdenTarjeta,0),0))</f>
        <v/>
      </c>
      <c r="AF21" s="17" t="str">
        <f ca="1"/>
        <v/>
      </c>
      <c r="AG21" s="18">
        <f t="shared" ca="1" si="16"/>
        <v>1</v>
      </c>
      <c r="AH21" s="18" t="str">
        <f t="shared" ca="1" si="6"/>
        <v/>
      </c>
      <c r="AI21" s="18" t="str" cm="1">
        <f t="array" aca="1" ref="AI21" ca="1">IF(AH21="","",IF(AH21&lt;&gt;AH20,1,IF(AI20=misLíneas-2,0,AI20+1)))</f>
        <v/>
      </c>
      <c r="AJ21" s="18" t="str" cm="1">
        <f t="array" aca="1" ref="AJ21" ca="1">IF(OR(AI21=0,AI21=""),"",INDEX(misCriticidades,AH21)&amp;"-"&amp;IFERROR(MATCH(AI21,miOrdenTarjeta,0),0))</f>
        <v/>
      </c>
      <c r="AK21" s="17" t="str">
        <f ca="1"/>
        <v/>
      </c>
      <c r="AL21" s="18">
        <f t="shared" ca="1" si="17"/>
        <v>1</v>
      </c>
      <c r="AM21" s="18" t="str">
        <f t="shared" ca="1" si="7"/>
        <v/>
      </c>
      <c r="AN21" s="18" t="str" cm="1">
        <f t="array" aca="1" ref="AN21" ca="1">IF(AM21="","",IF(AM21&lt;&gt;AM20,1,IF(AN20=misLíneas-2,0,AN20+1)))</f>
        <v/>
      </c>
      <c r="AO21" s="18" t="str" cm="1">
        <f t="array" aca="1" ref="AO21" ca="1">IF(OR(AN21=0,AN21=""),"",INDEX(misCriticidades,AM21)&amp;"-"&amp;IFERROR(MATCH(AN21,miOrdenTarjeta,0),0))</f>
        <v/>
      </c>
      <c r="AP21" s="17" t="str">
        <f ca="1"/>
        <v/>
      </c>
      <c r="AQ21" s="18">
        <f t="shared" ca="1" si="18"/>
        <v>1</v>
      </c>
      <c r="AR21" s="18" t="str">
        <f t="shared" ca="1" si="8"/>
        <v/>
      </c>
      <c r="AS21" s="18" t="str" cm="1">
        <f t="array" aca="1" ref="AS21" ca="1">IF(AR21="","",IF(AR21&lt;&gt;AR20,1,IF(AS20=misLíneas-2,0,AS20+1)))</f>
        <v/>
      </c>
      <c r="AT21" s="18" t="str" cm="1">
        <f t="array" aca="1" ref="AT21" ca="1">IF(OR(AS21=0,AS21=""),"",INDEX(misCriticidades,AR21)&amp;"-"&amp;IFERROR(MATCH(AS21,miOrdenTarjeta,0),0))</f>
        <v/>
      </c>
      <c r="AU21" s="17" t="str">
        <f ca="1"/>
        <v/>
      </c>
      <c r="AV21" s="18">
        <f t="shared" ca="1" si="19"/>
        <v>1</v>
      </c>
      <c r="AW21" s="18" t="str">
        <f t="shared" ca="1" si="9"/>
        <v/>
      </c>
      <c r="AX21" s="18" t="str" cm="1">
        <f t="array" aca="1" ref="AX21" ca="1">IF(AW21="","",IF(AW21&lt;&gt;AW20,1,IF(AX20=misLíneas-2,0,AX20+1)))</f>
        <v/>
      </c>
      <c r="AY21" s="18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7" t="str">
        <f ca="1"/>
        <v/>
      </c>
      <c r="C22" s="18">
        <f t="shared" ca="1" si="20"/>
        <v>1</v>
      </c>
      <c r="D22" s="18" t="str">
        <f t="shared" ca="1" si="0"/>
        <v/>
      </c>
      <c r="E22" s="18" t="str" cm="1">
        <f t="array" aca="1" ref="E22" ca="1">IF(D22="","",IF(D22&lt;&gt;D21,1,IF(E21=misLíneas-2,0,E21+1)))</f>
        <v/>
      </c>
      <c r="F22" s="18" t="str" cm="1">
        <f t="array" aca="1" ref="F22" ca="1">IF(OR(E22=0,E22=""),"",INDEX(misCriticidades,D22)&amp;"-"&amp;IFERROR(MATCH(E22,miOrdenTarjeta,0),0))</f>
        <v/>
      </c>
      <c r="G22" s="17" t="str">
        <f ca="1"/>
        <v/>
      </c>
      <c r="H22" s="18">
        <f t="shared" ca="1" si="11"/>
        <v>1</v>
      </c>
      <c r="I22" s="18" t="str">
        <f t="shared" ca="1" si="1"/>
        <v/>
      </c>
      <c r="J22" s="18" t="str" cm="1">
        <f t="array" aca="1" ref="J22" ca="1">IF(I22="","",IF(I22&lt;&gt;I21,1,IF(J21=misLíneas-2,0,J21+1)))</f>
        <v/>
      </c>
      <c r="K22" s="18" t="str" cm="1">
        <f t="array" aca="1" ref="K22" ca="1">IF(OR(J22=0,J22=""),"",INDEX(misCriticidades,I22)&amp;"-"&amp;IFERROR(MATCH(J22,miOrdenTarjeta,0),0))</f>
        <v/>
      </c>
      <c r="L22" s="17" t="str">
        <f ca="1"/>
        <v/>
      </c>
      <c r="M22" s="18">
        <f t="shared" ca="1" si="12"/>
        <v>1</v>
      </c>
      <c r="N22" s="18" t="str">
        <f t="shared" ca="1" si="2"/>
        <v/>
      </c>
      <c r="O22" s="18" t="str" cm="1">
        <f t="array" aca="1" ref="O22" ca="1">IF(N22="","",IF(N22&lt;&gt;N21,1,IF(O21=misLíneas-2,0,O21+1)))</f>
        <v/>
      </c>
      <c r="P22" s="18" t="str" cm="1">
        <f t="array" aca="1" ref="P22" ca="1">IF(OR(O22=0,O22=""),"",INDEX(misCriticidades,N22)&amp;"-"&amp;IFERROR(MATCH(O22,miOrdenTarjeta,0),0))</f>
        <v/>
      </c>
      <c r="Q22" s="17">
        <f ca="1"/>
        <v>21</v>
      </c>
      <c r="R22" s="18">
        <f t="shared" ca="1" si="13"/>
        <v>3</v>
      </c>
      <c r="S22" s="18">
        <f t="shared" ca="1" si="3"/>
        <v>28</v>
      </c>
      <c r="T22" s="18" cm="1">
        <f t="array" aca="1" ref="T22" ca="1">IF(S22="","",IF(S22&lt;&gt;S21,1,IF(T21=misLíneas-2,0,T21+1)))</f>
        <v>2</v>
      </c>
      <c r="U22" s="18" t="str" cm="1">
        <f t="array" aca="1" ref="U22" ca="1">IF(OR(T22=0,T22=""),"",INDEX(misCriticidades,S22)&amp;"-"&amp;IFERROR(MATCH(T22,miOrdenTarjeta,0),0))</f>
        <v>3-2</v>
      </c>
      <c r="V22" s="17" t="str">
        <f ca="1"/>
        <v/>
      </c>
      <c r="W22" s="18">
        <f t="shared" ca="1" si="14"/>
        <v>1</v>
      </c>
      <c r="X22" s="18" t="str">
        <f t="shared" ca="1" si="4"/>
        <v/>
      </c>
      <c r="Y22" s="18" t="str" cm="1">
        <f t="array" aca="1" ref="Y22" ca="1">IF(X22="","",IF(X22&lt;&gt;X21,1,IF(Y21=misLíneas-2,0,Y21+1)))</f>
        <v/>
      </c>
      <c r="Z22" s="18" t="str" cm="1">
        <f t="array" aca="1" ref="Z22" ca="1">IF(OR(Y22=0,Y22=""),"",INDEX(misCriticidades,X22)&amp;"-"&amp;IFERROR(MATCH(Y22,miOrdenTarjeta,0),0))</f>
        <v/>
      </c>
      <c r="AA22" s="17" t="str">
        <f ca="1"/>
        <v/>
      </c>
      <c r="AB22" s="18">
        <f t="shared" ca="1" si="15"/>
        <v>1</v>
      </c>
      <c r="AC22" s="18" t="str">
        <f t="shared" ca="1" si="5"/>
        <v/>
      </c>
      <c r="AD22" s="18" t="str" cm="1">
        <f t="array" aca="1" ref="AD22" ca="1">IF(AC22="","",IF(AC22&lt;&gt;AC21,1,IF(AD21=misLíneas-2,0,AD21+1)))</f>
        <v/>
      </c>
      <c r="AE22" s="18" t="str" cm="1">
        <f t="array" aca="1" ref="AE22" ca="1">IF(OR(AD22=0,AD22=""),"",INDEX(misCriticidades,AC22)&amp;"-"&amp;IFERROR(MATCH(AD22,miOrdenTarjeta,0),0))</f>
        <v/>
      </c>
      <c r="AF22" s="17" t="str">
        <f ca="1"/>
        <v/>
      </c>
      <c r="AG22" s="18">
        <f t="shared" ca="1" si="16"/>
        <v>1</v>
      </c>
      <c r="AH22" s="18" t="str">
        <f t="shared" ca="1" si="6"/>
        <v/>
      </c>
      <c r="AI22" s="18" t="str" cm="1">
        <f t="array" aca="1" ref="AI22" ca="1">IF(AH22="","",IF(AH22&lt;&gt;AH21,1,IF(AI21=misLíneas-2,0,AI21+1)))</f>
        <v/>
      </c>
      <c r="AJ22" s="18" t="str" cm="1">
        <f t="array" aca="1" ref="AJ22" ca="1">IF(OR(AI22=0,AI22=""),"",INDEX(misCriticidades,AH22)&amp;"-"&amp;IFERROR(MATCH(AI22,miOrdenTarjeta,0),0))</f>
        <v/>
      </c>
      <c r="AK22" s="17" t="str">
        <f ca="1"/>
        <v/>
      </c>
      <c r="AL22" s="18">
        <f t="shared" ca="1" si="17"/>
        <v>1</v>
      </c>
      <c r="AM22" s="18" t="str">
        <f t="shared" ca="1" si="7"/>
        <v/>
      </c>
      <c r="AN22" s="18" t="str" cm="1">
        <f t="array" aca="1" ref="AN22" ca="1">IF(AM22="","",IF(AM22&lt;&gt;AM21,1,IF(AN21=misLíneas-2,0,AN21+1)))</f>
        <v/>
      </c>
      <c r="AO22" s="18" t="str" cm="1">
        <f t="array" aca="1" ref="AO22" ca="1">IF(OR(AN22=0,AN22=""),"",INDEX(misCriticidades,AM22)&amp;"-"&amp;IFERROR(MATCH(AN22,miOrdenTarjeta,0),0))</f>
        <v/>
      </c>
      <c r="AP22" s="17" t="str">
        <f ca="1"/>
        <v/>
      </c>
      <c r="AQ22" s="18">
        <f t="shared" ca="1" si="18"/>
        <v>1</v>
      </c>
      <c r="AR22" s="18" t="str">
        <f t="shared" ca="1" si="8"/>
        <v/>
      </c>
      <c r="AS22" s="18" t="str" cm="1">
        <f t="array" aca="1" ref="AS22" ca="1">IF(AR22="","",IF(AR22&lt;&gt;AR21,1,IF(AS21=misLíneas-2,0,AS21+1)))</f>
        <v/>
      </c>
      <c r="AT22" s="18" t="str" cm="1">
        <f t="array" aca="1" ref="AT22" ca="1">IF(OR(AS22=0,AS22=""),"",INDEX(misCriticidades,AR22)&amp;"-"&amp;IFERROR(MATCH(AS22,miOrdenTarjeta,0),0))</f>
        <v/>
      </c>
      <c r="AU22" s="17" t="str">
        <f ca="1"/>
        <v/>
      </c>
      <c r="AV22" s="18">
        <f t="shared" ca="1" si="19"/>
        <v>1</v>
      </c>
      <c r="AW22" s="18" t="str">
        <f t="shared" ca="1" si="9"/>
        <v/>
      </c>
      <c r="AX22" s="18" t="str" cm="1">
        <f t="array" aca="1" ref="AX22" ca="1">IF(AW22="","",IF(AW22&lt;&gt;AW21,1,IF(AX21=misLíneas-2,0,AX21+1)))</f>
        <v/>
      </c>
      <c r="AY22" s="18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7" t="str">
        <f ca="1"/>
        <v/>
      </c>
      <c r="C23" s="18">
        <f t="shared" ca="1" si="20"/>
        <v>1</v>
      </c>
      <c r="D23" s="18" t="str">
        <f t="shared" ca="1" si="0"/>
        <v/>
      </c>
      <c r="E23" s="18" t="str" cm="1">
        <f t="array" aca="1" ref="E23" ca="1">IF(D23="","",IF(D23&lt;&gt;D22,1,IF(E22=misLíneas-2,0,E22+1)))</f>
        <v/>
      </c>
      <c r="F23" s="18" t="str" cm="1">
        <f t="array" aca="1" ref="F23" ca="1">IF(OR(E23=0,E23=""),"",INDEX(misCriticidades,D23)&amp;"-"&amp;IFERROR(MATCH(E23,miOrdenTarjeta,0),0))</f>
        <v/>
      </c>
      <c r="G23" s="17" t="str">
        <f ca="1"/>
        <v/>
      </c>
      <c r="H23" s="18">
        <f t="shared" ca="1" si="11"/>
        <v>1</v>
      </c>
      <c r="I23" s="18" t="str">
        <f t="shared" ca="1" si="1"/>
        <v/>
      </c>
      <c r="J23" s="18" t="str" cm="1">
        <f t="array" aca="1" ref="J23" ca="1">IF(I23="","",IF(I23&lt;&gt;I22,1,IF(J22=misLíneas-2,0,J22+1)))</f>
        <v/>
      </c>
      <c r="K23" s="18" t="str" cm="1">
        <f t="array" aca="1" ref="K23" ca="1">IF(OR(J23=0,J23=""),"",INDEX(misCriticidades,I23)&amp;"-"&amp;IFERROR(MATCH(J23,miOrdenTarjeta,0),0))</f>
        <v/>
      </c>
      <c r="L23" s="17" t="str">
        <f ca="1"/>
        <v/>
      </c>
      <c r="M23" s="18">
        <f t="shared" ca="1" si="12"/>
        <v>1</v>
      </c>
      <c r="N23" s="18" t="str">
        <f t="shared" ca="1" si="2"/>
        <v/>
      </c>
      <c r="O23" s="18" t="str" cm="1">
        <f t="array" aca="1" ref="O23" ca="1">IF(N23="","",IF(N23&lt;&gt;N22,1,IF(O22=misLíneas-2,0,O22+1)))</f>
        <v/>
      </c>
      <c r="P23" s="18" t="str" cm="1">
        <f t="array" aca="1" ref="P23" ca="1">IF(OR(O23=0,O23=""),"",INDEX(misCriticidades,N23)&amp;"-"&amp;IFERROR(MATCH(O23,miOrdenTarjeta,0),0))</f>
        <v/>
      </c>
      <c r="Q23" s="17">
        <f ca="1"/>
        <v>22</v>
      </c>
      <c r="R23" s="18">
        <f t="shared" ca="1" si="13"/>
        <v>3</v>
      </c>
      <c r="S23" s="18">
        <f t="shared" ca="1" si="3"/>
        <v>28</v>
      </c>
      <c r="T23" s="18" cm="1">
        <f t="array" aca="1" ref="T23" ca="1">IF(S23="","",IF(S23&lt;&gt;S22,1,IF(T22=misLíneas-2,0,T22+1)))</f>
        <v>3</v>
      </c>
      <c r="U23" s="18" t="str" cm="1">
        <f t="array" aca="1" ref="U23" ca="1">IF(OR(T23=0,T23=""),"",INDEX(misCriticidades,S23)&amp;"-"&amp;IFERROR(MATCH(T23,miOrdenTarjeta,0),0))</f>
        <v>3-3</v>
      </c>
      <c r="V23" s="17" t="str">
        <f ca="1"/>
        <v/>
      </c>
      <c r="W23" s="18">
        <f t="shared" ca="1" si="14"/>
        <v>1</v>
      </c>
      <c r="X23" s="18" t="str">
        <f t="shared" ca="1" si="4"/>
        <v/>
      </c>
      <c r="Y23" s="18" t="str" cm="1">
        <f t="array" aca="1" ref="Y23" ca="1">IF(X23="","",IF(X23&lt;&gt;X22,1,IF(Y22=misLíneas-2,0,Y22+1)))</f>
        <v/>
      </c>
      <c r="Z23" s="18" t="str" cm="1">
        <f t="array" aca="1" ref="Z23" ca="1">IF(OR(Y23=0,Y23=""),"",INDEX(misCriticidades,X23)&amp;"-"&amp;IFERROR(MATCH(Y23,miOrdenTarjeta,0),0))</f>
        <v/>
      </c>
      <c r="AA23" s="17" t="str">
        <f ca="1"/>
        <v/>
      </c>
      <c r="AB23" s="18">
        <f t="shared" ca="1" si="15"/>
        <v>1</v>
      </c>
      <c r="AC23" s="18" t="str">
        <f t="shared" ca="1" si="5"/>
        <v/>
      </c>
      <c r="AD23" s="18" t="str" cm="1">
        <f t="array" aca="1" ref="AD23" ca="1">IF(AC23="","",IF(AC23&lt;&gt;AC22,1,IF(AD22=misLíneas-2,0,AD22+1)))</f>
        <v/>
      </c>
      <c r="AE23" s="18" t="str" cm="1">
        <f t="array" aca="1" ref="AE23" ca="1">IF(OR(AD23=0,AD23=""),"",INDEX(misCriticidades,AC23)&amp;"-"&amp;IFERROR(MATCH(AD23,miOrdenTarjeta,0),0))</f>
        <v/>
      </c>
      <c r="AF23" s="17" t="str">
        <f ca="1"/>
        <v/>
      </c>
      <c r="AG23" s="18">
        <f t="shared" ca="1" si="16"/>
        <v>1</v>
      </c>
      <c r="AH23" s="18" t="str">
        <f t="shared" ca="1" si="6"/>
        <v/>
      </c>
      <c r="AI23" s="18" t="str" cm="1">
        <f t="array" aca="1" ref="AI23" ca="1">IF(AH23="","",IF(AH23&lt;&gt;AH22,1,IF(AI22=misLíneas-2,0,AI22+1)))</f>
        <v/>
      </c>
      <c r="AJ23" s="18" t="str" cm="1">
        <f t="array" aca="1" ref="AJ23" ca="1">IF(OR(AI23=0,AI23=""),"",INDEX(misCriticidades,AH23)&amp;"-"&amp;IFERROR(MATCH(AI23,miOrdenTarjeta,0),0))</f>
        <v/>
      </c>
      <c r="AK23" s="17" t="str">
        <f ca="1"/>
        <v/>
      </c>
      <c r="AL23" s="18">
        <f t="shared" ca="1" si="17"/>
        <v>1</v>
      </c>
      <c r="AM23" s="18" t="str">
        <f t="shared" ca="1" si="7"/>
        <v/>
      </c>
      <c r="AN23" s="18" t="str" cm="1">
        <f t="array" aca="1" ref="AN23" ca="1">IF(AM23="","",IF(AM23&lt;&gt;AM22,1,IF(AN22=misLíneas-2,0,AN22+1)))</f>
        <v/>
      </c>
      <c r="AO23" s="18" t="str" cm="1">
        <f t="array" aca="1" ref="AO23" ca="1">IF(OR(AN23=0,AN23=""),"",INDEX(misCriticidades,AM23)&amp;"-"&amp;IFERROR(MATCH(AN23,miOrdenTarjeta,0),0))</f>
        <v/>
      </c>
      <c r="AP23" s="17" t="str">
        <f ca="1"/>
        <v/>
      </c>
      <c r="AQ23" s="18">
        <f t="shared" ca="1" si="18"/>
        <v>1</v>
      </c>
      <c r="AR23" s="18" t="str">
        <f t="shared" ca="1" si="8"/>
        <v/>
      </c>
      <c r="AS23" s="18" t="str" cm="1">
        <f t="array" aca="1" ref="AS23" ca="1">IF(AR23="","",IF(AR23&lt;&gt;AR22,1,IF(AS22=misLíneas-2,0,AS22+1)))</f>
        <v/>
      </c>
      <c r="AT23" s="18" t="str" cm="1">
        <f t="array" aca="1" ref="AT23" ca="1">IF(OR(AS23=0,AS23=""),"",INDEX(misCriticidades,AR23)&amp;"-"&amp;IFERROR(MATCH(AS23,miOrdenTarjeta,0),0))</f>
        <v/>
      </c>
      <c r="AU23" s="17" t="str">
        <f ca="1"/>
        <v/>
      </c>
      <c r="AV23" s="18">
        <f t="shared" ca="1" si="19"/>
        <v>1</v>
      </c>
      <c r="AW23" s="18" t="str">
        <f t="shared" ca="1" si="9"/>
        <v/>
      </c>
      <c r="AX23" s="18" t="str" cm="1">
        <f t="array" aca="1" ref="AX23" ca="1">IF(AW23="","",IF(AW23&lt;&gt;AW22,1,IF(AX22=misLíneas-2,0,AX22+1)))</f>
        <v/>
      </c>
      <c r="AY23" s="18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7" t="str">
        <f ca="1"/>
        <v/>
      </c>
      <c r="C24" s="18">
        <f t="shared" ca="1" si="20"/>
        <v>1</v>
      </c>
      <c r="D24" s="18" t="str">
        <f t="shared" ca="1" si="0"/>
        <v/>
      </c>
      <c r="E24" s="18" t="str" cm="1">
        <f t="array" aca="1" ref="E24" ca="1">IF(D24="","",IF(D24&lt;&gt;D23,1,IF(E23=misLíneas-2,0,E23+1)))</f>
        <v/>
      </c>
      <c r="F24" s="18" t="str" cm="1">
        <f t="array" aca="1" ref="F24" ca="1">IF(OR(E24=0,E24=""),"",INDEX(misCriticidades,D24)&amp;"-"&amp;IFERROR(MATCH(E24,miOrdenTarjeta,0),0))</f>
        <v/>
      </c>
      <c r="G24" s="17" t="str">
        <f ca="1"/>
        <v/>
      </c>
      <c r="H24" s="18">
        <f t="shared" ca="1" si="11"/>
        <v>1</v>
      </c>
      <c r="I24" s="18" t="str">
        <f t="shared" ca="1" si="1"/>
        <v/>
      </c>
      <c r="J24" s="18" t="str" cm="1">
        <f t="array" aca="1" ref="J24" ca="1">IF(I24="","",IF(I24&lt;&gt;I23,1,IF(J23=misLíneas-2,0,J23+1)))</f>
        <v/>
      </c>
      <c r="K24" s="18" t="str" cm="1">
        <f t="array" aca="1" ref="K24" ca="1">IF(OR(J24=0,J24=""),"",INDEX(misCriticidades,I24)&amp;"-"&amp;IFERROR(MATCH(J24,miOrdenTarjeta,0),0))</f>
        <v/>
      </c>
      <c r="L24" s="17" t="str">
        <f ca="1"/>
        <v/>
      </c>
      <c r="M24" s="18">
        <f t="shared" ca="1" si="12"/>
        <v>1</v>
      </c>
      <c r="N24" s="18" t="str">
        <f t="shared" ca="1" si="2"/>
        <v/>
      </c>
      <c r="O24" s="18" t="str" cm="1">
        <f t="array" aca="1" ref="O24" ca="1">IF(N24="","",IF(N24&lt;&gt;N23,1,IF(O23=misLíneas-2,0,O23+1)))</f>
        <v/>
      </c>
      <c r="P24" s="18" t="str" cm="1">
        <f t="array" aca="1" ref="P24" ca="1">IF(OR(O24=0,O24=""),"",INDEX(misCriticidades,N24)&amp;"-"&amp;IFERROR(MATCH(O24,miOrdenTarjeta,0),0))</f>
        <v/>
      </c>
      <c r="Q24" s="17">
        <f ca="1"/>
        <v>23</v>
      </c>
      <c r="R24" s="18">
        <f t="shared" ca="1" si="13"/>
        <v>3</v>
      </c>
      <c r="S24" s="18">
        <f t="shared" ca="1" si="3"/>
        <v>28</v>
      </c>
      <c r="T24" s="18" cm="1">
        <f t="array" aca="1" ref="T24" ca="1">IF(S24="","",IF(S24&lt;&gt;S23,1,IF(T23=misLíneas-2,0,T23+1)))</f>
        <v>4</v>
      </c>
      <c r="U24" s="18" t="str" cm="1">
        <f t="array" aca="1" ref="U24" ca="1">IF(OR(T24=0,T24=""),"",INDEX(misCriticidades,S24)&amp;"-"&amp;IFERROR(MATCH(T24,miOrdenTarjeta,0),0))</f>
        <v>3-4</v>
      </c>
      <c r="V24" s="17" t="str">
        <f ca="1"/>
        <v/>
      </c>
      <c r="W24" s="18">
        <f t="shared" ca="1" si="14"/>
        <v>1</v>
      </c>
      <c r="X24" s="18" t="str">
        <f t="shared" ca="1" si="4"/>
        <v/>
      </c>
      <c r="Y24" s="18" t="str" cm="1">
        <f t="array" aca="1" ref="Y24" ca="1">IF(X24="","",IF(X24&lt;&gt;X23,1,IF(Y23=misLíneas-2,0,Y23+1)))</f>
        <v/>
      </c>
      <c r="Z24" s="18" t="str" cm="1">
        <f t="array" aca="1" ref="Z24" ca="1">IF(OR(Y24=0,Y24=""),"",INDEX(misCriticidades,X24)&amp;"-"&amp;IFERROR(MATCH(Y24,miOrdenTarjeta,0),0))</f>
        <v/>
      </c>
      <c r="AA24" s="17" t="str">
        <f ca="1"/>
        <v/>
      </c>
      <c r="AB24" s="18">
        <f t="shared" ca="1" si="15"/>
        <v>1</v>
      </c>
      <c r="AC24" s="18" t="str">
        <f t="shared" ca="1" si="5"/>
        <v/>
      </c>
      <c r="AD24" s="18" t="str" cm="1">
        <f t="array" aca="1" ref="AD24" ca="1">IF(AC24="","",IF(AC24&lt;&gt;AC23,1,IF(AD23=misLíneas-2,0,AD23+1)))</f>
        <v/>
      </c>
      <c r="AE24" s="18" t="str" cm="1">
        <f t="array" aca="1" ref="AE24" ca="1">IF(OR(AD24=0,AD24=""),"",INDEX(misCriticidades,AC24)&amp;"-"&amp;IFERROR(MATCH(AD24,miOrdenTarjeta,0),0))</f>
        <v/>
      </c>
      <c r="AF24" s="17" t="str">
        <f ca="1"/>
        <v/>
      </c>
      <c r="AG24" s="18">
        <f t="shared" ca="1" si="16"/>
        <v>1</v>
      </c>
      <c r="AH24" s="18" t="str">
        <f t="shared" ca="1" si="6"/>
        <v/>
      </c>
      <c r="AI24" s="18" t="str" cm="1">
        <f t="array" aca="1" ref="AI24" ca="1">IF(AH24="","",IF(AH24&lt;&gt;AH23,1,IF(AI23=misLíneas-2,0,AI23+1)))</f>
        <v/>
      </c>
      <c r="AJ24" s="18" t="str" cm="1">
        <f t="array" aca="1" ref="AJ24" ca="1">IF(OR(AI24=0,AI24=""),"",INDEX(misCriticidades,AH24)&amp;"-"&amp;IFERROR(MATCH(AI24,miOrdenTarjeta,0),0))</f>
        <v/>
      </c>
      <c r="AK24" s="17" t="str">
        <f ca="1"/>
        <v/>
      </c>
      <c r="AL24" s="18">
        <f t="shared" ca="1" si="17"/>
        <v>1</v>
      </c>
      <c r="AM24" s="18" t="str">
        <f t="shared" ca="1" si="7"/>
        <v/>
      </c>
      <c r="AN24" s="18" t="str" cm="1">
        <f t="array" aca="1" ref="AN24" ca="1">IF(AM24="","",IF(AM24&lt;&gt;AM23,1,IF(AN23=misLíneas-2,0,AN23+1)))</f>
        <v/>
      </c>
      <c r="AO24" s="18" t="str" cm="1">
        <f t="array" aca="1" ref="AO24" ca="1">IF(OR(AN24=0,AN24=""),"",INDEX(misCriticidades,AM24)&amp;"-"&amp;IFERROR(MATCH(AN24,miOrdenTarjeta,0),0))</f>
        <v/>
      </c>
      <c r="AP24" s="17" t="str">
        <f ca="1"/>
        <v/>
      </c>
      <c r="AQ24" s="18">
        <f t="shared" ca="1" si="18"/>
        <v>1</v>
      </c>
      <c r="AR24" s="18" t="str">
        <f t="shared" ca="1" si="8"/>
        <v/>
      </c>
      <c r="AS24" s="18" t="str" cm="1">
        <f t="array" aca="1" ref="AS24" ca="1">IF(AR24="","",IF(AR24&lt;&gt;AR23,1,IF(AS23=misLíneas-2,0,AS23+1)))</f>
        <v/>
      </c>
      <c r="AT24" s="18" t="str" cm="1">
        <f t="array" aca="1" ref="AT24" ca="1">IF(OR(AS24=0,AS24=""),"",INDEX(misCriticidades,AR24)&amp;"-"&amp;IFERROR(MATCH(AS24,miOrdenTarjeta,0),0))</f>
        <v/>
      </c>
      <c r="AU24" s="17" t="str">
        <f ca="1"/>
        <v/>
      </c>
      <c r="AV24" s="18">
        <f t="shared" ca="1" si="19"/>
        <v>1</v>
      </c>
      <c r="AW24" s="18" t="str">
        <f t="shared" ca="1" si="9"/>
        <v/>
      </c>
      <c r="AX24" s="18" t="str" cm="1">
        <f t="array" aca="1" ref="AX24" ca="1">IF(AW24="","",IF(AW24&lt;&gt;AW23,1,IF(AX23=misLíneas-2,0,AX23+1)))</f>
        <v/>
      </c>
      <c r="AY24" s="18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7" t="str">
        <f ca="1"/>
        <v/>
      </c>
      <c r="C25" s="18">
        <f t="shared" ca="1" si="20"/>
        <v>1</v>
      </c>
      <c r="D25" s="18" t="str">
        <f t="shared" ca="1" si="0"/>
        <v/>
      </c>
      <c r="E25" s="18" t="str" cm="1">
        <f t="array" aca="1" ref="E25" ca="1">IF(D25="","",IF(D25&lt;&gt;D24,1,IF(E24=misLíneas-2,0,E24+1)))</f>
        <v/>
      </c>
      <c r="F25" s="18" t="str" cm="1">
        <f t="array" aca="1" ref="F25" ca="1">IF(OR(E25=0,E25=""),"",INDEX(misCriticidades,D25)&amp;"-"&amp;IFERROR(MATCH(E25,miOrdenTarjeta,0),0))</f>
        <v/>
      </c>
      <c r="G25" s="17" t="str">
        <f ca="1"/>
        <v/>
      </c>
      <c r="H25" s="18">
        <f t="shared" ca="1" si="11"/>
        <v>1</v>
      </c>
      <c r="I25" s="18" t="str">
        <f t="shared" ca="1" si="1"/>
        <v/>
      </c>
      <c r="J25" s="18" t="str" cm="1">
        <f t="array" aca="1" ref="J25" ca="1">IF(I25="","",IF(I25&lt;&gt;I24,1,IF(J24=misLíneas-2,0,J24+1)))</f>
        <v/>
      </c>
      <c r="K25" s="18" t="str" cm="1">
        <f t="array" aca="1" ref="K25" ca="1">IF(OR(J25=0,J25=""),"",INDEX(misCriticidades,I25)&amp;"-"&amp;IFERROR(MATCH(J25,miOrdenTarjeta,0),0))</f>
        <v/>
      </c>
      <c r="L25" s="17" t="str">
        <f ca="1"/>
        <v/>
      </c>
      <c r="M25" s="18">
        <f t="shared" ca="1" si="12"/>
        <v>1</v>
      </c>
      <c r="N25" s="18" t="str">
        <f t="shared" ca="1" si="2"/>
        <v/>
      </c>
      <c r="O25" s="18" t="str" cm="1">
        <f t="array" aca="1" ref="O25" ca="1">IF(N25="","",IF(N25&lt;&gt;N24,1,IF(O24=misLíneas-2,0,O24+1)))</f>
        <v/>
      </c>
      <c r="P25" s="18" t="str" cm="1">
        <f t="array" aca="1" ref="P25" ca="1">IF(OR(O25=0,O25=""),"",INDEX(misCriticidades,N25)&amp;"-"&amp;IFERROR(MATCH(O25,miOrdenTarjeta,0),0))</f>
        <v/>
      </c>
      <c r="Q25" s="17">
        <f ca="1"/>
        <v>24</v>
      </c>
      <c r="R25" s="18">
        <f t="shared" ca="1" si="13"/>
        <v>3</v>
      </c>
      <c r="S25" s="18">
        <f t="shared" ca="1" si="3"/>
        <v>28</v>
      </c>
      <c r="T25" s="18" cm="1">
        <f t="array" aca="1" ref="T25" ca="1">IF(S25="","",IF(S25&lt;&gt;S24,1,IF(T24=misLíneas-2,0,T24+1)))</f>
        <v>5</v>
      </c>
      <c r="U25" s="18" t="str" cm="1">
        <f t="array" aca="1" ref="U25" ca="1">IF(OR(T25=0,T25=""),"",INDEX(misCriticidades,S25)&amp;"-"&amp;IFERROR(MATCH(T25,miOrdenTarjeta,0),0))</f>
        <v>3-5</v>
      </c>
      <c r="V25" s="17" t="str">
        <f ca="1"/>
        <v/>
      </c>
      <c r="W25" s="18">
        <f t="shared" ca="1" si="14"/>
        <v>1</v>
      </c>
      <c r="X25" s="18" t="str">
        <f t="shared" ca="1" si="4"/>
        <v/>
      </c>
      <c r="Y25" s="18" t="str" cm="1">
        <f t="array" aca="1" ref="Y25" ca="1">IF(X25="","",IF(X25&lt;&gt;X24,1,IF(Y24=misLíneas-2,0,Y24+1)))</f>
        <v/>
      </c>
      <c r="Z25" s="18" t="str" cm="1">
        <f t="array" aca="1" ref="Z25" ca="1">IF(OR(Y25=0,Y25=""),"",INDEX(misCriticidades,X25)&amp;"-"&amp;IFERROR(MATCH(Y25,miOrdenTarjeta,0),0))</f>
        <v/>
      </c>
      <c r="AA25" s="17" t="str">
        <f ca="1"/>
        <v/>
      </c>
      <c r="AB25" s="18">
        <f t="shared" ca="1" si="15"/>
        <v>1</v>
      </c>
      <c r="AC25" s="18" t="str">
        <f t="shared" ca="1" si="5"/>
        <v/>
      </c>
      <c r="AD25" s="18" t="str" cm="1">
        <f t="array" aca="1" ref="AD25" ca="1">IF(AC25="","",IF(AC25&lt;&gt;AC24,1,IF(AD24=misLíneas-2,0,AD24+1)))</f>
        <v/>
      </c>
      <c r="AE25" s="18" t="str" cm="1">
        <f t="array" aca="1" ref="AE25" ca="1">IF(OR(AD25=0,AD25=""),"",INDEX(misCriticidades,AC25)&amp;"-"&amp;IFERROR(MATCH(AD25,miOrdenTarjeta,0),0))</f>
        <v/>
      </c>
      <c r="AF25" s="17" t="str">
        <f ca="1"/>
        <v/>
      </c>
      <c r="AG25" s="18">
        <f t="shared" ca="1" si="16"/>
        <v>1</v>
      </c>
      <c r="AH25" s="18" t="str">
        <f t="shared" ca="1" si="6"/>
        <v/>
      </c>
      <c r="AI25" s="18" t="str" cm="1">
        <f t="array" aca="1" ref="AI25" ca="1">IF(AH25="","",IF(AH25&lt;&gt;AH24,1,IF(AI24=misLíneas-2,0,AI24+1)))</f>
        <v/>
      </c>
      <c r="AJ25" s="18" t="str" cm="1">
        <f t="array" aca="1" ref="AJ25" ca="1">IF(OR(AI25=0,AI25=""),"",INDEX(misCriticidades,AH25)&amp;"-"&amp;IFERROR(MATCH(AI25,miOrdenTarjeta,0),0))</f>
        <v/>
      </c>
      <c r="AK25" s="17" t="str">
        <f ca="1"/>
        <v/>
      </c>
      <c r="AL25" s="18">
        <f t="shared" ca="1" si="17"/>
        <v>1</v>
      </c>
      <c r="AM25" s="18" t="str">
        <f t="shared" ca="1" si="7"/>
        <v/>
      </c>
      <c r="AN25" s="18" t="str" cm="1">
        <f t="array" aca="1" ref="AN25" ca="1">IF(AM25="","",IF(AM25&lt;&gt;AM24,1,IF(AN24=misLíneas-2,0,AN24+1)))</f>
        <v/>
      </c>
      <c r="AO25" s="18" t="str" cm="1">
        <f t="array" aca="1" ref="AO25" ca="1">IF(OR(AN25=0,AN25=""),"",INDEX(misCriticidades,AM25)&amp;"-"&amp;IFERROR(MATCH(AN25,miOrdenTarjeta,0),0))</f>
        <v/>
      </c>
      <c r="AP25" s="17" t="str">
        <f ca="1"/>
        <v/>
      </c>
      <c r="AQ25" s="18">
        <f t="shared" ca="1" si="18"/>
        <v>1</v>
      </c>
      <c r="AR25" s="18" t="str">
        <f t="shared" ca="1" si="8"/>
        <v/>
      </c>
      <c r="AS25" s="18" t="str" cm="1">
        <f t="array" aca="1" ref="AS25" ca="1">IF(AR25="","",IF(AR25&lt;&gt;AR24,1,IF(AS24=misLíneas-2,0,AS24+1)))</f>
        <v/>
      </c>
      <c r="AT25" s="18" t="str" cm="1">
        <f t="array" aca="1" ref="AT25" ca="1">IF(OR(AS25=0,AS25=""),"",INDEX(misCriticidades,AR25)&amp;"-"&amp;IFERROR(MATCH(AS25,miOrdenTarjeta,0),0))</f>
        <v/>
      </c>
      <c r="AU25" s="17" t="str">
        <f ca="1"/>
        <v/>
      </c>
      <c r="AV25" s="18">
        <f t="shared" ca="1" si="19"/>
        <v>1</v>
      </c>
      <c r="AW25" s="18" t="str">
        <f t="shared" ca="1" si="9"/>
        <v/>
      </c>
      <c r="AX25" s="18" t="str" cm="1">
        <f t="array" aca="1" ref="AX25" ca="1">IF(AW25="","",IF(AW25&lt;&gt;AW24,1,IF(AX24=misLíneas-2,0,AX24+1)))</f>
        <v/>
      </c>
      <c r="AY25" s="18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7" t="str">
        <f ca="1"/>
        <v/>
      </c>
      <c r="C26" s="18">
        <f t="shared" ca="1" si="20"/>
        <v>1</v>
      </c>
      <c r="D26" s="18" t="str">
        <f t="shared" ca="1" si="0"/>
        <v/>
      </c>
      <c r="E26" s="18" t="str" cm="1">
        <f t="array" aca="1" ref="E26" ca="1">IF(D26="","",IF(D26&lt;&gt;D25,1,IF(E25=misLíneas-2,0,E25+1)))</f>
        <v/>
      </c>
      <c r="F26" s="18" t="str" cm="1">
        <f t="array" aca="1" ref="F26" ca="1">IF(OR(E26=0,E26=""),"",INDEX(misCriticidades,D26)&amp;"-"&amp;IFERROR(MATCH(E26,miOrdenTarjeta,0),0))</f>
        <v/>
      </c>
      <c r="G26" s="17" t="str">
        <f ca="1"/>
        <v/>
      </c>
      <c r="H26" s="18">
        <f t="shared" ca="1" si="11"/>
        <v>1</v>
      </c>
      <c r="I26" s="18" t="str">
        <f t="shared" ca="1" si="1"/>
        <v/>
      </c>
      <c r="J26" s="18" t="str" cm="1">
        <f t="array" aca="1" ref="J26" ca="1">IF(I26="","",IF(I26&lt;&gt;I25,1,IF(J25=misLíneas-2,0,J25+1)))</f>
        <v/>
      </c>
      <c r="K26" s="18" t="str" cm="1">
        <f t="array" aca="1" ref="K26" ca="1">IF(OR(J26=0,J26=""),"",INDEX(misCriticidades,I26)&amp;"-"&amp;IFERROR(MATCH(J26,miOrdenTarjeta,0),0))</f>
        <v/>
      </c>
      <c r="L26" s="17" t="str">
        <f ca="1"/>
        <v/>
      </c>
      <c r="M26" s="18">
        <f t="shared" ca="1" si="12"/>
        <v>1</v>
      </c>
      <c r="N26" s="18" t="str">
        <f t="shared" ca="1" si="2"/>
        <v/>
      </c>
      <c r="O26" s="18" t="str" cm="1">
        <f t="array" aca="1" ref="O26" ca="1">IF(N26="","",IF(N26&lt;&gt;N25,1,IF(O25=misLíneas-2,0,O25+1)))</f>
        <v/>
      </c>
      <c r="P26" s="18" t="str" cm="1">
        <f t="array" aca="1" ref="P26" ca="1">IF(OR(O26=0,O26=""),"",INDEX(misCriticidades,N26)&amp;"-"&amp;IFERROR(MATCH(O26,miOrdenTarjeta,0),0))</f>
        <v/>
      </c>
      <c r="Q26" s="17">
        <f ca="1"/>
        <v>25</v>
      </c>
      <c r="R26" s="18">
        <f t="shared" ca="1" si="13"/>
        <v>3</v>
      </c>
      <c r="S26" s="18">
        <f t="shared" ca="1" si="3"/>
        <v>28</v>
      </c>
      <c r="T26" s="18" cm="1">
        <f t="array" aca="1" ref="T26" ca="1">IF(S26="","",IF(S26&lt;&gt;S25,1,IF(T25=misLíneas-2,0,T25+1)))</f>
        <v>6</v>
      </c>
      <c r="U26" s="18" t="str" cm="1">
        <f t="array" aca="1" ref="U26" ca="1">IF(OR(T26=0,T26=""),"",INDEX(misCriticidades,S26)&amp;"-"&amp;IFERROR(MATCH(T26,miOrdenTarjeta,0),0))</f>
        <v>3-6</v>
      </c>
      <c r="V26" s="17" t="str">
        <f ca="1"/>
        <v/>
      </c>
      <c r="W26" s="18">
        <f t="shared" ca="1" si="14"/>
        <v>1</v>
      </c>
      <c r="X26" s="18" t="str">
        <f t="shared" ca="1" si="4"/>
        <v/>
      </c>
      <c r="Y26" s="18" t="str" cm="1">
        <f t="array" aca="1" ref="Y26" ca="1">IF(X26="","",IF(X26&lt;&gt;X25,1,IF(Y25=misLíneas-2,0,Y25+1)))</f>
        <v/>
      </c>
      <c r="Z26" s="18" t="str" cm="1">
        <f t="array" aca="1" ref="Z26" ca="1">IF(OR(Y26=0,Y26=""),"",INDEX(misCriticidades,X26)&amp;"-"&amp;IFERROR(MATCH(Y26,miOrdenTarjeta,0),0))</f>
        <v/>
      </c>
      <c r="AA26" s="17" t="str">
        <f ca="1"/>
        <v/>
      </c>
      <c r="AB26" s="18">
        <f t="shared" ca="1" si="15"/>
        <v>1</v>
      </c>
      <c r="AC26" s="18" t="str">
        <f t="shared" ca="1" si="5"/>
        <v/>
      </c>
      <c r="AD26" s="18" t="str" cm="1">
        <f t="array" aca="1" ref="AD26" ca="1">IF(AC26="","",IF(AC26&lt;&gt;AC25,1,IF(AD25=misLíneas-2,0,AD25+1)))</f>
        <v/>
      </c>
      <c r="AE26" s="18" t="str" cm="1">
        <f t="array" aca="1" ref="AE26" ca="1">IF(OR(AD26=0,AD26=""),"",INDEX(misCriticidades,AC26)&amp;"-"&amp;IFERROR(MATCH(AD26,miOrdenTarjeta,0),0))</f>
        <v/>
      </c>
      <c r="AF26" s="17" t="str">
        <f ca="1"/>
        <v/>
      </c>
      <c r="AG26" s="18">
        <f t="shared" ca="1" si="16"/>
        <v>1</v>
      </c>
      <c r="AH26" s="18" t="str">
        <f t="shared" ca="1" si="6"/>
        <v/>
      </c>
      <c r="AI26" s="18" t="str" cm="1">
        <f t="array" aca="1" ref="AI26" ca="1">IF(AH26="","",IF(AH26&lt;&gt;AH25,1,IF(AI25=misLíneas-2,0,AI25+1)))</f>
        <v/>
      </c>
      <c r="AJ26" s="18" t="str" cm="1">
        <f t="array" aca="1" ref="AJ26" ca="1">IF(OR(AI26=0,AI26=""),"",INDEX(misCriticidades,AH26)&amp;"-"&amp;IFERROR(MATCH(AI26,miOrdenTarjeta,0),0))</f>
        <v/>
      </c>
      <c r="AK26" s="17" t="str">
        <f ca="1"/>
        <v/>
      </c>
      <c r="AL26" s="18">
        <f t="shared" ca="1" si="17"/>
        <v>1</v>
      </c>
      <c r="AM26" s="18" t="str">
        <f t="shared" ca="1" si="7"/>
        <v/>
      </c>
      <c r="AN26" s="18" t="str" cm="1">
        <f t="array" aca="1" ref="AN26" ca="1">IF(AM26="","",IF(AM26&lt;&gt;AM25,1,IF(AN25=misLíneas-2,0,AN25+1)))</f>
        <v/>
      </c>
      <c r="AO26" s="18" t="str" cm="1">
        <f t="array" aca="1" ref="AO26" ca="1">IF(OR(AN26=0,AN26=""),"",INDEX(misCriticidades,AM26)&amp;"-"&amp;IFERROR(MATCH(AN26,miOrdenTarjeta,0),0))</f>
        <v/>
      </c>
      <c r="AP26" s="17" t="str">
        <f ca="1"/>
        <v/>
      </c>
      <c r="AQ26" s="18">
        <f t="shared" ca="1" si="18"/>
        <v>1</v>
      </c>
      <c r="AR26" s="18" t="str">
        <f t="shared" ca="1" si="8"/>
        <v/>
      </c>
      <c r="AS26" s="18" t="str" cm="1">
        <f t="array" aca="1" ref="AS26" ca="1">IF(AR26="","",IF(AR26&lt;&gt;AR25,1,IF(AS25=misLíneas-2,0,AS25+1)))</f>
        <v/>
      </c>
      <c r="AT26" s="18" t="str" cm="1">
        <f t="array" aca="1" ref="AT26" ca="1">IF(OR(AS26=0,AS26=""),"",INDEX(misCriticidades,AR26)&amp;"-"&amp;IFERROR(MATCH(AS26,miOrdenTarjeta,0),0))</f>
        <v/>
      </c>
      <c r="AU26" s="17" t="str">
        <f ca="1"/>
        <v/>
      </c>
      <c r="AV26" s="18">
        <f t="shared" ca="1" si="19"/>
        <v>1</v>
      </c>
      <c r="AW26" s="18" t="str">
        <f t="shared" ca="1" si="9"/>
        <v/>
      </c>
      <c r="AX26" s="18" t="str" cm="1">
        <f t="array" aca="1" ref="AX26" ca="1">IF(AW26="","",IF(AW26&lt;&gt;AW25,1,IF(AX25=misLíneas-2,0,AX25+1)))</f>
        <v/>
      </c>
      <c r="AY26" s="18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7" t="str">
        <f ca="1"/>
        <v/>
      </c>
      <c r="C27" s="18">
        <f t="shared" ca="1" si="20"/>
        <v>1</v>
      </c>
      <c r="D27" s="18" t="str">
        <f t="shared" ca="1" si="0"/>
        <v/>
      </c>
      <c r="E27" s="18" t="str" cm="1">
        <f t="array" aca="1" ref="E27" ca="1">IF(D27="","",IF(D27&lt;&gt;D26,1,IF(E26=misLíneas-2,0,E26+1)))</f>
        <v/>
      </c>
      <c r="F27" s="18" t="str" cm="1">
        <f t="array" aca="1" ref="F27" ca="1">IF(OR(E27=0,E27=""),"",INDEX(misCriticidades,D27)&amp;"-"&amp;IFERROR(MATCH(E27,miOrdenTarjeta,0),0))</f>
        <v/>
      </c>
      <c r="G27" s="17" t="str">
        <f ca="1"/>
        <v/>
      </c>
      <c r="H27" s="18">
        <f t="shared" ca="1" si="11"/>
        <v>1</v>
      </c>
      <c r="I27" s="18" t="str">
        <f t="shared" ca="1" si="1"/>
        <v/>
      </c>
      <c r="J27" s="18" t="str" cm="1">
        <f t="array" aca="1" ref="J27" ca="1">IF(I27="","",IF(I27&lt;&gt;I26,1,IF(J26=misLíneas-2,0,J26+1)))</f>
        <v/>
      </c>
      <c r="K27" s="18" t="str" cm="1">
        <f t="array" aca="1" ref="K27" ca="1">IF(OR(J27=0,J27=""),"",INDEX(misCriticidades,I27)&amp;"-"&amp;IFERROR(MATCH(J27,miOrdenTarjeta,0),0))</f>
        <v/>
      </c>
      <c r="L27" s="17" t="str">
        <f ca="1"/>
        <v/>
      </c>
      <c r="M27" s="18">
        <f t="shared" ca="1" si="12"/>
        <v>1</v>
      </c>
      <c r="N27" s="18" t="str">
        <f t="shared" ca="1" si="2"/>
        <v/>
      </c>
      <c r="O27" s="18" t="str" cm="1">
        <f t="array" aca="1" ref="O27" ca="1">IF(N27="","",IF(N27&lt;&gt;N26,1,IF(O26=misLíneas-2,0,O26+1)))</f>
        <v/>
      </c>
      <c r="P27" s="18" t="str" cm="1">
        <f t="array" aca="1" ref="P27" ca="1">IF(OR(O27=0,O27=""),"",INDEX(misCriticidades,N27)&amp;"-"&amp;IFERROR(MATCH(O27,miOrdenTarjeta,0),0))</f>
        <v/>
      </c>
      <c r="Q27" s="17">
        <f ca="1"/>
        <v>26</v>
      </c>
      <c r="R27" s="18">
        <f t="shared" ca="1" si="13"/>
        <v>3</v>
      </c>
      <c r="S27" s="18">
        <f t="shared" ca="1" si="3"/>
        <v>28</v>
      </c>
      <c r="T27" s="18" cm="1">
        <f t="array" aca="1" ref="T27" ca="1">IF(S27="","",IF(S27&lt;&gt;S26,1,IF(T26=misLíneas-2,0,T26+1)))</f>
        <v>7</v>
      </c>
      <c r="U27" s="18" t="str" cm="1">
        <f t="array" aca="1" ref="U27" ca="1">IF(OR(T27=0,T27=""),"",INDEX(misCriticidades,S27)&amp;"-"&amp;IFERROR(MATCH(T27,miOrdenTarjeta,0),0))</f>
        <v>3-7</v>
      </c>
      <c r="V27" s="17" t="str">
        <f ca="1"/>
        <v/>
      </c>
      <c r="W27" s="18">
        <f t="shared" ca="1" si="14"/>
        <v>1</v>
      </c>
      <c r="X27" s="18" t="str">
        <f t="shared" ca="1" si="4"/>
        <v/>
      </c>
      <c r="Y27" s="18" t="str" cm="1">
        <f t="array" aca="1" ref="Y27" ca="1">IF(X27="","",IF(X27&lt;&gt;X26,1,IF(Y26=misLíneas-2,0,Y26+1)))</f>
        <v/>
      </c>
      <c r="Z27" s="18" t="str" cm="1">
        <f t="array" aca="1" ref="Z27" ca="1">IF(OR(Y27=0,Y27=""),"",INDEX(misCriticidades,X27)&amp;"-"&amp;IFERROR(MATCH(Y27,miOrdenTarjeta,0),0))</f>
        <v/>
      </c>
      <c r="AA27" s="17" t="str">
        <f ca="1"/>
        <v/>
      </c>
      <c r="AB27" s="18">
        <f t="shared" ca="1" si="15"/>
        <v>1</v>
      </c>
      <c r="AC27" s="18" t="str">
        <f t="shared" ca="1" si="5"/>
        <v/>
      </c>
      <c r="AD27" s="18" t="str" cm="1">
        <f t="array" aca="1" ref="AD27" ca="1">IF(AC27="","",IF(AC27&lt;&gt;AC26,1,IF(AD26=misLíneas-2,0,AD26+1)))</f>
        <v/>
      </c>
      <c r="AE27" s="18" t="str" cm="1">
        <f t="array" aca="1" ref="AE27" ca="1">IF(OR(AD27=0,AD27=""),"",INDEX(misCriticidades,AC27)&amp;"-"&amp;IFERROR(MATCH(AD27,miOrdenTarjeta,0),0))</f>
        <v/>
      </c>
      <c r="AF27" s="17" t="str">
        <f ca="1"/>
        <v/>
      </c>
      <c r="AG27" s="18">
        <f t="shared" ca="1" si="16"/>
        <v>1</v>
      </c>
      <c r="AH27" s="18" t="str">
        <f t="shared" ca="1" si="6"/>
        <v/>
      </c>
      <c r="AI27" s="18" t="str" cm="1">
        <f t="array" aca="1" ref="AI27" ca="1">IF(AH27="","",IF(AH27&lt;&gt;AH26,1,IF(AI26=misLíneas-2,0,AI26+1)))</f>
        <v/>
      </c>
      <c r="AJ27" s="18" t="str" cm="1">
        <f t="array" aca="1" ref="AJ27" ca="1">IF(OR(AI27=0,AI27=""),"",INDEX(misCriticidades,AH27)&amp;"-"&amp;IFERROR(MATCH(AI27,miOrdenTarjeta,0),0))</f>
        <v/>
      </c>
      <c r="AK27" s="17" t="str">
        <f ca="1"/>
        <v/>
      </c>
      <c r="AL27" s="18">
        <f t="shared" ca="1" si="17"/>
        <v>1</v>
      </c>
      <c r="AM27" s="18" t="str">
        <f t="shared" ca="1" si="7"/>
        <v/>
      </c>
      <c r="AN27" s="18" t="str" cm="1">
        <f t="array" aca="1" ref="AN27" ca="1">IF(AM27="","",IF(AM27&lt;&gt;AM26,1,IF(AN26=misLíneas-2,0,AN26+1)))</f>
        <v/>
      </c>
      <c r="AO27" s="18" t="str" cm="1">
        <f t="array" aca="1" ref="AO27" ca="1">IF(OR(AN27=0,AN27=""),"",INDEX(misCriticidades,AM27)&amp;"-"&amp;IFERROR(MATCH(AN27,miOrdenTarjeta,0),0))</f>
        <v/>
      </c>
      <c r="AP27" s="17" t="str">
        <f ca="1"/>
        <v/>
      </c>
      <c r="AQ27" s="18">
        <f t="shared" ca="1" si="18"/>
        <v>1</v>
      </c>
      <c r="AR27" s="18" t="str">
        <f t="shared" ca="1" si="8"/>
        <v/>
      </c>
      <c r="AS27" s="18" t="str" cm="1">
        <f t="array" aca="1" ref="AS27" ca="1">IF(AR27="","",IF(AR27&lt;&gt;AR26,1,IF(AS26=misLíneas-2,0,AS26+1)))</f>
        <v/>
      </c>
      <c r="AT27" s="18" t="str" cm="1">
        <f t="array" aca="1" ref="AT27" ca="1">IF(OR(AS27=0,AS27=""),"",INDEX(misCriticidades,AR27)&amp;"-"&amp;IFERROR(MATCH(AS27,miOrdenTarjeta,0),0))</f>
        <v/>
      </c>
      <c r="AU27" s="17" t="str">
        <f ca="1"/>
        <v/>
      </c>
      <c r="AV27" s="18">
        <f t="shared" ca="1" si="19"/>
        <v>1</v>
      </c>
      <c r="AW27" s="18" t="str">
        <f t="shared" ca="1" si="9"/>
        <v/>
      </c>
      <c r="AX27" s="18" t="str" cm="1">
        <f t="array" aca="1" ref="AX27" ca="1">IF(AW27="","",IF(AW27&lt;&gt;AW26,1,IF(AX26=misLíneas-2,0,AX26+1)))</f>
        <v/>
      </c>
      <c r="AY27" s="18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7" t="str">
        <f ca="1"/>
        <v/>
      </c>
      <c r="C28" s="18">
        <f t="shared" ca="1" si="20"/>
        <v>1</v>
      </c>
      <c r="D28" s="18" t="str">
        <f t="shared" ca="1" si="0"/>
        <v/>
      </c>
      <c r="E28" s="18" t="str" cm="1">
        <f t="array" aca="1" ref="E28" ca="1">IF(D28="","",IF(D28&lt;&gt;D27,1,IF(E27=misLíneas-2,0,E27+1)))</f>
        <v/>
      </c>
      <c r="F28" s="18" t="str" cm="1">
        <f t="array" aca="1" ref="F28" ca="1">IF(OR(E28=0,E28=""),"",INDEX(misCriticidades,D28)&amp;"-"&amp;IFERROR(MATCH(E28,miOrdenTarjeta,0),0))</f>
        <v/>
      </c>
      <c r="G28" s="17" t="str">
        <f ca="1"/>
        <v/>
      </c>
      <c r="H28" s="18">
        <f t="shared" ca="1" si="11"/>
        <v>1</v>
      </c>
      <c r="I28" s="18" t="str">
        <f t="shared" ca="1" si="1"/>
        <v/>
      </c>
      <c r="J28" s="18" t="str" cm="1">
        <f t="array" aca="1" ref="J28" ca="1">IF(I28="","",IF(I28&lt;&gt;I27,1,IF(J27=misLíneas-2,0,J27+1)))</f>
        <v/>
      </c>
      <c r="K28" s="18" t="str" cm="1">
        <f t="array" aca="1" ref="K28" ca="1">IF(OR(J28=0,J28=""),"",INDEX(misCriticidades,I28)&amp;"-"&amp;IFERROR(MATCH(J28,miOrdenTarjeta,0),0))</f>
        <v/>
      </c>
      <c r="L28" s="17" t="str">
        <f ca="1"/>
        <v/>
      </c>
      <c r="M28" s="18">
        <f t="shared" ca="1" si="12"/>
        <v>1</v>
      </c>
      <c r="N28" s="18" t="str">
        <f t="shared" ca="1" si="2"/>
        <v/>
      </c>
      <c r="O28" s="18" t="str" cm="1">
        <f t="array" aca="1" ref="O28" ca="1">IF(N28="","",IF(N28&lt;&gt;N27,1,IF(O27=misLíneas-2,0,O27+1)))</f>
        <v/>
      </c>
      <c r="P28" s="18" t="str" cm="1">
        <f t="array" aca="1" ref="P28" ca="1">IF(OR(O28=0,O28=""),"",INDEX(misCriticidades,N28)&amp;"-"&amp;IFERROR(MATCH(O28,miOrdenTarjeta,0),0))</f>
        <v/>
      </c>
      <c r="Q28" s="17">
        <f ca="1"/>
        <v>27</v>
      </c>
      <c r="R28" s="18">
        <f t="shared" ca="1" si="13"/>
        <v>3</v>
      </c>
      <c r="S28" s="18">
        <f t="shared" ca="1" si="3"/>
        <v>28</v>
      </c>
      <c r="T28" s="18" cm="1">
        <f t="array" aca="1" ref="T28" ca="1">IF(S28="","",IF(S28&lt;&gt;S27,1,IF(T27=misLíneas-2,0,T27+1)))</f>
        <v>8</v>
      </c>
      <c r="U28" s="18" t="str" cm="1">
        <f t="array" aca="1" ref="U28" ca="1">IF(OR(T28=0,T28=""),"",INDEX(misCriticidades,S28)&amp;"-"&amp;IFERROR(MATCH(T28,miOrdenTarjeta,0),0))</f>
        <v>3-8</v>
      </c>
      <c r="V28" s="17" t="str">
        <f ca="1"/>
        <v/>
      </c>
      <c r="W28" s="18">
        <f t="shared" ca="1" si="14"/>
        <v>1</v>
      </c>
      <c r="X28" s="18" t="str">
        <f t="shared" ca="1" si="4"/>
        <v/>
      </c>
      <c r="Y28" s="18" t="str" cm="1">
        <f t="array" aca="1" ref="Y28" ca="1">IF(X28="","",IF(X28&lt;&gt;X27,1,IF(Y27=misLíneas-2,0,Y27+1)))</f>
        <v/>
      </c>
      <c r="Z28" s="18" t="str" cm="1">
        <f t="array" aca="1" ref="Z28" ca="1">IF(OR(Y28=0,Y28=""),"",INDEX(misCriticidades,X28)&amp;"-"&amp;IFERROR(MATCH(Y28,miOrdenTarjeta,0),0))</f>
        <v/>
      </c>
      <c r="AA28" s="17" t="str">
        <f ca="1"/>
        <v/>
      </c>
      <c r="AB28" s="18">
        <f t="shared" ca="1" si="15"/>
        <v>1</v>
      </c>
      <c r="AC28" s="18" t="str">
        <f t="shared" ca="1" si="5"/>
        <v/>
      </c>
      <c r="AD28" s="18" t="str" cm="1">
        <f t="array" aca="1" ref="AD28" ca="1">IF(AC28="","",IF(AC28&lt;&gt;AC27,1,IF(AD27=misLíneas-2,0,AD27+1)))</f>
        <v/>
      </c>
      <c r="AE28" s="18" t="str" cm="1">
        <f t="array" aca="1" ref="AE28" ca="1">IF(OR(AD28=0,AD28=""),"",INDEX(misCriticidades,AC28)&amp;"-"&amp;IFERROR(MATCH(AD28,miOrdenTarjeta,0),0))</f>
        <v/>
      </c>
      <c r="AF28" s="17" t="str">
        <f ca="1"/>
        <v/>
      </c>
      <c r="AG28" s="18">
        <f t="shared" ca="1" si="16"/>
        <v>1</v>
      </c>
      <c r="AH28" s="18" t="str">
        <f t="shared" ca="1" si="6"/>
        <v/>
      </c>
      <c r="AI28" s="18" t="str" cm="1">
        <f t="array" aca="1" ref="AI28" ca="1">IF(AH28="","",IF(AH28&lt;&gt;AH27,1,IF(AI27=misLíneas-2,0,AI27+1)))</f>
        <v/>
      </c>
      <c r="AJ28" s="18" t="str" cm="1">
        <f t="array" aca="1" ref="AJ28" ca="1">IF(OR(AI28=0,AI28=""),"",INDEX(misCriticidades,AH28)&amp;"-"&amp;IFERROR(MATCH(AI28,miOrdenTarjeta,0),0))</f>
        <v/>
      </c>
      <c r="AK28" s="17" t="str">
        <f ca="1"/>
        <v/>
      </c>
      <c r="AL28" s="18">
        <f t="shared" ca="1" si="17"/>
        <v>1</v>
      </c>
      <c r="AM28" s="18" t="str">
        <f t="shared" ca="1" si="7"/>
        <v/>
      </c>
      <c r="AN28" s="18" t="str" cm="1">
        <f t="array" aca="1" ref="AN28" ca="1">IF(AM28="","",IF(AM28&lt;&gt;AM27,1,IF(AN27=misLíneas-2,0,AN27+1)))</f>
        <v/>
      </c>
      <c r="AO28" s="18" t="str" cm="1">
        <f t="array" aca="1" ref="AO28" ca="1">IF(OR(AN28=0,AN28=""),"",INDEX(misCriticidades,AM28)&amp;"-"&amp;IFERROR(MATCH(AN28,miOrdenTarjeta,0),0))</f>
        <v/>
      </c>
      <c r="AP28" s="17" t="str">
        <f ca="1"/>
        <v/>
      </c>
      <c r="AQ28" s="18">
        <f t="shared" ca="1" si="18"/>
        <v>1</v>
      </c>
      <c r="AR28" s="18" t="str">
        <f t="shared" ca="1" si="8"/>
        <v/>
      </c>
      <c r="AS28" s="18" t="str" cm="1">
        <f t="array" aca="1" ref="AS28" ca="1">IF(AR28="","",IF(AR28&lt;&gt;AR27,1,IF(AS27=misLíneas-2,0,AS27+1)))</f>
        <v/>
      </c>
      <c r="AT28" s="18" t="str" cm="1">
        <f t="array" aca="1" ref="AT28" ca="1">IF(OR(AS28=0,AS28=""),"",INDEX(misCriticidades,AR28)&amp;"-"&amp;IFERROR(MATCH(AS28,miOrdenTarjeta,0),0))</f>
        <v/>
      </c>
      <c r="AU28" s="17" t="str">
        <f ca="1"/>
        <v/>
      </c>
      <c r="AV28" s="18">
        <f t="shared" ca="1" si="19"/>
        <v>1</v>
      </c>
      <c r="AW28" s="18" t="str">
        <f t="shared" ca="1" si="9"/>
        <v/>
      </c>
      <c r="AX28" s="18" t="str" cm="1">
        <f t="array" aca="1" ref="AX28" ca="1">IF(AW28="","",IF(AW28&lt;&gt;AW27,1,IF(AX27=misLíneas-2,0,AX27+1)))</f>
        <v/>
      </c>
      <c r="AY28" s="18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7" t="str">
        <f ca="1"/>
        <v/>
      </c>
      <c r="C29" s="18">
        <f t="shared" ca="1" si="20"/>
        <v>1</v>
      </c>
      <c r="D29" s="18" t="str">
        <f t="shared" ca="1" si="0"/>
        <v/>
      </c>
      <c r="E29" s="18" t="str" cm="1">
        <f t="array" aca="1" ref="E29" ca="1">IF(D29="","",IF(D29&lt;&gt;D28,1,IF(E28=misLíneas-2,0,E28+1)))</f>
        <v/>
      </c>
      <c r="F29" s="18" t="str" cm="1">
        <f t="array" aca="1" ref="F29" ca="1">IF(OR(E29=0,E29=""),"",INDEX(misCriticidades,D29)&amp;"-"&amp;IFERROR(MATCH(E29,miOrdenTarjeta,0),0))</f>
        <v/>
      </c>
      <c r="G29" s="17" t="str">
        <f ca="1"/>
        <v/>
      </c>
      <c r="H29" s="18">
        <f t="shared" ca="1" si="11"/>
        <v>1</v>
      </c>
      <c r="I29" s="18" t="str">
        <f t="shared" ca="1" si="1"/>
        <v/>
      </c>
      <c r="J29" s="18" t="str" cm="1">
        <f t="array" aca="1" ref="J29" ca="1">IF(I29="","",IF(I29&lt;&gt;I28,1,IF(J28=misLíneas-2,0,J28+1)))</f>
        <v/>
      </c>
      <c r="K29" s="18" t="str" cm="1">
        <f t="array" aca="1" ref="K29" ca="1">IF(OR(J29=0,J29=""),"",INDEX(misCriticidades,I29)&amp;"-"&amp;IFERROR(MATCH(J29,miOrdenTarjeta,0),0))</f>
        <v/>
      </c>
      <c r="L29" s="17" t="str">
        <f ca="1"/>
        <v/>
      </c>
      <c r="M29" s="18">
        <f t="shared" ca="1" si="12"/>
        <v>1</v>
      </c>
      <c r="N29" s="18" t="str">
        <f t="shared" ca="1" si="2"/>
        <v/>
      </c>
      <c r="O29" s="18" t="str" cm="1">
        <f t="array" aca="1" ref="O29" ca="1">IF(N29="","",IF(N29&lt;&gt;N28,1,IF(O28=misLíneas-2,0,O28+1)))</f>
        <v/>
      </c>
      <c r="P29" s="18" t="str" cm="1">
        <f t="array" aca="1" ref="P29" ca="1">IF(OR(O29=0,O29=""),"",INDEX(misCriticidades,N29)&amp;"-"&amp;IFERROR(MATCH(O29,miOrdenTarjeta,0),0))</f>
        <v/>
      </c>
      <c r="Q29" s="17">
        <f ca="1"/>
        <v>28</v>
      </c>
      <c r="R29" s="18">
        <f t="shared" ca="1" si="13"/>
        <v>3</v>
      </c>
      <c r="S29" s="18">
        <f t="shared" ca="1" si="3"/>
        <v>28</v>
      </c>
      <c r="T29" s="18" cm="1">
        <f t="array" aca="1" ref="T29" ca="1">IF(S29="","",IF(S29&lt;&gt;S28,1,IF(T28=misLíneas-2,0,T28+1)))</f>
        <v>0</v>
      </c>
      <c r="U29" s="18" t="str" cm="1">
        <f t="array" aca="1" ref="U29" ca="1">IF(OR(T29=0,T29=""),"",INDEX(misCriticidades,S29)&amp;"-"&amp;IFERROR(MATCH(T29,miOrdenTarjeta,0),0))</f>
        <v/>
      </c>
      <c r="V29" s="17" t="str">
        <f ca="1"/>
        <v/>
      </c>
      <c r="W29" s="18">
        <f t="shared" ca="1" si="14"/>
        <v>1</v>
      </c>
      <c r="X29" s="18" t="str">
        <f t="shared" ca="1" si="4"/>
        <v/>
      </c>
      <c r="Y29" s="18" t="str" cm="1">
        <f t="array" aca="1" ref="Y29" ca="1">IF(X29="","",IF(X29&lt;&gt;X28,1,IF(Y28=misLíneas-2,0,Y28+1)))</f>
        <v/>
      </c>
      <c r="Z29" s="18" t="str" cm="1">
        <f t="array" aca="1" ref="Z29" ca="1">IF(OR(Y29=0,Y29=""),"",INDEX(misCriticidades,X29)&amp;"-"&amp;IFERROR(MATCH(Y29,miOrdenTarjeta,0),0))</f>
        <v/>
      </c>
      <c r="AA29" s="17" t="str">
        <f ca="1"/>
        <v/>
      </c>
      <c r="AB29" s="18">
        <f t="shared" ca="1" si="15"/>
        <v>1</v>
      </c>
      <c r="AC29" s="18" t="str">
        <f t="shared" ca="1" si="5"/>
        <v/>
      </c>
      <c r="AD29" s="18" t="str" cm="1">
        <f t="array" aca="1" ref="AD29" ca="1">IF(AC29="","",IF(AC29&lt;&gt;AC28,1,IF(AD28=misLíneas-2,0,AD28+1)))</f>
        <v/>
      </c>
      <c r="AE29" s="18" t="str" cm="1">
        <f t="array" aca="1" ref="AE29" ca="1">IF(OR(AD29=0,AD29=""),"",INDEX(misCriticidades,AC29)&amp;"-"&amp;IFERROR(MATCH(AD29,miOrdenTarjeta,0),0))</f>
        <v/>
      </c>
      <c r="AF29" s="17" t="str">
        <f ca="1"/>
        <v/>
      </c>
      <c r="AG29" s="18">
        <f t="shared" ca="1" si="16"/>
        <v>1</v>
      </c>
      <c r="AH29" s="18" t="str">
        <f t="shared" ca="1" si="6"/>
        <v/>
      </c>
      <c r="AI29" s="18" t="str" cm="1">
        <f t="array" aca="1" ref="AI29" ca="1">IF(AH29="","",IF(AH29&lt;&gt;AH28,1,IF(AI28=misLíneas-2,0,AI28+1)))</f>
        <v/>
      </c>
      <c r="AJ29" s="18" t="str" cm="1">
        <f t="array" aca="1" ref="AJ29" ca="1">IF(OR(AI29=0,AI29=""),"",INDEX(misCriticidades,AH29)&amp;"-"&amp;IFERROR(MATCH(AI29,miOrdenTarjeta,0),0))</f>
        <v/>
      </c>
      <c r="AK29" s="17" t="str">
        <f ca="1"/>
        <v/>
      </c>
      <c r="AL29" s="18">
        <f t="shared" ca="1" si="17"/>
        <v>1</v>
      </c>
      <c r="AM29" s="18" t="str">
        <f t="shared" ca="1" si="7"/>
        <v/>
      </c>
      <c r="AN29" s="18" t="str" cm="1">
        <f t="array" aca="1" ref="AN29" ca="1">IF(AM29="","",IF(AM29&lt;&gt;AM28,1,IF(AN28=misLíneas-2,0,AN28+1)))</f>
        <v/>
      </c>
      <c r="AO29" s="18" t="str" cm="1">
        <f t="array" aca="1" ref="AO29" ca="1">IF(OR(AN29=0,AN29=""),"",INDEX(misCriticidades,AM29)&amp;"-"&amp;IFERROR(MATCH(AN29,miOrdenTarjeta,0),0))</f>
        <v/>
      </c>
      <c r="AP29" s="17" t="str">
        <f ca="1"/>
        <v/>
      </c>
      <c r="AQ29" s="18">
        <f t="shared" ca="1" si="18"/>
        <v>1</v>
      </c>
      <c r="AR29" s="18" t="str">
        <f t="shared" ca="1" si="8"/>
        <v/>
      </c>
      <c r="AS29" s="18" t="str" cm="1">
        <f t="array" aca="1" ref="AS29" ca="1">IF(AR29="","",IF(AR29&lt;&gt;AR28,1,IF(AS28=misLíneas-2,0,AS28+1)))</f>
        <v/>
      </c>
      <c r="AT29" s="18" t="str" cm="1">
        <f t="array" aca="1" ref="AT29" ca="1">IF(OR(AS29=0,AS29=""),"",INDEX(misCriticidades,AR29)&amp;"-"&amp;IFERROR(MATCH(AS29,miOrdenTarjeta,0),0))</f>
        <v/>
      </c>
      <c r="AU29" s="17" t="str">
        <f ca="1"/>
        <v/>
      </c>
      <c r="AV29" s="18">
        <f t="shared" ca="1" si="19"/>
        <v>1</v>
      </c>
      <c r="AW29" s="18" t="str">
        <f t="shared" ca="1" si="9"/>
        <v/>
      </c>
      <c r="AX29" s="18" t="str" cm="1">
        <f t="array" aca="1" ref="AX29" ca="1">IF(AW29="","",IF(AW29&lt;&gt;AW28,1,IF(AX28=misLíneas-2,0,AX28+1)))</f>
        <v/>
      </c>
      <c r="AY29" s="18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7" t="str">
        <f ca="1"/>
        <v/>
      </c>
      <c r="C30" s="18">
        <f t="shared" ca="1" si="20"/>
        <v>1</v>
      </c>
      <c r="D30" s="18" t="str">
        <f t="shared" ca="1" si="0"/>
        <v/>
      </c>
      <c r="E30" s="18" t="str" cm="1">
        <f t="array" aca="1" ref="E30" ca="1">IF(D30="","",IF(D30&lt;&gt;D29,1,IF(E29=misLíneas-2,0,E29+1)))</f>
        <v/>
      </c>
      <c r="F30" s="18" t="str" cm="1">
        <f t="array" aca="1" ref="F30" ca="1">IF(OR(E30=0,E30=""),"",INDEX(misCriticidades,D30)&amp;"-"&amp;IFERROR(MATCH(E30,miOrdenTarjeta,0),0))</f>
        <v/>
      </c>
      <c r="G30" s="17" t="str">
        <f ca="1"/>
        <v/>
      </c>
      <c r="H30" s="18">
        <f t="shared" ca="1" si="11"/>
        <v>1</v>
      </c>
      <c r="I30" s="18" t="str">
        <f t="shared" ca="1" si="1"/>
        <v/>
      </c>
      <c r="J30" s="18" t="str" cm="1">
        <f t="array" aca="1" ref="J30" ca="1">IF(I30="","",IF(I30&lt;&gt;I29,1,IF(J29=misLíneas-2,0,J29+1)))</f>
        <v/>
      </c>
      <c r="K30" s="18" t="str" cm="1">
        <f t="array" aca="1" ref="K30" ca="1">IF(OR(J30=0,J30=""),"",INDEX(misCriticidades,I30)&amp;"-"&amp;IFERROR(MATCH(J30,miOrdenTarjeta,0),0))</f>
        <v/>
      </c>
      <c r="L30" s="17" t="str">
        <f ca="1"/>
        <v/>
      </c>
      <c r="M30" s="18">
        <f t="shared" ca="1" si="12"/>
        <v>1</v>
      </c>
      <c r="N30" s="18" t="str">
        <f t="shared" ca="1" si="2"/>
        <v/>
      </c>
      <c r="O30" s="18" t="str" cm="1">
        <f t="array" aca="1" ref="O30" ca="1">IF(N30="","",IF(N30&lt;&gt;N29,1,IF(O29=misLíneas-2,0,O29+1)))</f>
        <v/>
      </c>
      <c r="P30" s="18" t="str" cm="1">
        <f t="array" aca="1" ref="P30" ca="1">IF(OR(O30=0,O30=""),"",INDEX(misCriticidades,N30)&amp;"-"&amp;IFERROR(MATCH(O30,miOrdenTarjeta,0),0))</f>
        <v/>
      </c>
      <c r="Q30" s="17">
        <f ca="1"/>
        <v>29</v>
      </c>
      <c r="R30" s="18">
        <f t="shared" ca="1" si="13"/>
        <v>4</v>
      </c>
      <c r="S30" s="18">
        <f t="shared" ca="1" si="3"/>
        <v>27</v>
      </c>
      <c r="T30" s="18" cm="1">
        <f t="array" aca="1" ref="T30" ca="1">IF(S30="","",IF(S30&lt;&gt;S29,1,IF(T29=misLíneas-2,0,T29+1)))</f>
        <v>1</v>
      </c>
      <c r="U30" s="18" t="str" cm="1">
        <f t="array" aca="1" ref="U30" ca="1">IF(OR(T30=0,T30=""),"",INDEX(misCriticidades,S30)&amp;"-"&amp;IFERROR(MATCH(T30,miOrdenTarjeta,0),0))</f>
        <v>2-1</v>
      </c>
      <c r="V30" s="17" t="str">
        <f ca="1"/>
        <v/>
      </c>
      <c r="W30" s="18">
        <f t="shared" ca="1" si="14"/>
        <v>1</v>
      </c>
      <c r="X30" s="18" t="str">
        <f t="shared" ca="1" si="4"/>
        <v/>
      </c>
      <c r="Y30" s="18" t="str" cm="1">
        <f t="array" aca="1" ref="Y30" ca="1">IF(X30="","",IF(X30&lt;&gt;X29,1,IF(Y29=misLíneas-2,0,Y29+1)))</f>
        <v/>
      </c>
      <c r="Z30" s="18" t="str" cm="1">
        <f t="array" aca="1" ref="Z30" ca="1">IF(OR(Y30=0,Y30=""),"",INDEX(misCriticidades,X30)&amp;"-"&amp;IFERROR(MATCH(Y30,miOrdenTarjeta,0),0))</f>
        <v/>
      </c>
      <c r="AA30" s="17" t="str">
        <f ca="1"/>
        <v/>
      </c>
      <c r="AB30" s="18">
        <f t="shared" ca="1" si="15"/>
        <v>1</v>
      </c>
      <c r="AC30" s="18" t="str">
        <f t="shared" ca="1" si="5"/>
        <v/>
      </c>
      <c r="AD30" s="18" t="str" cm="1">
        <f t="array" aca="1" ref="AD30" ca="1">IF(AC30="","",IF(AC30&lt;&gt;AC29,1,IF(AD29=misLíneas-2,0,AD29+1)))</f>
        <v/>
      </c>
      <c r="AE30" s="18" t="str" cm="1">
        <f t="array" aca="1" ref="AE30" ca="1">IF(OR(AD30=0,AD30=""),"",INDEX(misCriticidades,AC30)&amp;"-"&amp;IFERROR(MATCH(AD30,miOrdenTarjeta,0),0))</f>
        <v/>
      </c>
      <c r="AF30" s="17" t="str">
        <f ca="1"/>
        <v/>
      </c>
      <c r="AG30" s="18">
        <f t="shared" ca="1" si="16"/>
        <v>1</v>
      </c>
      <c r="AH30" s="18" t="str">
        <f t="shared" ca="1" si="6"/>
        <v/>
      </c>
      <c r="AI30" s="18" t="str" cm="1">
        <f t="array" aca="1" ref="AI30" ca="1">IF(AH30="","",IF(AH30&lt;&gt;AH29,1,IF(AI29=misLíneas-2,0,AI29+1)))</f>
        <v/>
      </c>
      <c r="AJ30" s="18" t="str" cm="1">
        <f t="array" aca="1" ref="AJ30" ca="1">IF(OR(AI30=0,AI30=""),"",INDEX(misCriticidades,AH30)&amp;"-"&amp;IFERROR(MATCH(AI30,miOrdenTarjeta,0),0))</f>
        <v/>
      </c>
      <c r="AK30" s="17" t="str">
        <f ca="1"/>
        <v/>
      </c>
      <c r="AL30" s="18">
        <f t="shared" ca="1" si="17"/>
        <v>1</v>
      </c>
      <c r="AM30" s="18" t="str">
        <f t="shared" ca="1" si="7"/>
        <v/>
      </c>
      <c r="AN30" s="18" t="str" cm="1">
        <f t="array" aca="1" ref="AN30" ca="1">IF(AM30="","",IF(AM30&lt;&gt;AM29,1,IF(AN29=misLíneas-2,0,AN29+1)))</f>
        <v/>
      </c>
      <c r="AO30" s="18" t="str" cm="1">
        <f t="array" aca="1" ref="AO30" ca="1">IF(OR(AN30=0,AN30=""),"",INDEX(misCriticidades,AM30)&amp;"-"&amp;IFERROR(MATCH(AN30,miOrdenTarjeta,0),0))</f>
        <v/>
      </c>
      <c r="AP30" s="17" t="str">
        <f ca="1"/>
        <v/>
      </c>
      <c r="AQ30" s="18">
        <f t="shared" ca="1" si="18"/>
        <v>1</v>
      </c>
      <c r="AR30" s="18" t="str">
        <f t="shared" ca="1" si="8"/>
        <v/>
      </c>
      <c r="AS30" s="18" t="str" cm="1">
        <f t="array" aca="1" ref="AS30" ca="1">IF(AR30="","",IF(AR30&lt;&gt;AR29,1,IF(AS29=misLíneas-2,0,AS29+1)))</f>
        <v/>
      </c>
      <c r="AT30" s="18" t="str" cm="1">
        <f t="array" aca="1" ref="AT30" ca="1">IF(OR(AS30=0,AS30=""),"",INDEX(misCriticidades,AR30)&amp;"-"&amp;IFERROR(MATCH(AS30,miOrdenTarjeta,0),0))</f>
        <v/>
      </c>
      <c r="AU30" s="17" t="str">
        <f ca="1"/>
        <v/>
      </c>
      <c r="AV30" s="18">
        <f t="shared" ca="1" si="19"/>
        <v>1</v>
      </c>
      <c r="AW30" s="18" t="str">
        <f t="shared" ca="1" si="9"/>
        <v/>
      </c>
      <c r="AX30" s="18" t="str" cm="1">
        <f t="array" aca="1" ref="AX30" ca="1">IF(AW30="","",IF(AW30&lt;&gt;AW29,1,IF(AX29=misLíneas-2,0,AX29+1)))</f>
        <v/>
      </c>
      <c r="AY30" s="18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7" t="str">
        <f ca="1"/>
        <v/>
      </c>
      <c r="C31" s="18">
        <f t="shared" ca="1" si="20"/>
        <v>1</v>
      </c>
      <c r="D31" s="18" t="str">
        <f t="shared" ca="1" si="0"/>
        <v/>
      </c>
      <c r="E31" s="18" t="str" cm="1">
        <f t="array" aca="1" ref="E31" ca="1">IF(D31="","",IF(D31&lt;&gt;D30,1,IF(E30=misLíneas-2,0,E30+1)))</f>
        <v/>
      </c>
      <c r="F31" s="18" t="str" cm="1">
        <f t="array" aca="1" ref="F31" ca="1">IF(OR(E31=0,E31=""),"",INDEX(misCriticidades,D31)&amp;"-"&amp;IFERROR(MATCH(E31,miOrdenTarjeta,0),0))</f>
        <v/>
      </c>
      <c r="G31" s="17" t="str">
        <f ca="1"/>
        <v/>
      </c>
      <c r="H31" s="18">
        <f t="shared" ca="1" si="11"/>
        <v>1</v>
      </c>
      <c r="I31" s="18" t="str">
        <f t="shared" ca="1" si="1"/>
        <v/>
      </c>
      <c r="J31" s="18" t="str" cm="1">
        <f t="array" aca="1" ref="J31" ca="1">IF(I31="","",IF(I31&lt;&gt;I30,1,IF(J30=misLíneas-2,0,J30+1)))</f>
        <v/>
      </c>
      <c r="K31" s="18" t="str" cm="1">
        <f t="array" aca="1" ref="K31" ca="1">IF(OR(J31=0,J31=""),"",INDEX(misCriticidades,I31)&amp;"-"&amp;IFERROR(MATCH(J31,miOrdenTarjeta,0),0))</f>
        <v/>
      </c>
      <c r="L31" s="17" t="str">
        <f ca="1"/>
        <v/>
      </c>
      <c r="M31" s="18">
        <f t="shared" ca="1" si="12"/>
        <v>1</v>
      </c>
      <c r="N31" s="18" t="str">
        <f t="shared" ca="1" si="2"/>
        <v/>
      </c>
      <c r="O31" s="18" t="str" cm="1">
        <f t="array" aca="1" ref="O31" ca="1">IF(N31="","",IF(N31&lt;&gt;N30,1,IF(O30=misLíneas-2,0,O30+1)))</f>
        <v/>
      </c>
      <c r="P31" s="18" t="str" cm="1">
        <f t="array" aca="1" ref="P31" ca="1">IF(OR(O31=0,O31=""),"",INDEX(misCriticidades,N31)&amp;"-"&amp;IFERROR(MATCH(O31,miOrdenTarjeta,0),0))</f>
        <v/>
      </c>
      <c r="Q31" s="17" t="str">
        <f ca="1"/>
        <v/>
      </c>
      <c r="R31" s="18">
        <f t="shared" ca="1" si="13"/>
        <v>4</v>
      </c>
      <c r="S31" s="18">
        <f t="shared" ca="1" si="3"/>
        <v>27</v>
      </c>
      <c r="T31" s="18" cm="1">
        <f t="array" aca="1" ref="T31" ca="1">IF(S31="","",IF(S31&lt;&gt;S30,1,IF(T30=misLíneas-2,0,T30+1)))</f>
        <v>2</v>
      </c>
      <c r="U31" s="18" t="str" cm="1">
        <f t="array" aca="1" ref="U31" ca="1">IF(OR(T31=0,T31=""),"",INDEX(misCriticidades,S31)&amp;"-"&amp;IFERROR(MATCH(T31,miOrdenTarjeta,0),0))</f>
        <v>2-2</v>
      </c>
      <c r="V31" s="17" t="str">
        <f ca="1"/>
        <v/>
      </c>
      <c r="W31" s="18">
        <f t="shared" ca="1" si="14"/>
        <v>1</v>
      </c>
      <c r="X31" s="18" t="str">
        <f t="shared" ca="1" si="4"/>
        <v/>
      </c>
      <c r="Y31" s="18" t="str" cm="1">
        <f t="array" aca="1" ref="Y31" ca="1">IF(X31="","",IF(X31&lt;&gt;X30,1,IF(Y30=misLíneas-2,0,Y30+1)))</f>
        <v/>
      </c>
      <c r="Z31" s="18" t="str" cm="1">
        <f t="array" aca="1" ref="Z31" ca="1">IF(OR(Y31=0,Y31=""),"",INDEX(misCriticidades,X31)&amp;"-"&amp;IFERROR(MATCH(Y31,miOrdenTarjeta,0),0))</f>
        <v/>
      </c>
      <c r="AA31" s="17" t="str">
        <f ca="1"/>
        <v/>
      </c>
      <c r="AB31" s="18">
        <f t="shared" ca="1" si="15"/>
        <v>1</v>
      </c>
      <c r="AC31" s="18" t="str">
        <f t="shared" ca="1" si="5"/>
        <v/>
      </c>
      <c r="AD31" s="18" t="str" cm="1">
        <f t="array" aca="1" ref="AD31" ca="1">IF(AC31="","",IF(AC31&lt;&gt;AC30,1,IF(AD30=misLíneas-2,0,AD30+1)))</f>
        <v/>
      </c>
      <c r="AE31" s="18" t="str" cm="1">
        <f t="array" aca="1" ref="AE31" ca="1">IF(OR(AD31=0,AD31=""),"",INDEX(misCriticidades,AC31)&amp;"-"&amp;IFERROR(MATCH(AD31,miOrdenTarjeta,0),0))</f>
        <v/>
      </c>
      <c r="AF31" s="17" t="str">
        <f ca="1"/>
        <v/>
      </c>
      <c r="AG31" s="18">
        <f t="shared" ca="1" si="16"/>
        <v>1</v>
      </c>
      <c r="AH31" s="18" t="str">
        <f t="shared" ca="1" si="6"/>
        <v/>
      </c>
      <c r="AI31" s="18" t="str" cm="1">
        <f t="array" aca="1" ref="AI31" ca="1">IF(AH31="","",IF(AH31&lt;&gt;AH30,1,IF(AI30=misLíneas-2,0,AI30+1)))</f>
        <v/>
      </c>
      <c r="AJ31" s="18" t="str" cm="1">
        <f t="array" aca="1" ref="AJ31" ca="1">IF(OR(AI31=0,AI31=""),"",INDEX(misCriticidades,AH31)&amp;"-"&amp;IFERROR(MATCH(AI31,miOrdenTarjeta,0),0))</f>
        <v/>
      </c>
      <c r="AK31" s="17" t="str">
        <f ca="1"/>
        <v/>
      </c>
      <c r="AL31" s="18">
        <f t="shared" ca="1" si="17"/>
        <v>1</v>
      </c>
      <c r="AM31" s="18" t="str">
        <f t="shared" ca="1" si="7"/>
        <v/>
      </c>
      <c r="AN31" s="18" t="str" cm="1">
        <f t="array" aca="1" ref="AN31" ca="1">IF(AM31="","",IF(AM31&lt;&gt;AM30,1,IF(AN30=misLíneas-2,0,AN30+1)))</f>
        <v/>
      </c>
      <c r="AO31" s="18" t="str" cm="1">
        <f t="array" aca="1" ref="AO31" ca="1">IF(OR(AN31=0,AN31=""),"",INDEX(misCriticidades,AM31)&amp;"-"&amp;IFERROR(MATCH(AN31,miOrdenTarjeta,0),0))</f>
        <v/>
      </c>
      <c r="AP31" s="17" t="str">
        <f ca="1"/>
        <v/>
      </c>
      <c r="AQ31" s="18">
        <f t="shared" ca="1" si="18"/>
        <v>1</v>
      </c>
      <c r="AR31" s="18" t="str">
        <f t="shared" ca="1" si="8"/>
        <v/>
      </c>
      <c r="AS31" s="18" t="str" cm="1">
        <f t="array" aca="1" ref="AS31" ca="1">IF(AR31="","",IF(AR31&lt;&gt;AR30,1,IF(AS30=misLíneas-2,0,AS30+1)))</f>
        <v/>
      </c>
      <c r="AT31" s="18" t="str" cm="1">
        <f t="array" aca="1" ref="AT31" ca="1">IF(OR(AS31=0,AS31=""),"",INDEX(misCriticidades,AR31)&amp;"-"&amp;IFERROR(MATCH(AS31,miOrdenTarjeta,0),0))</f>
        <v/>
      </c>
      <c r="AU31" s="17" t="str">
        <f ca="1"/>
        <v/>
      </c>
      <c r="AV31" s="18">
        <f t="shared" ca="1" si="19"/>
        <v>1</v>
      </c>
      <c r="AW31" s="18" t="str">
        <f t="shared" ca="1" si="9"/>
        <v/>
      </c>
      <c r="AX31" s="18" t="str" cm="1">
        <f t="array" aca="1" ref="AX31" ca="1">IF(AW31="","",IF(AW31&lt;&gt;AW30,1,IF(AX30=misLíneas-2,0,AX30+1)))</f>
        <v/>
      </c>
      <c r="AY31" s="18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7" t="str">
        <f ca="1"/>
        <v/>
      </c>
      <c r="C32" s="18">
        <f t="shared" ca="1" si="20"/>
        <v>1</v>
      </c>
      <c r="D32" s="18" t="str">
        <f t="shared" ca="1" si="0"/>
        <v/>
      </c>
      <c r="E32" s="18" t="str" cm="1">
        <f t="array" aca="1" ref="E32" ca="1">IF(D32="","",IF(D32&lt;&gt;D31,1,IF(E31=misLíneas-2,0,E31+1)))</f>
        <v/>
      </c>
      <c r="F32" s="18" t="str" cm="1">
        <f t="array" aca="1" ref="F32" ca="1">IF(OR(E32=0,E32=""),"",INDEX(misCriticidades,D32)&amp;"-"&amp;IFERROR(MATCH(E32,miOrdenTarjeta,0),0))</f>
        <v/>
      </c>
      <c r="G32" s="17" t="str">
        <f ca="1"/>
        <v/>
      </c>
      <c r="H32" s="18">
        <f t="shared" ca="1" si="11"/>
        <v>1</v>
      </c>
      <c r="I32" s="18" t="str">
        <f t="shared" ca="1" si="1"/>
        <v/>
      </c>
      <c r="J32" s="18" t="str" cm="1">
        <f t="array" aca="1" ref="J32" ca="1">IF(I32="","",IF(I32&lt;&gt;I31,1,IF(J31=misLíneas-2,0,J31+1)))</f>
        <v/>
      </c>
      <c r="K32" s="18" t="str" cm="1">
        <f t="array" aca="1" ref="K32" ca="1">IF(OR(J32=0,J32=""),"",INDEX(misCriticidades,I32)&amp;"-"&amp;IFERROR(MATCH(J32,miOrdenTarjeta,0),0))</f>
        <v/>
      </c>
      <c r="L32" s="17" t="str">
        <f ca="1"/>
        <v/>
      </c>
      <c r="M32" s="18">
        <f t="shared" ca="1" si="12"/>
        <v>1</v>
      </c>
      <c r="N32" s="18" t="str">
        <f t="shared" ca="1" si="2"/>
        <v/>
      </c>
      <c r="O32" s="18" t="str" cm="1">
        <f t="array" aca="1" ref="O32" ca="1">IF(N32="","",IF(N32&lt;&gt;N31,1,IF(O31=misLíneas-2,0,O31+1)))</f>
        <v/>
      </c>
      <c r="P32" s="18" t="str" cm="1">
        <f t="array" aca="1" ref="P32" ca="1">IF(OR(O32=0,O32=""),"",INDEX(misCriticidades,N32)&amp;"-"&amp;IFERROR(MATCH(O32,miOrdenTarjeta,0),0))</f>
        <v/>
      </c>
      <c r="Q32" s="17" t="str">
        <f ca="1"/>
        <v/>
      </c>
      <c r="R32" s="18">
        <f t="shared" ca="1" si="13"/>
        <v>4</v>
      </c>
      <c r="S32" s="18">
        <f t="shared" ca="1" si="3"/>
        <v>27</v>
      </c>
      <c r="T32" s="18" cm="1">
        <f t="array" aca="1" ref="T32" ca="1">IF(S32="","",IF(S32&lt;&gt;S31,1,IF(T31=misLíneas-2,0,T31+1)))</f>
        <v>3</v>
      </c>
      <c r="U32" s="18" t="str" cm="1">
        <f t="array" aca="1" ref="U32" ca="1">IF(OR(T32=0,T32=""),"",INDEX(misCriticidades,S32)&amp;"-"&amp;IFERROR(MATCH(T32,miOrdenTarjeta,0),0))</f>
        <v>2-3</v>
      </c>
      <c r="V32" s="17" t="str">
        <f ca="1"/>
        <v/>
      </c>
      <c r="W32" s="18">
        <f t="shared" ca="1" si="14"/>
        <v>1</v>
      </c>
      <c r="X32" s="18" t="str">
        <f t="shared" ca="1" si="4"/>
        <v/>
      </c>
      <c r="Y32" s="18" t="str" cm="1">
        <f t="array" aca="1" ref="Y32" ca="1">IF(X32="","",IF(X32&lt;&gt;X31,1,IF(Y31=misLíneas-2,0,Y31+1)))</f>
        <v/>
      </c>
      <c r="Z32" s="18" t="str" cm="1">
        <f t="array" aca="1" ref="Z32" ca="1">IF(OR(Y32=0,Y32=""),"",INDEX(misCriticidades,X32)&amp;"-"&amp;IFERROR(MATCH(Y32,miOrdenTarjeta,0),0))</f>
        <v/>
      </c>
      <c r="AA32" s="17" t="str">
        <f ca="1"/>
        <v/>
      </c>
      <c r="AB32" s="18">
        <f t="shared" ca="1" si="15"/>
        <v>1</v>
      </c>
      <c r="AC32" s="18" t="str">
        <f t="shared" ca="1" si="5"/>
        <v/>
      </c>
      <c r="AD32" s="18" t="str" cm="1">
        <f t="array" aca="1" ref="AD32" ca="1">IF(AC32="","",IF(AC32&lt;&gt;AC31,1,IF(AD31=misLíneas-2,0,AD31+1)))</f>
        <v/>
      </c>
      <c r="AE32" s="18" t="str" cm="1">
        <f t="array" aca="1" ref="AE32" ca="1">IF(OR(AD32=0,AD32=""),"",INDEX(misCriticidades,AC32)&amp;"-"&amp;IFERROR(MATCH(AD32,miOrdenTarjeta,0),0))</f>
        <v/>
      </c>
      <c r="AF32" s="17" t="str">
        <f ca="1"/>
        <v/>
      </c>
      <c r="AG32" s="18">
        <f t="shared" ca="1" si="16"/>
        <v>1</v>
      </c>
      <c r="AH32" s="18" t="str">
        <f t="shared" ca="1" si="6"/>
        <v/>
      </c>
      <c r="AI32" s="18" t="str" cm="1">
        <f t="array" aca="1" ref="AI32" ca="1">IF(AH32="","",IF(AH32&lt;&gt;AH31,1,IF(AI31=misLíneas-2,0,AI31+1)))</f>
        <v/>
      </c>
      <c r="AJ32" s="18" t="str" cm="1">
        <f t="array" aca="1" ref="AJ32" ca="1">IF(OR(AI32=0,AI32=""),"",INDEX(misCriticidades,AH32)&amp;"-"&amp;IFERROR(MATCH(AI32,miOrdenTarjeta,0),0))</f>
        <v/>
      </c>
      <c r="AK32" s="17" t="str">
        <f ca="1"/>
        <v/>
      </c>
      <c r="AL32" s="18">
        <f t="shared" ca="1" si="17"/>
        <v>1</v>
      </c>
      <c r="AM32" s="18" t="str">
        <f t="shared" ca="1" si="7"/>
        <v/>
      </c>
      <c r="AN32" s="18" t="str" cm="1">
        <f t="array" aca="1" ref="AN32" ca="1">IF(AM32="","",IF(AM32&lt;&gt;AM31,1,IF(AN31=misLíneas-2,0,AN31+1)))</f>
        <v/>
      </c>
      <c r="AO32" s="18" t="str" cm="1">
        <f t="array" aca="1" ref="AO32" ca="1">IF(OR(AN32=0,AN32=""),"",INDEX(misCriticidades,AM32)&amp;"-"&amp;IFERROR(MATCH(AN32,miOrdenTarjeta,0),0))</f>
        <v/>
      </c>
      <c r="AP32" s="17" t="str">
        <f ca="1"/>
        <v/>
      </c>
      <c r="AQ32" s="18">
        <f t="shared" ca="1" si="18"/>
        <v>1</v>
      </c>
      <c r="AR32" s="18" t="str">
        <f t="shared" ca="1" si="8"/>
        <v/>
      </c>
      <c r="AS32" s="18" t="str" cm="1">
        <f t="array" aca="1" ref="AS32" ca="1">IF(AR32="","",IF(AR32&lt;&gt;AR31,1,IF(AS31=misLíneas-2,0,AS31+1)))</f>
        <v/>
      </c>
      <c r="AT32" s="18" t="str" cm="1">
        <f t="array" aca="1" ref="AT32" ca="1">IF(OR(AS32=0,AS32=""),"",INDEX(misCriticidades,AR32)&amp;"-"&amp;IFERROR(MATCH(AS32,miOrdenTarjeta,0),0))</f>
        <v/>
      </c>
      <c r="AU32" s="17" t="str">
        <f ca="1"/>
        <v/>
      </c>
      <c r="AV32" s="18">
        <f t="shared" ca="1" si="19"/>
        <v>1</v>
      </c>
      <c r="AW32" s="18" t="str">
        <f t="shared" ca="1" si="9"/>
        <v/>
      </c>
      <c r="AX32" s="18" t="str" cm="1">
        <f t="array" aca="1" ref="AX32" ca="1">IF(AW32="","",IF(AW32&lt;&gt;AW31,1,IF(AX31=misLíneas-2,0,AX31+1)))</f>
        <v/>
      </c>
      <c r="AY32" s="18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7" t="str">
        <f ca="1"/>
        <v/>
      </c>
      <c r="C33" s="18">
        <f t="shared" ca="1" si="20"/>
        <v>1</v>
      </c>
      <c r="D33" s="18" t="str">
        <f t="shared" ca="1" si="0"/>
        <v/>
      </c>
      <c r="E33" s="18" t="str" cm="1">
        <f t="array" aca="1" ref="E33" ca="1">IF(D33="","",IF(D33&lt;&gt;D32,1,IF(E32=misLíneas-2,0,E32+1)))</f>
        <v/>
      </c>
      <c r="F33" s="18" t="str" cm="1">
        <f t="array" aca="1" ref="F33" ca="1">IF(OR(E33=0,E33=""),"",INDEX(misCriticidades,D33)&amp;"-"&amp;IFERROR(MATCH(E33,miOrdenTarjeta,0),0))</f>
        <v/>
      </c>
      <c r="G33" s="17" t="str">
        <f ca="1"/>
        <v/>
      </c>
      <c r="H33" s="18">
        <f t="shared" ca="1" si="11"/>
        <v>1</v>
      </c>
      <c r="I33" s="18" t="str">
        <f t="shared" ca="1" si="1"/>
        <v/>
      </c>
      <c r="J33" s="18" t="str" cm="1">
        <f t="array" aca="1" ref="J33" ca="1">IF(I33="","",IF(I33&lt;&gt;I32,1,IF(J32=misLíneas-2,0,J32+1)))</f>
        <v/>
      </c>
      <c r="K33" s="18" t="str" cm="1">
        <f t="array" aca="1" ref="K33" ca="1">IF(OR(J33=0,J33=""),"",INDEX(misCriticidades,I33)&amp;"-"&amp;IFERROR(MATCH(J33,miOrdenTarjeta,0),0))</f>
        <v/>
      </c>
      <c r="L33" s="17" t="str">
        <f ca="1"/>
        <v/>
      </c>
      <c r="M33" s="18">
        <f t="shared" ca="1" si="12"/>
        <v>1</v>
      </c>
      <c r="N33" s="18" t="str">
        <f t="shared" ca="1" si="2"/>
        <v/>
      </c>
      <c r="O33" s="18" t="str" cm="1">
        <f t="array" aca="1" ref="O33" ca="1">IF(N33="","",IF(N33&lt;&gt;N32,1,IF(O32=misLíneas-2,0,O32+1)))</f>
        <v/>
      </c>
      <c r="P33" s="18" t="str" cm="1">
        <f t="array" aca="1" ref="P33" ca="1">IF(OR(O33=0,O33=""),"",INDEX(misCriticidades,N33)&amp;"-"&amp;IFERROR(MATCH(O33,miOrdenTarjeta,0),0))</f>
        <v/>
      </c>
      <c r="Q33" s="17" t="str">
        <f ca="1"/>
        <v/>
      </c>
      <c r="R33" s="18">
        <f t="shared" ca="1" si="13"/>
        <v>4</v>
      </c>
      <c r="S33" s="18">
        <f t="shared" ca="1" si="3"/>
        <v>27</v>
      </c>
      <c r="T33" s="18" cm="1">
        <f t="array" aca="1" ref="T33" ca="1">IF(S33="","",IF(S33&lt;&gt;S32,1,IF(T32=misLíneas-2,0,T32+1)))</f>
        <v>4</v>
      </c>
      <c r="U33" s="18" t="str" cm="1">
        <f t="array" aca="1" ref="U33" ca="1">IF(OR(T33=0,T33=""),"",INDEX(misCriticidades,S33)&amp;"-"&amp;IFERROR(MATCH(T33,miOrdenTarjeta,0),0))</f>
        <v>2-4</v>
      </c>
      <c r="V33" s="17" t="str">
        <f ca="1"/>
        <v/>
      </c>
      <c r="W33" s="18">
        <f t="shared" ca="1" si="14"/>
        <v>1</v>
      </c>
      <c r="X33" s="18" t="str">
        <f t="shared" ca="1" si="4"/>
        <v/>
      </c>
      <c r="Y33" s="18" t="str" cm="1">
        <f t="array" aca="1" ref="Y33" ca="1">IF(X33="","",IF(X33&lt;&gt;X32,1,IF(Y32=misLíneas-2,0,Y32+1)))</f>
        <v/>
      </c>
      <c r="Z33" s="18" t="str" cm="1">
        <f t="array" aca="1" ref="Z33" ca="1">IF(OR(Y33=0,Y33=""),"",INDEX(misCriticidades,X33)&amp;"-"&amp;IFERROR(MATCH(Y33,miOrdenTarjeta,0),0))</f>
        <v/>
      </c>
      <c r="AA33" s="17" t="str">
        <f ca="1"/>
        <v/>
      </c>
      <c r="AB33" s="18">
        <f t="shared" ca="1" si="15"/>
        <v>1</v>
      </c>
      <c r="AC33" s="18" t="str">
        <f t="shared" ca="1" si="5"/>
        <v/>
      </c>
      <c r="AD33" s="18" t="str" cm="1">
        <f t="array" aca="1" ref="AD33" ca="1">IF(AC33="","",IF(AC33&lt;&gt;AC32,1,IF(AD32=misLíneas-2,0,AD32+1)))</f>
        <v/>
      </c>
      <c r="AE33" s="18" t="str" cm="1">
        <f t="array" aca="1" ref="AE33" ca="1">IF(OR(AD33=0,AD33=""),"",INDEX(misCriticidades,AC33)&amp;"-"&amp;IFERROR(MATCH(AD33,miOrdenTarjeta,0),0))</f>
        <v/>
      </c>
      <c r="AF33" s="17" t="str">
        <f ca="1"/>
        <v/>
      </c>
      <c r="AG33" s="18">
        <f t="shared" ca="1" si="16"/>
        <v>1</v>
      </c>
      <c r="AH33" s="18" t="str">
        <f t="shared" ca="1" si="6"/>
        <v/>
      </c>
      <c r="AI33" s="18" t="str" cm="1">
        <f t="array" aca="1" ref="AI33" ca="1">IF(AH33="","",IF(AH33&lt;&gt;AH32,1,IF(AI32=misLíneas-2,0,AI32+1)))</f>
        <v/>
      </c>
      <c r="AJ33" s="18" t="str" cm="1">
        <f t="array" aca="1" ref="AJ33" ca="1">IF(OR(AI33=0,AI33=""),"",INDEX(misCriticidades,AH33)&amp;"-"&amp;IFERROR(MATCH(AI33,miOrdenTarjeta,0),0))</f>
        <v/>
      </c>
      <c r="AK33" s="17" t="str">
        <f ca="1"/>
        <v/>
      </c>
      <c r="AL33" s="18">
        <f t="shared" ca="1" si="17"/>
        <v>1</v>
      </c>
      <c r="AM33" s="18" t="str">
        <f t="shared" ca="1" si="7"/>
        <v/>
      </c>
      <c r="AN33" s="18" t="str" cm="1">
        <f t="array" aca="1" ref="AN33" ca="1">IF(AM33="","",IF(AM33&lt;&gt;AM32,1,IF(AN32=misLíneas-2,0,AN32+1)))</f>
        <v/>
      </c>
      <c r="AO33" s="18" t="str" cm="1">
        <f t="array" aca="1" ref="AO33" ca="1">IF(OR(AN33=0,AN33=""),"",INDEX(misCriticidades,AM33)&amp;"-"&amp;IFERROR(MATCH(AN33,miOrdenTarjeta,0),0))</f>
        <v/>
      </c>
      <c r="AP33" s="17" t="str">
        <f ca="1"/>
        <v/>
      </c>
      <c r="AQ33" s="18">
        <f t="shared" ca="1" si="18"/>
        <v>1</v>
      </c>
      <c r="AR33" s="18" t="str">
        <f t="shared" ca="1" si="8"/>
        <v/>
      </c>
      <c r="AS33" s="18" t="str" cm="1">
        <f t="array" aca="1" ref="AS33" ca="1">IF(AR33="","",IF(AR33&lt;&gt;AR32,1,IF(AS32=misLíneas-2,0,AS32+1)))</f>
        <v/>
      </c>
      <c r="AT33" s="18" t="str" cm="1">
        <f t="array" aca="1" ref="AT33" ca="1">IF(OR(AS33=0,AS33=""),"",INDEX(misCriticidades,AR33)&amp;"-"&amp;IFERROR(MATCH(AS33,miOrdenTarjeta,0),0))</f>
        <v/>
      </c>
      <c r="AU33" s="17" t="str">
        <f ca="1"/>
        <v/>
      </c>
      <c r="AV33" s="18">
        <f t="shared" ca="1" si="19"/>
        <v>1</v>
      </c>
      <c r="AW33" s="18" t="str">
        <f t="shared" ca="1" si="9"/>
        <v/>
      </c>
      <c r="AX33" s="18" t="str" cm="1">
        <f t="array" aca="1" ref="AX33" ca="1">IF(AW33="","",IF(AW33&lt;&gt;AW32,1,IF(AX32=misLíneas-2,0,AX32+1)))</f>
        <v/>
      </c>
      <c r="AY33" s="18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7" t="str">
        <f ca="1"/>
        <v/>
      </c>
      <c r="C34" s="18">
        <f t="shared" ca="1" si="20"/>
        <v>1</v>
      </c>
      <c r="D34" s="18" t="str">
        <f t="shared" ca="1" si="0"/>
        <v/>
      </c>
      <c r="E34" s="18" t="str" cm="1">
        <f t="array" aca="1" ref="E34" ca="1">IF(D34="","",IF(D34&lt;&gt;D33,1,IF(E33=misLíneas-2,0,E33+1)))</f>
        <v/>
      </c>
      <c r="F34" s="18" t="str" cm="1">
        <f t="array" aca="1" ref="F34" ca="1">IF(OR(E34=0,E34=""),"",INDEX(misCriticidades,D34)&amp;"-"&amp;IFERROR(MATCH(E34,miOrdenTarjeta,0),0))</f>
        <v/>
      </c>
      <c r="G34" s="17" t="str">
        <f ca="1"/>
        <v/>
      </c>
      <c r="H34" s="18">
        <f t="shared" ca="1" si="11"/>
        <v>1</v>
      </c>
      <c r="I34" s="18" t="str">
        <f t="shared" ca="1" si="1"/>
        <v/>
      </c>
      <c r="J34" s="18" t="str" cm="1">
        <f t="array" aca="1" ref="J34" ca="1">IF(I34="","",IF(I34&lt;&gt;I33,1,IF(J33=misLíneas-2,0,J33+1)))</f>
        <v/>
      </c>
      <c r="K34" s="18" t="str" cm="1">
        <f t="array" aca="1" ref="K34" ca="1">IF(OR(J34=0,J34=""),"",INDEX(misCriticidades,I34)&amp;"-"&amp;IFERROR(MATCH(J34,miOrdenTarjeta,0),0))</f>
        <v/>
      </c>
      <c r="L34" s="17" t="str">
        <f ca="1"/>
        <v/>
      </c>
      <c r="M34" s="18">
        <f t="shared" ca="1" si="12"/>
        <v>1</v>
      </c>
      <c r="N34" s="18" t="str">
        <f t="shared" ca="1" si="2"/>
        <v/>
      </c>
      <c r="O34" s="18" t="str" cm="1">
        <f t="array" aca="1" ref="O34" ca="1">IF(N34="","",IF(N34&lt;&gt;N33,1,IF(O33=misLíneas-2,0,O33+1)))</f>
        <v/>
      </c>
      <c r="P34" s="18" t="str" cm="1">
        <f t="array" aca="1" ref="P34" ca="1">IF(OR(O34=0,O34=""),"",INDEX(misCriticidades,N34)&amp;"-"&amp;IFERROR(MATCH(O34,miOrdenTarjeta,0),0))</f>
        <v/>
      </c>
      <c r="Q34" s="17" t="str">
        <f ca="1"/>
        <v/>
      </c>
      <c r="R34" s="18">
        <f t="shared" ca="1" si="13"/>
        <v>4</v>
      </c>
      <c r="S34" s="18">
        <f t="shared" ca="1" si="3"/>
        <v>27</v>
      </c>
      <c r="T34" s="18" cm="1">
        <f t="array" aca="1" ref="T34" ca="1">IF(S34="","",IF(S34&lt;&gt;S33,1,IF(T33=misLíneas-2,0,T33+1)))</f>
        <v>5</v>
      </c>
      <c r="U34" s="18" t="str" cm="1">
        <f t="array" aca="1" ref="U34" ca="1">IF(OR(T34=0,T34=""),"",INDEX(misCriticidades,S34)&amp;"-"&amp;IFERROR(MATCH(T34,miOrdenTarjeta,0),0))</f>
        <v>2-5</v>
      </c>
      <c r="V34" s="17" t="str">
        <f ca="1"/>
        <v/>
      </c>
      <c r="W34" s="18">
        <f t="shared" ca="1" si="14"/>
        <v>1</v>
      </c>
      <c r="X34" s="18" t="str">
        <f t="shared" ca="1" si="4"/>
        <v/>
      </c>
      <c r="Y34" s="18" t="str" cm="1">
        <f t="array" aca="1" ref="Y34" ca="1">IF(X34="","",IF(X34&lt;&gt;X33,1,IF(Y33=misLíneas-2,0,Y33+1)))</f>
        <v/>
      </c>
      <c r="Z34" s="18" t="str" cm="1">
        <f t="array" aca="1" ref="Z34" ca="1">IF(OR(Y34=0,Y34=""),"",INDEX(misCriticidades,X34)&amp;"-"&amp;IFERROR(MATCH(Y34,miOrdenTarjeta,0),0))</f>
        <v/>
      </c>
      <c r="AA34" s="17" t="str">
        <f ca="1"/>
        <v/>
      </c>
      <c r="AB34" s="18">
        <f t="shared" ca="1" si="15"/>
        <v>1</v>
      </c>
      <c r="AC34" s="18" t="str">
        <f t="shared" ca="1" si="5"/>
        <v/>
      </c>
      <c r="AD34" s="18" t="str" cm="1">
        <f t="array" aca="1" ref="AD34" ca="1">IF(AC34="","",IF(AC34&lt;&gt;AC33,1,IF(AD33=misLíneas-2,0,AD33+1)))</f>
        <v/>
      </c>
      <c r="AE34" s="18" t="str" cm="1">
        <f t="array" aca="1" ref="AE34" ca="1">IF(OR(AD34=0,AD34=""),"",INDEX(misCriticidades,AC34)&amp;"-"&amp;IFERROR(MATCH(AD34,miOrdenTarjeta,0),0))</f>
        <v/>
      </c>
      <c r="AF34" s="17" t="str">
        <f ca="1"/>
        <v/>
      </c>
      <c r="AG34" s="18">
        <f t="shared" ca="1" si="16"/>
        <v>1</v>
      </c>
      <c r="AH34" s="18" t="str">
        <f t="shared" ca="1" si="6"/>
        <v/>
      </c>
      <c r="AI34" s="18" t="str" cm="1">
        <f t="array" aca="1" ref="AI34" ca="1">IF(AH34="","",IF(AH34&lt;&gt;AH33,1,IF(AI33=misLíneas-2,0,AI33+1)))</f>
        <v/>
      </c>
      <c r="AJ34" s="18" t="str" cm="1">
        <f t="array" aca="1" ref="AJ34" ca="1">IF(OR(AI34=0,AI34=""),"",INDEX(misCriticidades,AH34)&amp;"-"&amp;IFERROR(MATCH(AI34,miOrdenTarjeta,0),0))</f>
        <v/>
      </c>
      <c r="AK34" s="17" t="str">
        <f ca="1"/>
        <v/>
      </c>
      <c r="AL34" s="18">
        <f t="shared" ca="1" si="17"/>
        <v>1</v>
      </c>
      <c r="AM34" s="18" t="str">
        <f t="shared" ca="1" si="7"/>
        <v/>
      </c>
      <c r="AN34" s="18" t="str" cm="1">
        <f t="array" aca="1" ref="AN34" ca="1">IF(AM34="","",IF(AM34&lt;&gt;AM33,1,IF(AN33=misLíneas-2,0,AN33+1)))</f>
        <v/>
      </c>
      <c r="AO34" s="18" t="str" cm="1">
        <f t="array" aca="1" ref="AO34" ca="1">IF(OR(AN34=0,AN34=""),"",INDEX(misCriticidades,AM34)&amp;"-"&amp;IFERROR(MATCH(AN34,miOrdenTarjeta,0),0))</f>
        <v/>
      </c>
      <c r="AP34" s="17" t="str">
        <f ca="1"/>
        <v/>
      </c>
      <c r="AQ34" s="18">
        <f t="shared" ca="1" si="18"/>
        <v>1</v>
      </c>
      <c r="AR34" s="18" t="str">
        <f t="shared" ca="1" si="8"/>
        <v/>
      </c>
      <c r="AS34" s="18" t="str" cm="1">
        <f t="array" aca="1" ref="AS34" ca="1">IF(AR34="","",IF(AR34&lt;&gt;AR33,1,IF(AS33=misLíneas-2,0,AS33+1)))</f>
        <v/>
      </c>
      <c r="AT34" s="18" t="str" cm="1">
        <f t="array" aca="1" ref="AT34" ca="1">IF(OR(AS34=0,AS34=""),"",INDEX(misCriticidades,AR34)&amp;"-"&amp;IFERROR(MATCH(AS34,miOrdenTarjeta,0),0))</f>
        <v/>
      </c>
      <c r="AU34" s="17" t="str">
        <f ca="1"/>
        <v/>
      </c>
      <c r="AV34" s="18">
        <f t="shared" ca="1" si="19"/>
        <v>1</v>
      </c>
      <c r="AW34" s="18" t="str">
        <f t="shared" ca="1" si="9"/>
        <v/>
      </c>
      <c r="AX34" s="18" t="str" cm="1">
        <f t="array" aca="1" ref="AX34" ca="1">IF(AW34="","",IF(AW34&lt;&gt;AW33,1,IF(AX33=misLíneas-2,0,AX33+1)))</f>
        <v/>
      </c>
      <c r="AY34" s="18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7" t="str">
        <f ca="1"/>
        <v/>
      </c>
      <c r="C35" s="18">
        <f t="shared" ca="1" si="20"/>
        <v>1</v>
      </c>
      <c r="D35" s="18" t="str">
        <f t="shared" ref="D35:D66" ca="1" si="21">IF(C35&gt;C34,IFERROR(IF(F$1="v",SMALL(B$2:B$101,C35),LARGE(B$2:B$101,C35)),""),D34)</f>
        <v/>
      </c>
      <c r="E35" s="18" t="str" cm="1">
        <f t="array" aca="1" ref="E35" ca="1">IF(D35="","",IF(D35&lt;&gt;D34,1,IF(E34=misLíneas-2,0,E34+1)))</f>
        <v/>
      </c>
      <c r="F35" s="18" t="str" cm="1">
        <f t="array" aca="1" ref="F35" ca="1">IF(OR(E35=0,E35=""),"",INDEX(misCriticidades,D35)&amp;"-"&amp;IFERROR(MATCH(E35,miOrdenTarjeta,0),0))</f>
        <v/>
      </c>
      <c r="G35" s="17" t="str">
        <f ca="1"/>
        <v/>
      </c>
      <c r="H35" s="18">
        <f t="shared" ca="1" si="11"/>
        <v>1</v>
      </c>
      <c r="I35" s="18" t="str">
        <f t="shared" ref="I35:I66" ca="1" si="22">IF(H35&gt;H34,IFERROR(IF(K$1="v",SMALL(G$2:G$101,H35),LARGE(G$2:G$101,H35)),""),I34)</f>
        <v/>
      </c>
      <c r="J35" s="18" t="str" cm="1">
        <f t="array" aca="1" ref="J35" ca="1">IF(I35="","",IF(I35&lt;&gt;I34,1,IF(J34=misLíneas-2,0,J34+1)))</f>
        <v/>
      </c>
      <c r="K35" s="18" t="str" cm="1">
        <f t="array" aca="1" ref="K35" ca="1">IF(OR(J35=0,J35=""),"",INDEX(misCriticidades,I35)&amp;"-"&amp;IFERROR(MATCH(J35,miOrdenTarjeta,0),0))</f>
        <v/>
      </c>
      <c r="L35" s="17" t="str">
        <f ca="1"/>
        <v/>
      </c>
      <c r="M35" s="18">
        <f t="shared" ca="1" si="12"/>
        <v>1</v>
      </c>
      <c r="N35" s="18" t="str">
        <f t="shared" ref="N35:N66" ca="1" si="23">IF(M35&gt;M34,IFERROR(IF(P$1="v",SMALL(L$2:L$101,M35),LARGE(L$2:L$101,M35)),""),N34)</f>
        <v/>
      </c>
      <c r="O35" s="18" t="str" cm="1">
        <f t="array" aca="1" ref="O35" ca="1">IF(N35="","",IF(N35&lt;&gt;N34,1,IF(O34=misLíneas-2,0,O34+1)))</f>
        <v/>
      </c>
      <c r="P35" s="18" t="str" cm="1">
        <f t="array" aca="1" ref="P35" ca="1">IF(OR(O35=0,O35=""),"",INDEX(misCriticidades,N35)&amp;"-"&amp;IFERROR(MATCH(O35,miOrdenTarjeta,0),0))</f>
        <v/>
      </c>
      <c r="Q35" s="17" t="str">
        <f ca="1"/>
        <v/>
      </c>
      <c r="R35" s="18">
        <f t="shared" ca="1" si="13"/>
        <v>4</v>
      </c>
      <c r="S35" s="18">
        <f t="shared" ref="S35:S66" ca="1" si="24">IF(R35&gt;R34,IFERROR(IF(U$1="v",SMALL(Q$2:Q$101,R35),LARGE(Q$2:Q$101,R35)),""),S34)</f>
        <v>27</v>
      </c>
      <c r="T35" s="18" cm="1">
        <f t="array" aca="1" ref="T35" ca="1">IF(S35="","",IF(S35&lt;&gt;S34,1,IF(T34=misLíneas-2,0,T34+1)))</f>
        <v>6</v>
      </c>
      <c r="U35" s="18" t="str" cm="1">
        <f t="array" aca="1" ref="U35" ca="1">IF(OR(T35=0,T35=""),"",INDEX(misCriticidades,S35)&amp;"-"&amp;IFERROR(MATCH(T35,miOrdenTarjeta,0),0))</f>
        <v>2-6</v>
      </c>
      <c r="V35" s="17" t="str">
        <f ca="1"/>
        <v/>
      </c>
      <c r="W35" s="18">
        <f t="shared" ca="1" si="14"/>
        <v>1</v>
      </c>
      <c r="X35" s="18" t="str">
        <f t="shared" ref="X35:X66" ca="1" si="25">IF(W35&gt;W34,IFERROR(IF(Z$1="v",SMALL(V$2:V$101,W35),LARGE(V$2:V$101,W35)),""),X34)</f>
        <v/>
      </c>
      <c r="Y35" s="18" t="str" cm="1">
        <f t="array" aca="1" ref="Y35" ca="1">IF(X35="","",IF(X35&lt;&gt;X34,1,IF(Y34=misLíneas-2,0,Y34+1)))</f>
        <v/>
      </c>
      <c r="Z35" s="18" t="str" cm="1">
        <f t="array" aca="1" ref="Z35" ca="1">IF(OR(Y35=0,Y35=""),"",INDEX(misCriticidades,X35)&amp;"-"&amp;IFERROR(MATCH(Y35,miOrdenTarjeta,0),0))</f>
        <v/>
      </c>
      <c r="AA35" s="17" t="str">
        <f ca="1"/>
        <v/>
      </c>
      <c r="AB35" s="18">
        <f t="shared" ca="1" si="15"/>
        <v>1</v>
      </c>
      <c r="AC35" s="18" t="str">
        <f t="shared" ca="1" si="5"/>
        <v/>
      </c>
      <c r="AD35" s="18" t="str" cm="1">
        <f t="array" aca="1" ref="AD35" ca="1">IF(AC35="","",IF(AC35&lt;&gt;AC34,1,IF(AD34=misLíneas-2,0,AD34+1)))</f>
        <v/>
      </c>
      <c r="AE35" s="18" t="str" cm="1">
        <f t="array" aca="1" ref="AE35" ca="1">IF(OR(AD35=0,AD35=""),"",INDEX(misCriticidades,AC35)&amp;"-"&amp;IFERROR(MATCH(AD35,miOrdenTarjeta,0),0))</f>
        <v/>
      </c>
      <c r="AF35" s="17" t="str">
        <f ca="1"/>
        <v/>
      </c>
      <c r="AG35" s="18">
        <f t="shared" ca="1" si="16"/>
        <v>1</v>
      </c>
      <c r="AH35" s="18" t="str">
        <f t="shared" ca="1" si="6"/>
        <v/>
      </c>
      <c r="AI35" s="18" t="str" cm="1">
        <f t="array" aca="1" ref="AI35" ca="1">IF(AH35="","",IF(AH35&lt;&gt;AH34,1,IF(AI34=misLíneas-2,0,AI34+1)))</f>
        <v/>
      </c>
      <c r="AJ35" s="18" t="str" cm="1">
        <f t="array" aca="1" ref="AJ35" ca="1">IF(OR(AI35=0,AI35=""),"",INDEX(misCriticidades,AH35)&amp;"-"&amp;IFERROR(MATCH(AI35,miOrdenTarjeta,0),0))</f>
        <v/>
      </c>
      <c r="AK35" s="17" t="str">
        <f ca="1"/>
        <v/>
      </c>
      <c r="AL35" s="18">
        <f t="shared" ca="1" si="17"/>
        <v>1</v>
      </c>
      <c r="AM35" s="18" t="str">
        <f t="shared" ca="1" si="7"/>
        <v/>
      </c>
      <c r="AN35" s="18" t="str" cm="1">
        <f t="array" aca="1" ref="AN35" ca="1">IF(AM35="","",IF(AM35&lt;&gt;AM34,1,IF(AN34=misLíneas-2,0,AN34+1)))</f>
        <v/>
      </c>
      <c r="AO35" s="18" t="str" cm="1">
        <f t="array" aca="1" ref="AO35" ca="1">IF(OR(AN35=0,AN35=""),"",INDEX(misCriticidades,AM35)&amp;"-"&amp;IFERROR(MATCH(AN35,miOrdenTarjeta,0),0))</f>
        <v/>
      </c>
      <c r="AP35" s="17" t="str">
        <f ca="1"/>
        <v/>
      </c>
      <c r="AQ35" s="18">
        <f t="shared" ca="1" si="18"/>
        <v>1</v>
      </c>
      <c r="AR35" s="18" t="str">
        <f t="shared" ca="1" si="8"/>
        <v/>
      </c>
      <c r="AS35" s="18" t="str" cm="1">
        <f t="array" aca="1" ref="AS35" ca="1">IF(AR35="","",IF(AR35&lt;&gt;AR34,1,IF(AS34=misLíneas-2,0,AS34+1)))</f>
        <v/>
      </c>
      <c r="AT35" s="18" t="str" cm="1">
        <f t="array" aca="1" ref="AT35" ca="1">IF(OR(AS35=0,AS35=""),"",INDEX(misCriticidades,AR35)&amp;"-"&amp;IFERROR(MATCH(AS35,miOrdenTarjeta,0),0))</f>
        <v/>
      </c>
      <c r="AU35" s="17" t="str">
        <f ca="1"/>
        <v/>
      </c>
      <c r="AV35" s="18">
        <f t="shared" ca="1" si="19"/>
        <v>1</v>
      </c>
      <c r="AW35" s="18" t="str">
        <f t="shared" ca="1" si="9"/>
        <v/>
      </c>
      <c r="AX35" s="18" t="str" cm="1">
        <f t="array" aca="1" ref="AX35" ca="1">IF(AW35="","",IF(AW35&lt;&gt;AW34,1,IF(AX34=misLíneas-2,0,AX34+1)))</f>
        <v/>
      </c>
      <c r="AY35" s="18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7" t="str">
        <f ca="1"/>
        <v/>
      </c>
      <c r="C36" s="18">
        <f t="shared" ca="1" si="20"/>
        <v>1</v>
      </c>
      <c r="D36" s="18" t="str">
        <f t="shared" ca="1" si="21"/>
        <v/>
      </c>
      <c r="E36" s="18" t="str" cm="1">
        <f t="array" aca="1" ref="E36" ca="1">IF(D36="","",IF(D36&lt;&gt;D35,1,IF(E35=misLíneas-2,0,E35+1)))</f>
        <v/>
      </c>
      <c r="F36" s="18" t="str" cm="1">
        <f t="array" aca="1" ref="F36" ca="1">IF(OR(E36=0,E36=""),"",INDEX(misCriticidades,D36)&amp;"-"&amp;IFERROR(MATCH(E36,miOrdenTarjeta,0),0))</f>
        <v/>
      </c>
      <c r="G36" s="17" t="str">
        <f ca="1"/>
        <v/>
      </c>
      <c r="H36" s="18">
        <f t="shared" ca="1" si="11"/>
        <v>1</v>
      </c>
      <c r="I36" s="18" t="str">
        <f t="shared" ca="1" si="22"/>
        <v/>
      </c>
      <c r="J36" s="18" t="str" cm="1">
        <f t="array" aca="1" ref="J36" ca="1">IF(I36="","",IF(I36&lt;&gt;I35,1,IF(J35=misLíneas-2,0,J35+1)))</f>
        <v/>
      </c>
      <c r="K36" s="18" t="str" cm="1">
        <f t="array" aca="1" ref="K36" ca="1">IF(OR(J36=0,J36=""),"",INDEX(misCriticidades,I36)&amp;"-"&amp;IFERROR(MATCH(J36,miOrdenTarjeta,0),0))</f>
        <v/>
      </c>
      <c r="L36" s="17" t="str">
        <f ca="1"/>
        <v/>
      </c>
      <c r="M36" s="18">
        <f t="shared" ca="1" si="12"/>
        <v>1</v>
      </c>
      <c r="N36" s="18" t="str">
        <f t="shared" ca="1" si="23"/>
        <v/>
      </c>
      <c r="O36" s="18" t="str" cm="1">
        <f t="array" aca="1" ref="O36" ca="1">IF(N36="","",IF(N36&lt;&gt;N35,1,IF(O35=misLíneas-2,0,O35+1)))</f>
        <v/>
      </c>
      <c r="P36" s="18" t="str" cm="1">
        <f t="array" aca="1" ref="P36" ca="1">IF(OR(O36=0,O36=""),"",INDEX(misCriticidades,N36)&amp;"-"&amp;IFERROR(MATCH(O36,miOrdenTarjeta,0),0))</f>
        <v/>
      </c>
      <c r="Q36" s="17" t="str">
        <f ca="1"/>
        <v/>
      </c>
      <c r="R36" s="18">
        <f t="shared" ca="1" si="13"/>
        <v>4</v>
      </c>
      <c r="S36" s="18">
        <f t="shared" ca="1" si="24"/>
        <v>27</v>
      </c>
      <c r="T36" s="18" cm="1">
        <f t="array" aca="1" ref="T36" ca="1">IF(S36="","",IF(S36&lt;&gt;S35,1,IF(T35=misLíneas-2,0,T35+1)))</f>
        <v>7</v>
      </c>
      <c r="U36" s="18" t="str" cm="1">
        <f t="array" aca="1" ref="U36" ca="1">IF(OR(T36=0,T36=""),"",INDEX(misCriticidades,S36)&amp;"-"&amp;IFERROR(MATCH(T36,miOrdenTarjeta,0),0))</f>
        <v>2-7</v>
      </c>
      <c r="V36" s="17" t="str">
        <f ca="1"/>
        <v/>
      </c>
      <c r="W36" s="18">
        <f t="shared" ca="1" si="14"/>
        <v>1</v>
      </c>
      <c r="X36" s="18" t="str">
        <f t="shared" ca="1" si="25"/>
        <v/>
      </c>
      <c r="Y36" s="18" t="str" cm="1">
        <f t="array" aca="1" ref="Y36" ca="1">IF(X36="","",IF(X36&lt;&gt;X35,1,IF(Y35=misLíneas-2,0,Y35+1)))</f>
        <v/>
      </c>
      <c r="Z36" s="18" t="str" cm="1">
        <f t="array" aca="1" ref="Z36" ca="1">IF(OR(Y36=0,Y36=""),"",INDEX(misCriticidades,X36)&amp;"-"&amp;IFERROR(MATCH(Y36,miOrdenTarjeta,0),0))</f>
        <v/>
      </c>
      <c r="AA36" s="17" t="str">
        <f ca="1"/>
        <v/>
      </c>
      <c r="AB36" s="18">
        <f t="shared" ca="1" si="15"/>
        <v>1</v>
      </c>
      <c r="AC36" s="18" t="str">
        <f t="shared" ca="1" si="5"/>
        <v/>
      </c>
      <c r="AD36" s="18" t="str" cm="1">
        <f t="array" aca="1" ref="AD36" ca="1">IF(AC36="","",IF(AC36&lt;&gt;AC35,1,IF(AD35=misLíneas-2,0,AD35+1)))</f>
        <v/>
      </c>
      <c r="AE36" s="18" t="str" cm="1">
        <f t="array" aca="1" ref="AE36" ca="1">IF(OR(AD36=0,AD36=""),"",INDEX(misCriticidades,AC36)&amp;"-"&amp;IFERROR(MATCH(AD36,miOrdenTarjeta,0),0))</f>
        <v/>
      </c>
      <c r="AF36" s="17" t="str">
        <f ca="1"/>
        <v/>
      </c>
      <c r="AG36" s="18">
        <f t="shared" ca="1" si="16"/>
        <v>1</v>
      </c>
      <c r="AH36" s="18" t="str">
        <f t="shared" ca="1" si="6"/>
        <v/>
      </c>
      <c r="AI36" s="18" t="str" cm="1">
        <f t="array" aca="1" ref="AI36" ca="1">IF(AH36="","",IF(AH36&lt;&gt;AH35,1,IF(AI35=misLíneas-2,0,AI35+1)))</f>
        <v/>
      </c>
      <c r="AJ36" s="18" t="str" cm="1">
        <f t="array" aca="1" ref="AJ36" ca="1">IF(OR(AI36=0,AI36=""),"",INDEX(misCriticidades,AH36)&amp;"-"&amp;IFERROR(MATCH(AI36,miOrdenTarjeta,0),0))</f>
        <v/>
      </c>
      <c r="AK36" s="17" t="str">
        <f ca="1"/>
        <v/>
      </c>
      <c r="AL36" s="18">
        <f t="shared" ca="1" si="17"/>
        <v>1</v>
      </c>
      <c r="AM36" s="18" t="str">
        <f t="shared" ca="1" si="7"/>
        <v/>
      </c>
      <c r="AN36" s="18" t="str" cm="1">
        <f t="array" aca="1" ref="AN36" ca="1">IF(AM36="","",IF(AM36&lt;&gt;AM35,1,IF(AN35=misLíneas-2,0,AN35+1)))</f>
        <v/>
      </c>
      <c r="AO36" s="18" t="str" cm="1">
        <f t="array" aca="1" ref="AO36" ca="1">IF(OR(AN36=0,AN36=""),"",INDEX(misCriticidades,AM36)&amp;"-"&amp;IFERROR(MATCH(AN36,miOrdenTarjeta,0),0))</f>
        <v/>
      </c>
      <c r="AP36" s="17" t="str">
        <f ca="1"/>
        <v/>
      </c>
      <c r="AQ36" s="18">
        <f t="shared" ca="1" si="18"/>
        <v>1</v>
      </c>
      <c r="AR36" s="18" t="str">
        <f t="shared" ca="1" si="8"/>
        <v/>
      </c>
      <c r="AS36" s="18" t="str" cm="1">
        <f t="array" aca="1" ref="AS36" ca="1">IF(AR36="","",IF(AR36&lt;&gt;AR35,1,IF(AS35=misLíneas-2,0,AS35+1)))</f>
        <v/>
      </c>
      <c r="AT36" s="18" t="str" cm="1">
        <f t="array" aca="1" ref="AT36" ca="1">IF(OR(AS36=0,AS36=""),"",INDEX(misCriticidades,AR36)&amp;"-"&amp;IFERROR(MATCH(AS36,miOrdenTarjeta,0),0))</f>
        <v/>
      </c>
      <c r="AU36" s="17" t="str">
        <f ca="1"/>
        <v/>
      </c>
      <c r="AV36" s="18">
        <f t="shared" ca="1" si="19"/>
        <v>1</v>
      </c>
      <c r="AW36" s="18" t="str">
        <f t="shared" ca="1" si="9"/>
        <v/>
      </c>
      <c r="AX36" s="18" t="str" cm="1">
        <f t="array" aca="1" ref="AX36" ca="1">IF(AW36="","",IF(AW36&lt;&gt;AW35,1,IF(AX35=misLíneas-2,0,AX35+1)))</f>
        <v/>
      </c>
      <c r="AY36" s="18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7" t="str">
        <f ca="1"/>
        <v/>
      </c>
      <c r="C37" s="18">
        <f t="shared" ca="1" si="20"/>
        <v>1</v>
      </c>
      <c r="D37" s="18" t="str">
        <f t="shared" ca="1" si="21"/>
        <v/>
      </c>
      <c r="E37" s="18" t="str" cm="1">
        <f t="array" aca="1" ref="E37" ca="1">IF(D37="","",IF(D37&lt;&gt;D36,1,IF(E36=misLíneas-2,0,E36+1)))</f>
        <v/>
      </c>
      <c r="F37" s="18" t="str" cm="1">
        <f t="array" aca="1" ref="F37" ca="1">IF(OR(E37=0,E37=""),"",INDEX(misCriticidades,D37)&amp;"-"&amp;IFERROR(MATCH(E37,miOrdenTarjeta,0),0))</f>
        <v/>
      </c>
      <c r="G37" s="17" t="str">
        <f ca="1"/>
        <v/>
      </c>
      <c r="H37" s="18">
        <f t="shared" ca="1" si="11"/>
        <v>1</v>
      </c>
      <c r="I37" s="18" t="str">
        <f t="shared" ca="1" si="22"/>
        <v/>
      </c>
      <c r="J37" s="18" t="str" cm="1">
        <f t="array" aca="1" ref="J37" ca="1">IF(I37="","",IF(I37&lt;&gt;I36,1,IF(J36=misLíneas-2,0,J36+1)))</f>
        <v/>
      </c>
      <c r="K37" s="18" t="str" cm="1">
        <f t="array" aca="1" ref="K37" ca="1">IF(OR(J37=0,J37=""),"",INDEX(misCriticidades,I37)&amp;"-"&amp;IFERROR(MATCH(J37,miOrdenTarjeta,0),0))</f>
        <v/>
      </c>
      <c r="L37" s="17" t="str">
        <f ca="1"/>
        <v/>
      </c>
      <c r="M37" s="18">
        <f t="shared" ca="1" si="12"/>
        <v>1</v>
      </c>
      <c r="N37" s="18" t="str">
        <f t="shared" ca="1" si="23"/>
        <v/>
      </c>
      <c r="O37" s="18" t="str" cm="1">
        <f t="array" aca="1" ref="O37" ca="1">IF(N37="","",IF(N37&lt;&gt;N36,1,IF(O36=misLíneas-2,0,O36+1)))</f>
        <v/>
      </c>
      <c r="P37" s="18" t="str" cm="1">
        <f t="array" aca="1" ref="P37" ca="1">IF(OR(O37=0,O37=""),"",INDEX(misCriticidades,N37)&amp;"-"&amp;IFERROR(MATCH(O37,miOrdenTarjeta,0),0))</f>
        <v/>
      </c>
      <c r="Q37" s="17" t="str">
        <f ca="1"/>
        <v/>
      </c>
      <c r="R37" s="18">
        <f t="shared" ca="1" si="13"/>
        <v>4</v>
      </c>
      <c r="S37" s="18">
        <f t="shared" ca="1" si="24"/>
        <v>27</v>
      </c>
      <c r="T37" s="18" cm="1">
        <f t="array" aca="1" ref="T37" ca="1">IF(S37="","",IF(S37&lt;&gt;S36,1,IF(T36=misLíneas-2,0,T36+1)))</f>
        <v>8</v>
      </c>
      <c r="U37" s="18" t="str" cm="1">
        <f t="array" aca="1" ref="U37" ca="1">IF(OR(T37=0,T37=""),"",INDEX(misCriticidades,S37)&amp;"-"&amp;IFERROR(MATCH(T37,miOrdenTarjeta,0),0))</f>
        <v>2-8</v>
      </c>
      <c r="V37" s="17" t="str">
        <f ca="1"/>
        <v/>
      </c>
      <c r="W37" s="18">
        <f t="shared" ca="1" si="14"/>
        <v>1</v>
      </c>
      <c r="X37" s="18" t="str">
        <f t="shared" ca="1" si="25"/>
        <v/>
      </c>
      <c r="Y37" s="18" t="str" cm="1">
        <f t="array" aca="1" ref="Y37" ca="1">IF(X37="","",IF(X37&lt;&gt;X36,1,IF(Y36=misLíneas-2,0,Y36+1)))</f>
        <v/>
      </c>
      <c r="Z37" s="18" t="str" cm="1">
        <f t="array" aca="1" ref="Z37" ca="1">IF(OR(Y37=0,Y37=""),"",INDEX(misCriticidades,X37)&amp;"-"&amp;IFERROR(MATCH(Y37,miOrdenTarjeta,0),0))</f>
        <v/>
      </c>
      <c r="AA37" s="17" t="str">
        <f ca="1"/>
        <v/>
      </c>
      <c r="AB37" s="18">
        <f t="shared" ca="1" si="15"/>
        <v>1</v>
      </c>
      <c r="AC37" s="18" t="str">
        <f t="shared" ca="1" si="5"/>
        <v/>
      </c>
      <c r="AD37" s="18" t="str" cm="1">
        <f t="array" aca="1" ref="AD37" ca="1">IF(AC37="","",IF(AC37&lt;&gt;AC36,1,IF(AD36=misLíneas-2,0,AD36+1)))</f>
        <v/>
      </c>
      <c r="AE37" s="18" t="str" cm="1">
        <f t="array" aca="1" ref="AE37" ca="1">IF(OR(AD37=0,AD37=""),"",INDEX(misCriticidades,AC37)&amp;"-"&amp;IFERROR(MATCH(AD37,miOrdenTarjeta,0),0))</f>
        <v/>
      </c>
      <c r="AF37" s="17" t="str">
        <f ca="1"/>
        <v/>
      </c>
      <c r="AG37" s="18">
        <f t="shared" ca="1" si="16"/>
        <v>1</v>
      </c>
      <c r="AH37" s="18" t="str">
        <f t="shared" ca="1" si="6"/>
        <v/>
      </c>
      <c r="AI37" s="18" t="str" cm="1">
        <f t="array" aca="1" ref="AI37" ca="1">IF(AH37="","",IF(AH37&lt;&gt;AH36,1,IF(AI36=misLíneas-2,0,AI36+1)))</f>
        <v/>
      </c>
      <c r="AJ37" s="18" t="str" cm="1">
        <f t="array" aca="1" ref="AJ37" ca="1">IF(OR(AI37=0,AI37=""),"",INDEX(misCriticidades,AH37)&amp;"-"&amp;IFERROR(MATCH(AI37,miOrdenTarjeta,0),0))</f>
        <v/>
      </c>
      <c r="AK37" s="17" t="str">
        <f ca="1"/>
        <v/>
      </c>
      <c r="AL37" s="18">
        <f t="shared" ca="1" si="17"/>
        <v>1</v>
      </c>
      <c r="AM37" s="18" t="str">
        <f t="shared" ca="1" si="7"/>
        <v/>
      </c>
      <c r="AN37" s="18" t="str" cm="1">
        <f t="array" aca="1" ref="AN37" ca="1">IF(AM37="","",IF(AM37&lt;&gt;AM36,1,IF(AN36=misLíneas-2,0,AN36+1)))</f>
        <v/>
      </c>
      <c r="AO37" s="18" t="str" cm="1">
        <f t="array" aca="1" ref="AO37" ca="1">IF(OR(AN37=0,AN37=""),"",INDEX(misCriticidades,AM37)&amp;"-"&amp;IFERROR(MATCH(AN37,miOrdenTarjeta,0),0))</f>
        <v/>
      </c>
      <c r="AP37" s="17" t="str">
        <f ca="1"/>
        <v/>
      </c>
      <c r="AQ37" s="18">
        <f t="shared" ca="1" si="18"/>
        <v>1</v>
      </c>
      <c r="AR37" s="18" t="str">
        <f t="shared" ca="1" si="8"/>
        <v/>
      </c>
      <c r="AS37" s="18" t="str" cm="1">
        <f t="array" aca="1" ref="AS37" ca="1">IF(AR37="","",IF(AR37&lt;&gt;AR36,1,IF(AS36=misLíneas-2,0,AS36+1)))</f>
        <v/>
      </c>
      <c r="AT37" s="18" t="str" cm="1">
        <f t="array" aca="1" ref="AT37" ca="1">IF(OR(AS37=0,AS37=""),"",INDEX(misCriticidades,AR37)&amp;"-"&amp;IFERROR(MATCH(AS37,miOrdenTarjeta,0),0))</f>
        <v/>
      </c>
      <c r="AU37" s="17" t="str">
        <f ca="1"/>
        <v/>
      </c>
      <c r="AV37" s="18">
        <f t="shared" ca="1" si="19"/>
        <v>1</v>
      </c>
      <c r="AW37" s="18" t="str">
        <f t="shared" ca="1" si="9"/>
        <v/>
      </c>
      <c r="AX37" s="18" t="str" cm="1">
        <f t="array" aca="1" ref="AX37" ca="1">IF(AW37="","",IF(AW37&lt;&gt;AW36,1,IF(AX36=misLíneas-2,0,AX36+1)))</f>
        <v/>
      </c>
      <c r="AY37" s="18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7" t="str">
        <f ca="1"/>
        <v/>
      </c>
      <c r="C38" s="18">
        <f t="shared" ca="1" si="20"/>
        <v>1</v>
      </c>
      <c r="D38" s="18" t="str">
        <f t="shared" ca="1" si="21"/>
        <v/>
      </c>
      <c r="E38" s="18" t="str" cm="1">
        <f t="array" aca="1" ref="E38" ca="1">IF(D38="","",IF(D38&lt;&gt;D37,1,IF(E37=misLíneas-2,0,E37+1)))</f>
        <v/>
      </c>
      <c r="F38" s="18" t="str" cm="1">
        <f t="array" aca="1" ref="F38" ca="1">IF(OR(E38=0,E38=""),"",INDEX(misCriticidades,D38)&amp;"-"&amp;IFERROR(MATCH(E38,miOrdenTarjeta,0),0))</f>
        <v/>
      </c>
      <c r="G38" s="17" t="str">
        <f ca="1"/>
        <v/>
      </c>
      <c r="H38" s="18">
        <f t="shared" ca="1" si="11"/>
        <v>1</v>
      </c>
      <c r="I38" s="18" t="str">
        <f t="shared" ca="1" si="22"/>
        <v/>
      </c>
      <c r="J38" s="18" t="str" cm="1">
        <f t="array" aca="1" ref="J38" ca="1">IF(I38="","",IF(I38&lt;&gt;I37,1,IF(J37=misLíneas-2,0,J37+1)))</f>
        <v/>
      </c>
      <c r="K38" s="18" t="str" cm="1">
        <f t="array" aca="1" ref="K38" ca="1">IF(OR(J38=0,J38=""),"",INDEX(misCriticidades,I38)&amp;"-"&amp;IFERROR(MATCH(J38,miOrdenTarjeta,0),0))</f>
        <v/>
      </c>
      <c r="L38" s="17" t="str">
        <f ca="1"/>
        <v/>
      </c>
      <c r="M38" s="18">
        <f t="shared" ca="1" si="12"/>
        <v>1</v>
      </c>
      <c r="N38" s="18" t="str">
        <f t="shared" ca="1" si="23"/>
        <v/>
      </c>
      <c r="O38" s="18" t="str" cm="1">
        <f t="array" aca="1" ref="O38" ca="1">IF(N38="","",IF(N38&lt;&gt;N37,1,IF(O37=misLíneas-2,0,O37+1)))</f>
        <v/>
      </c>
      <c r="P38" s="18" t="str" cm="1">
        <f t="array" aca="1" ref="P38" ca="1">IF(OR(O38=0,O38=""),"",INDEX(misCriticidades,N38)&amp;"-"&amp;IFERROR(MATCH(O38,miOrdenTarjeta,0),0))</f>
        <v/>
      </c>
      <c r="Q38" s="17" t="str">
        <f ca="1"/>
        <v/>
      </c>
      <c r="R38" s="18">
        <f t="shared" ca="1" si="13"/>
        <v>4</v>
      </c>
      <c r="S38" s="18">
        <f t="shared" ca="1" si="24"/>
        <v>27</v>
      </c>
      <c r="T38" s="18" cm="1">
        <f t="array" aca="1" ref="T38" ca="1">IF(S38="","",IF(S38&lt;&gt;S37,1,IF(T37=misLíneas-2,0,T37+1)))</f>
        <v>0</v>
      </c>
      <c r="U38" s="18" t="str" cm="1">
        <f t="array" aca="1" ref="U38" ca="1">IF(OR(T38=0,T38=""),"",INDEX(misCriticidades,S38)&amp;"-"&amp;IFERROR(MATCH(T38,miOrdenTarjeta,0),0))</f>
        <v/>
      </c>
      <c r="V38" s="17" t="str">
        <f ca="1"/>
        <v/>
      </c>
      <c r="W38" s="18">
        <f t="shared" ca="1" si="14"/>
        <v>1</v>
      </c>
      <c r="X38" s="18" t="str">
        <f t="shared" ca="1" si="25"/>
        <v/>
      </c>
      <c r="Y38" s="18" t="str" cm="1">
        <f t="array" aca="1" ref="Y38" ca="1">IF(X38="","",IF(X38&lt;&gt;X37,1,IF(Y37=misLíneas-2,0,Y37+1)))</f>
        <v/>
      </c>
      <c r="Z38" s="18" t="str" cm="1">
        <f t="array" aca="1" ref="Z38" ca="1">IF(OR(Y38=0,Y38=""),"",INDEX(misCriticidades,X38)&amp;"-"&amp;IFERROR(MATCH(Y38,miOrdenTarjeta,0),0))</f>
        <v/>
      </c>
      <c r="AA38" s="17" t="str">
        <f ca="1"/>
        <v/>
      </c>
      <c r="AB38" s="18">
        <f t="shared" ca="1" si="15"/>
        <v>1</v>
      </c>
      <c r="AC38" s="18" t="str">
        <f t="shared" ca="1" si="5"/>
        <v/>
      </c>
      <c r="AD38" s="18" t="str" cm="1">
        <f t="array" aca="1" ref="AD38" ca="1">IF(AC38="","",IF(AC38&lt;&gt;AC37,1,IF(AD37=misLíneas-2,0,AD37+1)))</f>
        <v/>
      </c>
      <c r="AE38" s="18" t="str" cm="1">
        <f t="array" aca="1" ref="AE38" ca="1">IF(OR(AD38=0,AD38=""),"",INDEX(misCriticidades,AC38)&amp;"-"&amp;IFERROR(MATCH(AD38,miOrdenTarjeta,0),0))</f>
        <v/>
      </c>
      <c r="AF38" s="17" t="str">
        <f ca="1"/>
        <v/>
      </c>
      <c r="AG38" s="18">
        <f t="shared" ca="1" si="16"/>
        <v>1</v>
      </c>
      <c r="AH38" s="18" t="str">
        <f t="shared" ca="1" si="6"/>
        <v/>
      </c>
      <c r="AI38" s="18" t="str" cm="1">
        <f t="array" aca="1" ref="AI38" ca="1">IF(AH38="","",IF(AH38&lt;&gt;AH37,1,IF(AI37=misLíneas-2,0,AI37+1)))</f>
        <v/>
      </c>
      <c r="AJ38" s="18" t="str" cm="1">
        <f t="array" aca="1" ref="AJ38" ca="1">IF(OR(AI38=0,AI38=""),"",INDEX(misCriticidades,AH38)&amp;"-"&amp;IFERROR(MATCH(AI38,miOrdenTarjeta,0),0))</f>
        <v/>
      </c>
      <c r="AK38" s="17" t="str">
        <f ca="1"/>
        <v/>
      </c>
      <c r="AL38" s="18">
        <f t="shared" ca="1" si="17"/>
        <v>1</v>
      </c>
      <c r="AM38" s="18" t="str">
        <f t="shared" ca="1" si="7"/>
        <v/>
      </c>
      <c r="AN38" s="18" t="str" cm="1">
        <f t="array" aca="1" ref="AN38" ca="1">IF(AM38="","",IF(AM38&lt;&gt;AM37,1,IF(AN37=misLíneas-2,0,AN37+1)))</f>
        <v/>
      </c>
      <c r="AO38" s="18" t="str" cm="1">
        <f t="array" aca="1" ref="AO38" ca="1">IF(OR(AN38=0,AN38=""),"",INDEX(misCriticidades,AM38)&amp;"-"&amp;IFERROR(MATCH(AN38,miOrdenTarjeta,0),0))</f>
        <v/>
      </c>
      <c r="AP38" s="17" t="str">
        <f ca="1"/>
        <v/>
      </c>
      <c r="AQ38" s="18">
        <f t="shared" ca="1" si="18"/>
        <v>1</v>
      </c>
      <c r="AR38" s="18" t="str">
        <f t="shared" ca="1" si="8"/>
        <v/>
      </c>
      <c r="AS38" s="18" t="str" cm="1">
        <f t="array" aca="1" ref="AS38" ca="1">IF(AR38="","",IF(AR38&lt;&gt;AR37,1,IF(AS37=misLíneas-2,0,AS37+1)))</f>
        <v/>
      </c>
      <c r="AT38" s="18" t="str" cm="1">
        <f t="array" aca="1" ref="AT38" ca="1">IF(OR(AS38=0,AS38=""),"",INDEX(misCriticidades,AR38)&amp;"-"&amp;IFERROR(MATCH(AS38,miOrdenTarjeta,0),0))</f>
        <v/>
      </c>
      <c r="AU38" s="17" t="str">
        <f ca="1"/>
        <v/>
      </c>
      <c r="AV38" s="18">
        <f t="shared" ca="1" si="19"/>
        <v>1</v>
      </c>
      <c r="AW38" s="18" t="str">
        <f t="shared" ca="1" si="9"/>
        <v/>
      </c>
      <c r="AX38" s="18" t="str" cm="1">
        <f t="array" aca="1" ref="AX38" ca="1">IF(AW38="","",IF(AW38&lt;&gt;AW37,1,IF(AX37=misLíneas-2,0,AX37+1)))</f>
        <v/>
      </c>
      <c r="AY38" s="18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7" t="str">
        <f ca="1"/>
        <v/>
      </c>
      <c r="C39" s="18">
        <f t="shared" ca="1" si="20"/>
        <v>1</v>
      </c>
      <c r="D39" s="18" t="str">
        <f t="shared" ca="1" si="21"/>
        <v/>
      </c>
      <c r="E39" s="18" t="str" cm="1">
        <f t="array" aca="1" ref="E39" ca="1">IF(D39="","",IF(D39&lt;&gt;D38,1,IF(E38=misLíneas-2,0,E38+1)))</f>
        <v/>
      </c>
      <c r="F39" s="18" t="str" cm="1">
        <f t="array" aca="1" ref="F39" ca="1">IF(OR(E39=0,E39=""),"",INDEX(misCriticidades,D39)&amp;"-"&amp;IFERROR(MATCH(E39,miOrdenTarjeta,0),0))</f>
        <v/>
      </c>
      <c r="G39" s="17" t="str">
        <f ca="1"/>
        <v/>
      </c>
      <c r="H39" s="18">
        <f t="shared" ca="1" si="11"/>
        <v>1</v>
      </c>
      <c r="I39" s="18" t="str">
        <f t="shared" ca="1" si="22"/>
        <v/>
      </c>
      <c r="J39" s="18" t="str" cm="1">
        <f t="array" aca="1" ref="J39" ca="1">IF(I39="","",IF(I39&lt;&gt;I38,1,IF(J38=misLíneas-2,0,J38+1)))</f>
        <v/>
      </c>
      <c r="K39" s="18" t="str" cm="1">
        <f t="array" aca="1" ref="K39" ca="1">IF(OR(J39=0,J39=""),"",INDEX(misCriticidades,I39)&amp;"-"&amp;IFERROR(MATCH(J39,miOrdenTarjeta,0),0))</f>
        <v/>
      </c>
      <c r="L39" s="17" t="str">
        <f ca="1"/>
        <v/>
      </c>
      <c r="M39" s="18">
        <f t="shared" ca="1" si="12"/>
        <v>1</v>
      </c>
      <c r="N39" s="18" t="str">
        <f t="shared" ca="1" si="23"/>
        <v/>
      </c>
      <c r="O39" s="18" t="str" cm="1">
        <f t="array" aca="1" ref="O39" ca="1">IF(N39="","",IF(N39&lt;&gt;N38,1,IF(O38=misLíneas-2,0,O38+1)))</f>
        <v/>
      </c>
      <c r="P39" s="18" t="str" cm="1">
        <f t="array" aca="1" ref="P39" ca="1">IF(OR(O39=0,O39=""),"",INDEX(misCriticidades,N39)&amp;"-"&amp;IFERROR(MATCH(O39,miOrdenTarjeta,0),0))</f>
        <v/>
      </c>
      <c r="Q39" s="17" t="str">
        <f ca="1"/>
        <v/>
      </c>
      <c r="R39" s="18">
        <f t="shared" ca="1" si="13"/>
        <v>5</v>
      </c>
      <c r="S39" s="18">
        <f t="shared" ca="1" si="24"/>
        <v>26</v>
      </c>
      <c r="T39" s="18" cm="1">
        <f t="array" aca="1" ref="T39" ca="1">IF(S39="","",IF(S39&lt;&gt;S38,1,IF(T38=misLíneas-2,0,T38+1)))</f>
        <v>1</v>
      </c>
      <c r="U39" s="18" t="str" cm="1">
        <f t="array" aca="1" ref="U39" ca="1">IF(OR(T39=0,T39=""),"",INDEX(misCriticidades,S39)&amp;"-"&amp;IFERROR(MATCH(T39,miOrdenTarjeta,0),0))</f>
        <v>2-1</v>
      </c>
      <c r="V39" s="17" t="str">
        <f ca="1"/>
        <v/>
      </c>
      <c r="W39" s="18">
        <f t="shared" ca="1" si="14"/>
        <v>1</v>
      </c>
      <c r="X39" s="18" t="str">
        <f t="shared" ca="1" si="25"/>
        <v/>
      </c>
      <c r="Y39" s="18" t="str" cm="1">
        <f t="array" aca="1" ref="Y39" ca="1">IF(X39="","",IF(X39&lt;&gt;X38,1,IF(Y38=misLíneas-2,0,Y38+1)))</f>
        <v/>
      </c>
      <c r="Z39" s="18" t="str" cm="1">
        <f t="array" aca="1" ref="Z39" ca="1">IF(OR(Y39=0,Y39=""),"",INDEX(misCriticidades,X39)&amp;"-"&amp;IFERROR(MATCH(Y39,miOrdenTarjeta,0),0))</f>
        <v/>
      </c>
      <c r="AA39" s="17" t="str">
        <f ca="1"/>
        <v/>
      </c>
      <c r="AB39" s="18">
        <f t="shared" ca="1" si="15"/>
        <v>1</v>
      </c>
      <c r="AC39" s="18" t="str">
        <f t="shared" ca="1" si="5"/>
        <v/>
      </c>
      <c r="AD39" s="18" t="str" cm="1">
        <f t="array" aca="1" ref="AD39" ca="1">IF(AC39="","",IF(AC39&lt;&gt;AC38,1,IF(AD38=misLíneas-2,0,AD38+1)))</f>
        <v/>
      </c>
      <c r="AE39" s="18" t="str" cm="1">
        <f t="array" aca="1" ref="AE39" ca="1">IF(OR(AD39=0,AD39=""),"",INDEX(misCriticidades,AC39)&amp;"-"&amp;IFERROR(MATCH(AD39,miOrdenTarjeta,0),0))</f>
        <v/>
      </c>
      <c r="AF39" s="17" t="str">
        <f ca="1"/>
        <v/>
      </c>
      <c r="AG39" s="18">
        <f t="shared" ca="1" si="16"/>
        <v>1</v>
      </c>
      <c r="AH39" s="18" t="str">
        <f t="shared" ca="1" si="6"/>
        <v/>
      </c>
      <c r="AI39" s="18" t="str" cm="1">
        <f t="array" aca="1" ref="AI39" ca="1">IF(AH39="","",IF(AH39&lt;&gt;AH38,1,IF(AI38=misLíneas-2,0,AI38+1)))</f>
        <v/>
      </c>
      <c r="AJ39" s="18" t="str" cm="1">
        <f t="array" aca="1" ref="AJ39" ca="1">IF(OR(AI39=0,AI39=""),"",INDEX(misCriticidades,AH39)&amp;"-"&amp;IFERROR(MATCH(AI39,miOrdenTarjeta,0),0))</f>
        <v/>
      </c>
      <c r="AK39" s="17" t="str">
        <f ca="1"/>
        <v/>
      </c>
      <c r="AL39" s="18">
        <f t="shared" ca="1" si="17"/>
        <v>1</v>
      </c>
      <c r="AM39" s="18" t="str">
        <f t="shared" ca="1" si="7"/>
        <v/>
      </c>
      <c r="AN39" s="18" t="str" cm="1">
        <f t="array" aca="1" ref="AN39" ca="1">IF(AM39="","",IF(AM39&lt;&gt;AM38,1,IF(AN38=misLíneas-2,0,AN38+1)))</f>
        <v/>
      </c>
      <c r="AO39" s="18" t="str" cm="1">
        <f t="array" aca="1" ref="AO39" ca="1">IF(OR(AN39=0,AN39=""),"",INDEX(misCriticidades,AM39)&amp;"-"&amp;IFERROR(MATCH(AN39,miOrdenTarjeta,0),0))</f>
        <v/>
      </c>
      <c r="AP39" s="17" t="str">
        <f ca="1"/>
        <v/>
      </c>
      <c r="AQ39" s="18">
        <f t="shared" ca="1" si="18"/>
        <v>1</v>
      </c>
      <c r="AR39" s="18" t="str">
        <f t="shared" ca="1" si="8"/>
        <v/>
      </c>
      <c r="AS39" s="18" t="str" cm="1">
        <f t="array" aca="1" ref="AS39" ca="1">IF(AR39="","",IF(AR39&lt;&gt;AR38,1,IF(AS38=misLíneas-2,0,AS38+1)))</f>
        <v/>
      </c>
      <c r="AT39" s="18" t="str" cm="1">
        <f t="array" aca="1" ref="AT39" ca="1">IF(OR(AS39=0,AS39=""),"",INDEX(misCriticidades,AR39)&amp;"-"&amp;IFERROR(MATCH(AS39,miOrdenTarjeta,0),0))</f>
        <v/>
      </c>
      <c r="AU39" s="17" t="str">
        <f ca="1"/>
        <v/>
      </c>
      <c r="AV39" s="18">
        <f t="shared" ca="1" si="19"/>
        <v>1</v>
      </c>
      <c r="AW39" s="18" t="str">
        <f t="shared" ca="1" si="9"/>
        <v/>
      </c>
      <c r="AX39" s="18" t="str" cm="1">
        <f t="array" aca="1" ref="AX39" ca="1">IF(AW39="","",IF(AW39&lt;&gt;AW38,1,IF(AX38=misLíneas-2,0,AX38+1)))</f>
        <v/>
      </c>
      <c r="AY39" s="18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7" t="str">
        <f ca="1"/>
        <v/>
      </c>
      <c r="C40" s="18">
        <f t="shared" ca="1" si="20"/>
        <v>1</v>
      </c>
      <c r="D40" s="18" t="str">
        <f t="shared" ca="1" si="21"/>
        <v/>
      </c>
      <c r="E40" s="18" t="str" cm="1">
        <f t="array" aca="1" ref="E40" ca="1">IF(D40="","",IF(D40&lt;&gt;D39,1,IF(E39=misLíneas-2,0,E39+1)))</f>
        <v/>
      </c>
      <c r="F40" s="18" t="str" cm="1">
        <f t="array" aca="1" ref="F40" ca="1">IF(OR(E40=0,E40=""),"",INDEX(misCriticidades,D40)&amp;"-"&amp;IFERROR(MATCH(E40,miOrdenTarjeta,0),0))</f>
        <v/>
      </c>
      <c r="G40" s="17" t="str">
        <f ca="1"/>
        <v/>
      </c>
      <c r="H40" s="18">
        <f t="shared" ca="1" si="11"/>
        <v>1</v>
      </c>
      <c r="I40" s="18" t="str">
        <f t="shared" ca="1" si="22"/>
        <v/>
      </c>
      <c r="J40" s="18" t="str" cm="1">
        <f t="array" aca="1" ref="J40" ca="1">IF(I40="","",IF(I40&lt;&gt;I39,1,IF(J39=misLíneas-2,0,J39+1)))</f>
        <v/>
      </c>
      <c r="K40" s="18" t="str" cm="1">
        <f t="array" aca="1" ref="K40" ca="1">IF(OR(J40=0,J40=""),"",INDEX(misCriticidades,I40)&amp;"-"&amp;IFERROR(MATCH(J40,miOrdenTarjeta,0),0))</f>
        <v/>
      </c>
      <c r="L40" s="17" t="str">
        <f ca="1"/>
        <v/>
      </c>
      <c r="M40" s="18">
        <f t="shared" ca="1" si="12"/>
        <v>1</v>
      </c>
      <c r="N40" s="18" t="str">
        <f t="shared" ca="1" si="23"/>
        <v/>
      </c>
      <c r="O40" s="18" t="str" cm="1">
        <f t="array" aca="1" ref="O40" ca="1">IF(N40="","",IF(N40&lt;&gt;N39,1,IF(O39=misLíneas-2,0,O39+1)))</f>
        <v/>
      </c>
      <c r="P40" s="18" t="str" cm="1">
        <f t="array" aca="1" ref="P40" ca="1">IF(OR(O40=0,O40=""),"",INDEX(misCriticidades,N40)&amp;"-"&amp;IFERROR(MATCH(O40,miOrdenTarjeta,0),0))</f>
        <v/>
      </c>
      <c r="Q40" s="17" t="str">
        <f ca="1"/>
        <v/>
      </c>
      <c r="R40" s="18">
        <f t="shared" ca="1" si="13"/>
        <v>5</v>
      </c>
      <c r="S40" s="18">
        <f t="shared" ca="1" si="24"/>
        <v>26</v>
      </c>
      <c r="T40" s="18" cm="1">
        <f t="array" aca="1" ref="T40" ca="1">IF(S40="","",IF(S40&lt;&gt;S39,1,IF(T39=misLíneas-2,0,T39+1)))</f>
        <v>2</v>
      </c>
      <c r="U40" s="18" t="str" cm="1">
        <f t="array" aca="1" ref="U40" ca="1">IF(OR(T40=0,T40=""),"",INDEX(misCriticidades,S40)&amp;"-"&amp;IFERROR(MATCH(T40,miOrdenTarjeta,0),0))</f>
        <v>2-2</v>
      </c>
      <c r="V40" s="17" t="str">
        <f ca="1"/>
        <v/>
      </c>
      <c r="W40" s="18">
        <f t="shared" ca="1" si="14"/>
        <v>1</v>
      </c>
      <c r="X40" s="18" t="str">
        <f t="shared" ca="1" si="25"/>
        <v/>
      </c>
      <c r="Y40" s="18" t="str" cm="1">
        <f t="array" aca="1" ref="Y40" ca="1">IF(X40="","",IF(X40&lt;&gt;X39,1,IF(Y39=misLíneas-2,0,Y39+1)))</f>
        <v/>
      </c>
      <c r="Z40" s="18" t="str" cm="1">
        <f t="array" aca="1" ref="Z40" ca="1">IF(OR(Y40=0,Y40=""),"",INDEX(misCriticidades,X40)&amp;"-"&amp;IFERROR(MATCH(Y40,miOrdenTarjeta,0),0))</f>
        <v/>
      </c>
      <c r="AA40" s="17" t="str">
        <f ca="1"/>
        <v/>
      </c>
      <c r="AB40" s="18">
        <f t="shared" ca="1" si="15"/>
        <v>1</v>
      </c>
      <c r="AC40" s="18" t="str">
        <f t="shared" ca="1" si="5"/>
        <v/>
      </c>
      <c r="AD40" s="18" t="str" cm="1">
        <f t="array" aca="1" ref="AD40" ca="1">IF(AC40="","",IF(AC40&lt;&gt;AC39,1,IF(AD39=misLíneas-2,0,AD39+1)))</f>
        <v/>
      </c>
      <c r="AE40" s="18" t="str" cm="1">
        <f t="array" aca="1" ref="AE40" ca="1">IF(OR(AD40=0,AD40=""),"",INDEX(misCriticidades,AC40)&amp;"-"&amp;IFERROR(MATCH(AD40,miOrdenTarjeta,0),0))</f>
        <v/>
      </c>
      <c r="AF40" s="17" t="str">
        <f ca="1"/>
        <v/>
      </c>
      <c r="AG40" s="18">
        <f t="shared" ca="1" si="16"/>
        <v>1</v>
      </c>
      <c r="AH40" s="18" t="str">
        <f t="shared" ca="1" si="6"/>
        <v/>
      </c>
      <c r="AI40" s="18" t="str" cm="1">
        <f t="array" aca="1" ref="AI40" ca="1">IF(AH40="","",IF(AH40&lt;&gt;AH39,1,IF(AI39=misLíneas-2,0,AI39+1)))</f>
        <v/>
      </c>
      <c r="AJ40" s="18" t="str" cm="1">
        <f t="array" aca="1" ref="AJ40" ca="1">IF(OR(AI40=0,AI40=""),"",INDEX(misCriticidades,AH40)&amp;"-"&amp;IFERROR(MATCH(AI40,miOrdenTarjeta,0),0))</f>
        <v/>
      </c>
      <c r="AK40" s="17" t="str">
        <f ca="1"/>
        <v/>
      </c>
      <c r="AL40" s="18">
        <f t="shared" ca="1" si="17"/>
        <v>1</v>
      </c>
      <c r="AM40" s="18" t="str">
        <f t="shared" ca="1" si="7"/>
        <v/>
      </c>
      <c r="AN40" s="18" t="str" cm="1">
        <f t="array" aca="1" ref="AN40" ca="1">IF(AM40="","",IF(AM40&lt;&gt;AM39,1,IF(AN39=misLíneas-2,0,AN39+1)))</f>
        <v/>
      </c>
      <c r="AO40" s="18" t="str" cm="1">
        <f t="array" aca="1" ref="AO40" ca="1">IF(OR(AN40=0,AN40=""),"",INDEX(misCriticidades,AM40)&amp;"-"&amp;IFERROR(MATCH(AN40,miOrdenTarjeta,0),0))</f>
        <v/>
      </c>
      <c r="AP40" s="17" t="str">
        <f ca="1"/>
        <v/>
      </c>
      <c r="AQ40" s="18">
        <f t="shared" ca="1" si="18"/>
        <v>1</v>
      </c>
      <c r="AR40" s="18" t="str">
        <f t="shared" ca="1" si="8"/>
        <v/>
      </c>
      <c r="AS40" s="18" t="str" cm="1">
        <f t="array" aca="1" ref="AS40" ca="1">IF(AR40="","",IF(AR40&lt;&gt;AR39,1,IF(AS39=misLíneas-2,0,AS39+1)))</f>
        <v/>
      </c>
      <c r="AT40" s="18" t="str" cm="1">
        <f t="array" aca="1" ref="AT40" ca="1">IF(OR(AS40=0,AS40=""),"",INDEX(misCriticidades,AR40)&amp;"-"&amp;IFERROR(MATCH(AS40,miOrdenTarjeta,0),0))</f>
        <v/>
      </c>
      <c r="AU40" s="17" t="str">
        <f ca="1"/>
        <v/>
      </c>
      <c r="AV40" s="18">
        <f t="shared" ca="1" si="19"/>
        <v>1</v>
      </c>
      <c r="AW40" s="18" t="str">
        <f t="shared" ca="1" si="9"/>
        <v/>
      </c>
      <c r="AX40" s="18" t="str" cm="1">
        <f t="array" aca="1" ref="AX40" ca="1">IF(AW40="","",IF(AW40&lt;&gt;AW39,1,IF(AX39=misLíneas-2,0,AX39+1)))</f>
        <v/>
      </c>
      <c r="AY40" s="18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7" t="str">
        <f ca="1"/>
        <v/>
      </c>
      <c r="C41" s="18">
        <f t="shared" ca="1" si="20"/>
        <v>1</v>
      </c>
      <c r="D41" s="18" t="str">
        <f t="shared" ca="1" si="21"/>
        <v/>
      </c>
      <c r="E41" s="18" t="str" cm="1">
        <f t="array" aca="1" ref="E41" ca="1">IF(D41="","",IF(D41&lt;&gt;D40,1,IF(E40=misLíneas-2,0,E40+1)))</f>
        <v/>
      </c>
      <c r="F41" s="18" t="str" cm="1">
        <f t="array" aca="1" ref="F41" ca="1">IF(OR(E41=0,E41=""),"",INDEX(misCriticidades,D41)&amp;"-"&amp;IFERROR(MATCH(E41,miOrdenTarjeta,0),0))</f>
        <v/>
      </c>
      <c r="G41" s="17" t="str">
        <f ca="1"/>
        <v/>
      </c>
      <c r="H41" s="18">
        <f t="shared" ca="1" si="11"/>
        <v>1</v>
      </c>
      <c r="I41" s="18" t="str">
        <f t="shared" ca="1" si="22"/>
        <v/>
      </c>
      <c r="J41" s="18" t="str" cm="1">
        <f t="array" aca="1" ref="J41" ca="1">IF(I41="","",IF(I41&lt;&gt;I40,1,IF(J40=misLíneas-2,0,J40+1)))</f>
        <v/>
      </c>
      <c r="K41" s="18" t="str" cm="1">
        <f t="array" aca="1" ref="K41" ca="1">IF(OR(J41=0,J41=""),"",INDEX(misCriticidades,I41)&amp;"-"&amp;IFERROR(MATCH(J41,miOrdenTarjeta,0),0))</f>
        <v/>
      </c>
      <c r="L41" s="17" t="str">
        <f ca="1"/>
        <v/>
      </c>
      <c r="M41" s="18">
        <f t="shared" ca="1" si="12"/>
        <v>1</v>
      </c>
      <c r="N41" s="18" t="str">
        <f t="shared" ca="1" si="23"/>
        <v/>
      </c>
      <c r="O41" s="18" t="str" cm="1">
        <f t="array" aca="1" ref="O41" ca="1">IF(N41="","",IF(N41&lt;&gt;N40,1,IF(O40=misLíneas-2,0,O40+1)))</f>
        <v/>
      </c>
      <c r="P41" s="18" t="str" cm="1">
        <f t="array" aca="1" ref="P41" ca="1">IF(OR(O41=0,O41=""),"",INDEX(misCriticidades,N41)&amp;"-"&amp;IFERROR(MATCH(O41,miOrdenTarjeta,0),0))</f>
        <v/>
      </c>
      <c r="Q41" s="17" t="str">
        <f ca="1"/>
        <v/>
      </c>
      <c r="R41" s="18">
        <f t="shared" ca="1" si="13"/>
        <v>5</v>
      </c>
      <c r="S41" s="18">
        <f t="shared" ca="1" si="24"/>
        <v>26</v>
      </c>
      <c r="T41" s="18" cm="1">
        <f t="array" aca="1" ref="T41" ca="1">IF(S41="","",IF(S41&lt;&gt;S40,1,IF(T40=misLíneas-2,0,T40+1)))</f>
        <v>3</v>
      </c>
      <c r="U41" s="18" t="str" cm="1">
        <f t="array" aca="1" ref="U41" ca="1">IF(OR(T41=0,T41=""),"",INDEX(misCriticidades,S41)&amp;"-"&amp;IFERROR(MATCH(T41,miOrdenTarjeta,0),0))</f>
        <v>2-3</v>
      </c>
      <c r="V41" s="17" t="str">
        <f ca="1"/>
        <v/>
      </c>
      <c r="W41" s="18">
        <f t="shared" ca="1" si="14"/>
        <v>1</v>
      </c>
      <c r="X41" s="18" t="str">
        <f t="shared" ca="1" si="25"/>
        <v/>
      </c>
      <c r="Y41" s="18" t="str" cm="1">
        <f t="array" aca="1" ref="Y41" ca="1">IF(X41="","",IF(X41&lt;&gt;X40,1,IF(Y40=misLíneas-2,0,Y40+1)))</f>
        <v/>
      </c>
      <c r="Z41" s="18" t="str" cm="1">
        <f t="array" aca="1" ref="Z41" ca="1">IF(OR(Y41=0,Y41=""),"",INDEX(misCriticidades,X41)&amp;"-"&amp;IFERROR(MATCH(Y41,miOrdenTarjeta,0),0))</f>
        <v/>
      </c>
      <c r="AA41" s="17" t="str">
        <f ca="1"/>
        <v/>
      </c>
      <c r="AB41" s="18">
        <f t="shared" ca="1" si="15"/>
        <v>1</v>
      </c>
      <c r="AC41" s="18" t="str">
        <f t="shared" ca="1" si="5"/>
        <v/>
      </c>
      <c r="AD41" s="18" t="str" cm="1">
        <f t="array" aca="1" ref="AD41" ca="1">IF(AC41="","",IF(AC41&lt;&gt;AC40,1,IF(AD40=misLíneas-2,0,AD40+1)))</f>
        <v/>
      </c>
      <c r="AE41" s="18" t="str" cm="1">
        <f t="array" aca="1" ref="AE41" ca="1">IF(OR(AD41=0,AD41=""),"",INDEX(misCriticidades,AC41)&amp;"-"&amp;IFERROR(MATCH(AD41,miOrdenTarjeta,0),0))</f>
        <v/>
      </c>
      <c r="AF41" s="17" t="str">
        <f ca="1"/>
        <v/>
      </c>
      <c r="AG41" s="18">
        <f t="shared" ca="1" si="16"/>
        <v>1</v>
      </c>
      <c r="AH41" s="18" t="str">
        <f t="shared" ca="1" si="6"/>
        <v/>
      </c>
      <c r="AI41" s="18" t="str" cm="1">
        <f t="array" aca="1" ref="AI41" ca="1">IF(AH41="","",IF(AH41&lt;&gt;AH40,1,IF(AI40=misLíneas-2,0,AI40+1)))</f>
        <v/>
      </c>
      <c r="AJ41" s="18" t="str" cm="1">
        <f t="array" aca="1" ref="AJ41" ca="1">IF(OR(AI41=0,AI41=""),"",INDEX(misCriticidades,AH41)&amp;"-"&amp;IFERROR(MATCH(AI41,miOrdenTarjeta,0),0))</f>
        <v/>
      </c>
      <c r="AK41" s="17" t="str">
        <f ca="1"/>
        <v/>
      </c>
      <c r="AL41" s="18">
        <f t="shared" ca="1" si="17"/>
        <v>1</v>
      </c>
      <c r="AM41" s="18" t="str">
        <f t="shared" ca="1" si="7"/>
        <v/>
      </c>
      <c r="AN41" s="18" t="str" cm="1">
        <f t="array" aca="1" ref="AN41" ca="1">IF(AM41="","",IF(AM41&lt;&gt;AM40,1,IF(AN40=misLíneas-2,0,AN40+1)))</f>
        <v/>
      </c>
      <c r="AO41" s="18" t="str" cm="1">
        <f t="array" aca="1" ref="AO41" ca="1">IF(OR(AN41=0,AN41=""),"",INDEX(misCriticidades,AM41)&amp;"-"&amp;IFERROR(MATCH(AN41,miOrdenTarjeta,0),0))</f>
        <v/>
      </c>
      <c r="AP41" s="17" t="str">
        <f ca="1"/>
        <v/>
      </c>
      <c r="AQ41" s="18">
        <f t="shared" ca="1" si="18"/>
        <v>1</v>
      </c>
      <c r="AR41" s="18" t="str">
        <f t="shared" ca="1" si="8"/>
        <v/>
      </c>
      <c r="AS41" s="18" t="str" cm="1">
        <f t="array" aca="1" ref="AS41" ca="1">IF(AR41="","",IF(AR41&lt;&gt;AR40,1,IF(AS40=misLíneas-2,0,AS40+1)))</f>
        <v/>
      </c>
      <c r="AT41" s="18" t="str" cm="1">
        <f t="array" aca="1" ref="AT41" ca="1">IF(OR(AS41=0,AS41=""),"",INDEX(misCriticidades,AR41)&amp;"-"&amp;IFERROR(MATCH(AS41,miOrdenTarjeta,0),0))</f>
        <v/>
      </c>
      <c r="AU41" s="17" t="str">
        <f ca="1"/>
        <v/>
      </c>
      <c r="AV41" s="18">
        <f t="shared" ca="1" si="19"/>
        <v>1</v>
      </c>
      <c r="AW41" s="18" t="str">
        <f t="shared" ca="1" si="9"/>
        <v/>
      </c>
      <c r="AX41" s="18" t="str" cm="1">
        <f t="array" aca="1" ref="AX41" ca="1">IF(AW41="","",IF(AW41&lt;&gt;AW40,1,IF(AX40=misLíneas-2,0,AX40+1)))</f>
        <v/>
      </c>
      <c r="AY41" s="18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7" t="str">
        <f ca="1"/>
        <v/>
      </c>
      <c r="C42" s="18">
        <f t="shared" ca="1" si="20"/>
        <v>1</v>
      </c>
      <c r="D42" s="18" t="str">
        <f t="shared" ca="1" si="21"/>
        <v/>
      </c>
      <c r="E42" s="18" t="str" cm="1">
        <f t="array" aca="1" ref="E42" ca="1">IF(D42="","",IF(D42&lt;&gt;D41,1,IF(E41=misLíneas-2,0,E41+1)))</f>
        <v/>
      </c>
      <c r="F42" s="18" t="str" cm="1">
        <f t="array" aca="1" ref="F42" ca="1">IF(OR(E42=0,E42=""),"",INDEX(misCriticidades,D42)&amp;"-"&amp;IFERROR(MATCH(E42,miOrdenTarjeta,0),0))</f>
        <v/>
      </c>
      <c r="G42" s="17" t="str">
        <f ca="1"/>
        <v/>
      </c>
      <c r="H42" s="18">
        <f t="shared" ca="1" si="11"/>
        <v>1</v>
      </c>
      <c r="I42" s="18" t="str">
        <f t="shared" ca="1" si="22"/>
        <v/>
      </c>
      <c r="J42" s="18" t="str" cm="1">
        <f t="array" aca="1" ref="J42" ca="1">IF(I42="","",IF(I42&lt;&gt;I41,1,IF(J41=misLíneas-2,0,J41+1)))</f>
        <v/>
      </c>
      <c r="K42" s="18" t="str" cm="1">
        <f t="array" aca="1" ref="K42" ca="1">IF(OR(J42=0,J42=""),"",INDEX(misCriticidades,I42)&amp;"-"&amp;IFERROR(MATCH(J42,miOrdenTarjeta,0),0))</f>
        <v/>
      </c>
      <c r="L42" s="17" t="str">
        <f ca="1"/>
        <v/>
      </c>
      <c r="M42" s="18">
        <f t="shared" ca="1" si="12"/>
        <v>1</v>
      </c>
      <c r="N42" s="18" t="str">
        <f t="shared" ca="1" si="23"/>
        <v/>
      </c>
      <c r="O42" s="18" t="str" cm="1">
        <f t="array" aca="1" ref="O42" ca="1">IF(N42="","",IF(N42&lt;&gt;N41,1,IF(O41=misLíneas-2,0,O41+1)))</f>
        <v/>
      </c>
      <c r="P42" s="18" t="str" cm="1">
        <f t="array" aca="1" ref="P42" ca="1">IF(OR(O42=0,O42=""),"",INDEX(misCriticidades,N42)&amp;"-"&amp;IFERROR(MATCH(O42,miOrdenTarjeta,0),0))</f>
        <v/>
      </c>
      <c r="Q42" s="17" t="str">
        <f ca="1"/>
        <v/>
      </c>
      <c r="R42" s="18">
        <f t="shared" ca="1" si="13"/>
        <v>5</v>
      </c>
      <c r="S42" s="18">
        <f t="shared" ca="1" si="24"/>
        <v>26</v>
      </c>
      <c r="T42" s="18" cm="1">
        <f t="array" aca="1" ref="T42" ca="1">IF(S42="","",IF(S42&lt;&gt;S41,1,IF(T41=misLíneas-2,0,T41+1)))</f>
        <v>4</v>
      </c>
      <c r="U42" s="18" t="str" cm="1">
        <f t="array" aca="1" ref="U42" ca="1">IF(OR(T42=0,T42=""),"",INDEX(misCriticidades,S42)&amp;"-"&amp;IFERROR(MATCH(T42,miOrdenTarjeta,0),0))</f>
        <v>2-4</v>
      </c>
      <c r="V42" s="17" t="str">
        <f ca="1"/>
        <v/>
      </c>
      <c r="W42" s="18">
        <f t="shared" ca="1" si="14"/>
        <v>1</v>
      </c>
      <c r="X42" s="18" t="str">
        <f t="shared" ca="1" si="25"/>
        <v/>
      </c>
      <c r="Y42" s="18" t="str" cm="1">
        <f t="array" aca="1" ref="Y42" ca="1">IF(X42="","",IF(X42&lt;&gt;X41,1,IF(Y41=misLíneas-2,0,Y41+1)))</f>
        <v/>
      </c>
      <c r="Z42" s="18" t="str" cm="1">
        <f t="array" aca="1" ref="Z42" ca="1">IF(OR(Y42=0,Y42=""),"",INDEX(misCriticidades,X42)&amp;"-"&amp;IFERROR(MATCH(Y42,miOrdenTarjeta,0),0))</f>
        <v/>
      </c>
      <c r="AA42" s="17" t="str">
        <f ca="1"/>
        <v/>
      </c>
      <c r="AB42" s="18">
        <f t="shared" ca="1" si="15"/>
        <v>1</v>
      </c>
      <c r="AC42" s="18" t="str">
        <f t="shared" ca="1" si="5"/>
        <v/>
      </c>
      <c r="AD42" s="18" t="str" cm="1">
        <f t="array" aca="1" ref="AD42" ca="1">IF(AC42="","",IF(AC42&lt;&gt;AC41,1,IF(AD41=misLíneas-2,0,AD41+1)))</f>
        <v/>
      </c>
      <c r="AE42" s="18" t="str" cm="1">
        <f t="array" aca="1" ref="AE42" ca="1">IF(OR(AD42=0,AD42=""),"",INDEX(misCriticidades,AC42)&amp;"-"&amp;IFERROR(MATCH(AD42,miOrdenTarjeta,0),0))</f>
        <v/>
      </c>
      <c r="AF42" s="17" t="str">
        <f ca="1"/>
        <v/>
      </c>
      <c r="AG42" s="18">
        <f t="shared" ca="1" si="16"/>
        <v>1</v>
      </c>
      <c r="AH42" s="18" t="str">
        <f t="shared" ca="1" si="6"/>
        <v/>
      </c>
      <c r="AI42" s="18" t="str" cm="1">
        <f t="array" aca="1" ref="AI42" ca="1">IF(AH42="","",IF(AH42&lt;&gt;AH41,1,IF(AI41=misLíneas-2,0,AI41+1)))</f>
        <v/>
      </c>
      <c r="AJ42" s="18" t="str" cm="1">
        <f t="array" aca="1" ref="AJ42" ca="1">IF(OR(AI42=0,AI42=""),"",INDEX(misCriticidades,AH42)&amp;"-"&amp;IFERROR(MATCH(AI42,miOrdenTarjeta,0),0))</f>
        <v/>
      </c>
      <c r="AK42" s="17" t="str">
        <f ca="1"/>
        <v/>
      </c>
      <c r="AL42" s="18">
        <f t="shared" ca="1" si="17"/>
        <v>1</v>
      </c>
      <c r="AM42" s="18" t="str">
        <f t="shared" ca="1" si="7"/>
        <v/>
      </c>
      <c r="AN42" s="18" t="str" cm="1">
        <f t="array" aca="1" ref="AN42" ca="1">IF(AM42="","",IF(AM42&lt;&gt;AM41,1,IF(AN41=misLíneas-2,0,AN41+1)))</f>
        <v/>
      </c>
      <c r="AO42" s="18" t="str" cm="1">
        <f t="array" aca="1" ref="AO42" ca="1">IF(OR(AN42=0,AN42=""),"",INDEX(misCriticidades,AM42)&amp;"-"&amp;IFERROR(MATCH(AN42,miOrdenTarjeta,0),0))</f>
        <v/>
      </c>
      <c r="AP42" s="17" t="str">
        <f ca="1"/>
        <v/>
      </c>
      <c r="AQ42" s="18">
        <f t="shared" ca="1" si="18"/>
        <v>1</v>
      </c>
      <c r="AR42" s="18" t="str">
        <f t="shared" ca="1" si="8"/>
        <v/>
      </c>
      <c r="AS42" s="18" t="str" cm="1">
        <f t="array" aca="1" ref="AS42" ca="1">IF(AR42="","",IF(AR42&lt;&gt;AR41,1,IF(AS41=misLíneas-2,0,AS41+1)))</f>
        <v/>
      </c>
      <c r="AT42" s="18" t="str" cm="1">
        <f t="array" aca="1" ref="AT42" ca="1">IF(OR(AS42=0,AS42=""),"",INDEX(misCriticidades,AR42)&amp;"-"&amp;IFERROR(MATCH(AS42,miOrdenTarjeta,0),0))</f>
        <v/>
      </c>
      <c r="AU42" s="17" t="str">
        <f ca="1"/>
        <v/>
      </c>
      <c r="AV42" s="18">
        <f t="shared" ca="1" si="19"/>
        <v>1</v>
      </c>
      <c r="AW42" s="18" t="str">
        <f t="shared" ca="1" si="9"/>
        <v/>
      </c>
      <c r="AX42" s="18" t="str" cm="1">
        <f t="array" aca="1" ref="AX42" ca="1">IF(AW42="","",IF(AW42&lt;&gt;AW41,1,IF(AX41=misLíneas-2,0,AX41+1)))</f>
        <v/>
      </c>
      <c r="AY42" s="18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7" t="str">
        <f ca="1"/>
        <v/>
      </c>
      <c r="C43" s="18">
        <f t="shared" ca="1" si="20"/>
        <v>1</v>
      </c>
      <c r="D43" s="18" t="str">
        <f t="shared" ca="1" si="21"/>
        <v/>
      </c>
      <c r="E43" s="18" t="str" cm="1">
        <f t="array" aca="1" ref="E43" ca="1">IF(D43="","",IF(D43&lt;&gt;D42,1,IF(E42=misLíneas-2,0,E42+1)))</f>
        <v/>
      </c>
      <c r="F43" s="18" t="str" cm="1">
        <f t="array" aca="1" ref="F43" ca="1">IF(OR(E43=0,E43=""),"",INDEX(misCriticidades,D43)&amp;"-"&amp;IFERROR(MATCH(E43,miOrdenTarjeta,0),0))</f>
        <v/>
      </c>
      <c r="G43" s="17" t="str">
        <f ca="1"/>
        <v/>
      </c>
      <c r="H43" s="18">
        <f t="shared" ca="1" si="11"/>
        <v>1</v>
      </c>
      <c r="I43" s="18" t="str">
        <f t="shared" ca="1" si="22"/>
        <v/>
      </c>
      <c r="J43" s="18" t="str" cm="1">
        <f t="array" aca="1" ref="J43" ca="1">IF(I43="","",IF(I43&lt;&gt;I42,1,IF(J42=misLíneas-2,0,J42+1)))</f>
        <v/>
      </c>
      <c r="K43" s="18" t="str" cm="1">
        <f t="array" aca="1" ref="K43" ca="1">IF(OR(J43=0,J43=""),"",INDEX(misCriticidades,I43)&amp;"-"&amp;IFERROR(MATCH(J43,miOrdenTarjeta,0),0))</f>
        <v/>
      </c>
      <c r="L43" s="17" t="str">
        <f ca="1"/>
        <v/>
      </c>
      <c r="M43" s="18">
        <f t="shared" ca="1" si="12"/>
        <v>1</v>
      </c>
      <c r="N43" s="18" t="str">
        <f t="shared" ca="1" si="23"/>
        <v/>
      </c>
      <c r="O43" s="18" t="str" cm="1">
        <f t="array" aca="1" ref="O43" ca="1">IF(N43="","",IF(N43&lt;&gt;N42,1,IF(O42=misLíneas-2,0,O42+1)))</f>
        <v/>
      </c>
      <c r="P43" s="18" t="str" cm="1">
        <f t="array" aca="1" ref="P43" ca="1">IF(OR(O43=0,O43=""),"",INDEX(misCriticidades,N43)&amp;"-"&amp;IFERROR(MATCH(O43,miOrdenTarjeta,0),0))</f>
        <v/>
      </c>
      <c r="Q43" s="17" t="str">
        <f ca="1"/>
        <v/>
      </c>
      <c r="R43" s="18">
        <f t="shared" ca="1" si="13"/>
        <v>5</v>
      </c>
      <c r="S43" s="18">
        <f t="shared" ca="1" si="24"/>
        <v>26</v>
      </c>
      <c r="T43" s="18" cm="1">
        <f t="array" aca="1" ref="T43" ca="1">IF(S43="","",IF(S43&lt;&gt;S42,1,IF(T42=misLíneas-2,0,T42+1)))</f>
        <v>5</v>
      </c>
      <c r="U43" s="18" t="str" cm="1">
        <f t="array" aca="1" ref="U43" ca="1">IF(OR(T43=0,T43=""),"",INDEX(misCriticidades,S43)&amp;"-"&amp;IFERROR(MATCH(T43,miOrdenTarjeta,0),0))</f>
        <v>2-5</v>
      </c>
      <c r="V43" s="17" t="str">
        <f ca="1"/>
        <v/>
      </c>
      <c r="W43" s="18">
        <f t="shared" ca="1" si="14"/>
        <v>1</v>
      </c>
      <c r="X43" s="18" t="str">
        <f t="shared" ca="1" si="25"/>
        <v/>
      </c>
      <c r="Y43" s="18" t="str" cm="1">
        <f t="array" aca="1" ref="Y43" ca="1">IF(X43="","",IF(X43&lt;&gt;X42,1,IF(Y42=misLíneas-2,0,Y42+1)))</f>
        <v/>
      </c>
      <c r="Z43" s="18" t="str" cm="1">
        <f t="array" aca="1" ref="Z43" ca="1">IF(OR(Y43=0,Y43=""),"",INDEX(misCriticidades,X43)&amp;"-"&amp;IFERROR(MATCH(Y43,miOrdenTarjeta,0),0))</f>
        <v/>
      </c>
      <c r="AA43" s="17" t="str">
        <f ca="1"/>
        <v/>
      </c>
      <c r="AB43" s="18">
        <f t="shared" ca="1" si="15"/>
        <v>1</v>
      </c>
      <c r="AC43" s="18" t="str">
        <f t="shared" ca="1" si="5"/>
        <v/>
      </c>
      <c r="AD43" s="18" t="str" cm="1">
        <f t="array" aca="1" ref="AD43" ca="1">IF(AC43="","",IF(AC43&lt;&gt;AC42,1,IF(AD42=misLíneas-2,0,AD42+1)))</f>
        <v/>
      </c>
      <c r="AE43" s="18" t="str" cm="1">
        <f t="array" aca="1" ref="AE43" ca="1">IF(OR(AD43=0,AD43=""),"",INDEX(misCriticidades,AC43)&amp;"-"&amp;IFERROR(MATCH(AD43,miOrdenTarjeta,0),0))</f>
        <v/>
      </c>
      <c r="AF43" s="17" t="str">
        <f ca="1"/>
        <v/>
      </c>
      <c r="AG43" s="18">
        <f t="shared" ca="1" si="16"/>
        <v>1</v>
      </c>
      <c r="AH43" s="18" t="str">
        <f t="shared" ca="1" si="6"/>
        <v/>
      </c>
      <c r="AI43" s="18" t="str" cm="1">
        <f t="array" aca="1" ref="AI43" ca="1">IF(AH43="","",IF(AH43&lt;&gt;AH42,1,IF(AI42=misLíneas-2,0,AI42+1)))</f>
        <v/>
      </c>
      <c r="AJ43" s="18" t="str" cm="1">
        <f t="array" aca="1" ref="AJ43" ca="1">IF(OR(AI43=0,AI43=""),"",INDEX(misCriticidades,AH43)&amp;"-"&amp;IFERROR(MATCH(AI43,miOrdenTarjeta,0),0))</f>
        <v/>
      </c>
      <c r="AK43" s="17" t="str">
        <f ca="1"/>
        <v/>
      </c>
      <c r="AL43" s="18">
        <f t="shared" ca="1" si="17"/>
        <v>1</v>
      </c>
      <c r="AM43" s="18" t="str">
        <f t="shared" ca="1" si="7"/>
        <v/>
      </c>
      <c r="AN43" s="18" t="str" cm="1">
        <f t="array" aca="1" ref="AN43" ca="1">IF(AM43="","",IF(AM43&lt;&gt;AM42,1,IF(AN42=misLíneas-2,0,AN42+1)))</f>
        <v/>
      </c>
      <c r="AO43" s="18" t="str" cm="1">
        <f t="array" aca="1" ref="AO43" ca="1">IF(OR(AN43=0,AN43=""),"",INDEX(misCriticidades,AM43)&amp;"-"&amp;IFERROR(MATCH(AN43,miOrdenTarjeta,0),0))</f>
        <v/>
      </c>
      <c r="AP43" s="17" t="str">
        <f ca="1"/>
        <v/>
      </c>
      <c r="AQ43" s="18">
        <f t="shared" ca="1" si="18"/>
        <v>1</v>
      </c>
      <c r="AR43" s="18" t="str">
        <f t="shared" ca="1" si="8"/>
        <v/>
      </c>
      <c r="AS43" s="18" t="str" cm="1">
        <f t="array" aca="1" ref="AS43" ca="1">IF(AR43="","",IF(AR43&lt;&gt;AR42,1,IF(AS42=misLíneas-2,0,AS42+1)))</f>
        <v/>
      </c>
      <c r="AT43" s="18" t="str" cm="1">
        <f t="array" aca="1" ref="AT43" ca="1">IF(OR(AS43=0,AS43=""),"",INDEX(misCriticidades,AR43)&amp;"-"&amp;IFERROR(MATCH(AS43,miOrdenTarjeta,0),0))</f>
        <v/>
      </c>
      <c r="AU43" s="17" t="str">
        <f ca="1"/>
        <v/>
      </c>
      <c r="AV43" s="18">
        <f t="shared" ca="1" si="19"/>
        <v>1</v>
      </c>
      <c r="AW43" s="18" t="str">
        <f t="shared" ca="1" si="9"/>
        <v/>
      </c>
      <c r="AX43" s="18" t="str" cm="1">
        <f t="array" aca="1" ref="AX43" ca="1">IF(AW43="","",IF(AW43&lt;&gt;AW42,1,IF(AX42=misLíneas-2,0,AX42+1)))</f>
        <v/>
      </c>
      <c r="AY43" s="18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7" t="str">
        <f ca="1"/>
        <v/>
      </c>
      <c r="C44" s="18">
        <f t="shared" ca="1" si="20"/>
        <v>1</v>
      </c>
      <c r="D44" s="18" t="str">
        <f t="shared" ca="1" si="21"/>
        <v/>
      </c>
      <c r="E44" s="18" t="str" cm="1">
        <f t="array" aca="1" ref="E44" ca="1">IF(D44="","",IF(D44&lt;&gt;D43,1,IF(E43=misLíneas-2,0,E43+1)))</f>
        <v/>
      </c>
      <c r="F44" s="18" t="str" cm="1">
        <f t="array" aca="1" ref="F44" ca="1">IF(OR(E44=0,E44=""),"",INDEX(misCriticidades,D44)&amp;"-"&amp;IFERROR(MATCH(E44,miOrdenTarjeta,0),0))</f>
        <v/>
      </c>
      <c r="G44" s="17" t="str">
        <f ca="1"/>
        <v/>
      </c>
      <c r="H44" s="18">
        <f t="shared" ca="1" si="11"/>
        <v>1</v>
      </c>
      <c r="I44" s="18" t="str">
        <f t="shared" ca="1" si="22"/>
        <v/>
      </c>
      <c r="J44" s="18" t="str" cm="1">
        <f t="array" aca="1" ref="J44" ca="1">IF(I44="","",IF(I44&lt;&gt;I43,1,IF(J43=misLíneas-2,0,J43+1)))</f>
        <v/>
      </c>
      <c r="K44" s="18" t="str" cm="1">
        <f t="array" aca="1" ref="K44" ca="1">IF(OR(J44=0,J44=""),"",INDEX(misCriticidades,I44)&amp;"-"&amp;IFERROR(MATCH(J44,miOrdenTarjeta,0),0))</f>
        <v/>
      </c>
      <c r="L44" s="17" t="str">
        <f ca="1"/>
        <v/>
      </c>
      <c r="M44" s="18">
        <f t="shared" ca="1" si="12"/>
        <v>1</v>
      </c>
      <c r="N44" s="18" t="str">
        <f t="shared" ca="1" si="23"/>
        <v/>
      </c>
      <c r="O44" s="18" t="str" cm="1">
        <f t="array" aca="1" ref="O44" ca="1">IF(N44="","",IF(N44&lt;&gt;N43,1,IF(O43=misLíneas-2,0,O43+1)))</f>
        <v/>
      </c>
      <c r="P44" s="18" t="str" cm="1">
        <f t="array" aca="1" ref="P44" ca="1">IF(OR(O44=0,O44=""),"",INDEX(misCriticidades,N44)&amp;"-"&amp;IFERROR(MATCH(O44,miOrdenTarjeta,0),0))</f>
        <v/>
      </c>
      <c r="Q44" s="17" t="str">
        <f ca="1"/>
        <v/>
      </c>
      <c r="R44" s="18">
        <f t="shared" ca="1" si="13"/>
        <v>5</v>
      </c>
      <c r="S44" s="18">
        <f t="shared" ca="1" si="24"/>
        <v>26</v>
      </c>
      <c r="T44" s="18" cm="1">
        <f t="array" aca="1" ref="T44" ca="1">IF(S44="","",IF(S44&lt;&gt;S43,1,IF(T43=misLíneas-2,0,T43+1)))</f>
        <v>6</v>
      </c>
      <c r="U44" s="18" t="str" cm="1">
        <f t="array" aca="1" ref="U44" ca="1">IF(OR(T44=0,T44=""),"",INDEX(misCriticidades,S44)&amp;"-"&amp;IFERROR(MATCH(T44,miOrdenTarjeta,0),0))</f>
        <v>2-6</v>
      </c>
      <c r="V44" s="17" t="str">
        <f ca="1"/>
        <v/>
      </c>
      <c r="W44" s="18">
        <f t="shared" ca="1" si="14"/>
        <v>1</v>
      </c>
      <c r="X44" s="18" t="str">
        <f t="shared" ca="1" si="25"/>
        <v/>
      </c>
      <c r="Y44" s="18" t="str" cm="1">
        <f t="array" aca="1" ref="Y44" ca="1">IF(X44="","",IF(X44&lt;&gt;X43,1,IF(Y43=misLíneas-2,0,Y43+1)))</f>
        <v/>
      </c>
      <c r="Z44" s="18" t="str" cm="1">
        <f t="array" aca="1" ref="Z44" ca="1">IF(OR(Y44=0,Y44=""),"",INDEX(misCriticidades,X44)&amp;"-"&amp;IFERROR(MATCH(Y44,miOrdenTarjeta,0),0))</f>
        <v/>
      </c>
      <c r="AA44" s="17" t="str">
        <f ca="1"/>
        <v/>
      </c>
      <c r="AB44" s="18">
        <f t="shared" ca="1" si="15"/>
        <v>1</v>
      </c>
      <c r="AC44" s="18" t="str">
        <f t="shared" ca="1" si="5"/>
        <v/>
      </c>
      <c r="AD44" s="18" t="str" cm="1">
        <f t="array" aca="1" ref="AD44" ca="1">IF(AC44="","",IF(AC44&lt;&gt;AC43,1,IF(AD43=misLíneas-2,0,AD43+1)))</f>
        <v/>
      </c>
      <c r="AE44" s="18" t="str" cm="1">
        <f t="array" aca="1" ref="AE44" ca="1">IF(OR(AD44=0,AD44=""),"",INDEX(misCriticidades,AC44)&amp;"-"&amp;IFERROR(MATCH(AD44,miOrdenTarjeta,0),0))</f>
        <v/>
      </c>
      <c r="AF44" s="17" t="str">
        <f ca="1"/>
        <v/>
      </c>
      <c r="AG44" s="18">
        <f t="shared" ca="1" si="16"/>
        <v>1</v>
      </c>
      <c r="AH44" s="18" t="str">
        <f t="shared" ca="1" si="6"/>
        <v/>
      </c>
      <c r="AI44" s="18" t="str" cm="1">
        <f t="array" aca="1" ref="AI44" ca="1">IF(AH44="","",IF(AH44&lt;&gt;AH43,1,IF(AI43=misLíneas-2,0,AI43+1)))</f>
        <v/>
      </c>
      <c r="AJ44" s="18" t="str" cm="1">
        <f t="array" aca="1" ref="AJ44" ca="1">IF(OR(AI44=0,AI44=""),"",INDEX(misCriticidades,AH44)&amp;"-"&amp;IFERROR(MATCH(AI44,miOrdenTarjeta,0),0))</f>
        <v/>
      </c>
      <c r="AK44" s="17" t="str">
        <f ca="1"/>
        <v/>
      </c>
      <c r="AL44" s="18">
        <f t="shared" ca="1" si="17"/>
        <v>1</v>
      </c>
      <c r="AM44" s="18" t="str">
        <f t="shared" ca="1" si="7"/>
        <v/>
      </c>
      <c r="AN44" s="18" t="str" cm="1">
        <f t="array" aca="1" ref="AN44" ca="1">IF(AM44="","",IF(AM44&lt;&gt;AM43,1,IF(AN43=misLíneas-2,0,AN43+1)))</f>
        <v/>
      </c>
      <c r="AO44" s="18" t="str" cm="1">
        <f t="array" aca="1" ref="AO44" ca="1">IF(OR(AN44=0,AN44=""),"",INDEX(misCriticidades,AM44)&amp;"-"&amp;IFERROR(MATCH(AN44,miOrdenTarjeta,0),0))</f>
        <v/>
      </c>
      <c r="AP44" s="17" t="str">
        <f ca="1"/>
        <v/>
      </c>
      <c r="AQ44" s="18">
        <f t="shared" ca="1" si="18"/>
        <v>1</v>
      </c>
      <c r="AR44" s="18" t="str">
        <f t="shared" ca="1" si="8"/>
        <v/>
      </c>
      <c r="AS44" s="18" t="str" cm="1">
        <f t="array" aca="1" ref="AS44" ca="1">IF(AR44="","",IF(AR44&lt;&gt;AR43,1,IF(AS43=misLíneas-2,0,AS43+1)))</f>
        <v/>
      </c>
      <c r="AT44" s="18" t="str" cm="1">
        <f t="array" aca="1" ref="AT44" ca="1">IF(OR(AS44=0,AS44=""),"",INDEX(misCriticidades,AR44)&amp;"-"&amp;IFERROR(MATCH(AS44,miOrdenTarjeta,0),0))</f>
        <v/>
      </c>
      <c r="AU44" s="17" t="str">
        <f ca="1"/>
        <v/>
      </c>
      <c r="AV44" s="18">
        <f t="shared" ca="1" si="19"/>
        <v>1</v>
      </c>
      <c r="AW44" s="18" t="str">
        <f t="shared" ca="1" si="9"/>
        <v/>
      </c>
      <c r="AX44" s="18" t="str" cm="1">
        <f t="array" aca="1" ref="AX44" ca="1">IF(AW44="","",IF(AW44&lt;&gt;AW43,1,IF(AX43=misLíneas-2,0,AX43+1)))</f>
        <v/>
      </c>
      <c r="AY44" s="18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7" t="str">
        <f ca="1"/>
        <v/>
      </c>
      <c r="C45" s="18">
        <f t="shared" ca="1" si="20"/>
        <v>1</v>
      </c>
      <c r="D45" s="18" t="str">
        <f t="shared" ca="1" si="21"/>
        <v/>
      </c>
      <c r="E45" s="18" t="str" cm="1">
        <f t="array" aca="1" ref="E45" ca="1">IF(D45="","",IF(D45&lt;&gt;D44,1,IF(E44=misLíneas-2,0,E44+1)))</f>
        <v/>
      </c>
      <c r="F45" s="18" t="str" cm="1">
        <f t="array" aca="1" ref="F45" ca="1">IF(OR(E45=0,E45=""),"",INDEX(misCriticidades,D45)&amp;"-"&amp;IFERROR(MATCH(E45,miOrdenTarjeta,0),0))</f>
        <v/>
      </c>
      <c r="G45" s="17" t="str">
        <f ca="1"/>
        <v/>
      </c>
      <c r="H45" s="18">
        <f t="shared" ca="1" si="11"/>
        <v>1</v>
      </c>
      <c r="I45" s="18" t="str">
        <f t="shared" ca="1" si="22"/>
        <v/>
      </c>
      <c r="J45" s="18" t="str" cm="1">
        <f t="array" aca="1" ref="J45" ca="1">IF(I45="","",IF(I45&lt;&gt;I44,1,IF(J44=misLíneas-2,0,J44+1)))</f>
        <v/>
      </c>
      <c r="K45" s="18" t="str" cm="1">
        <f t="array" aca="1" ref="K45" ca="1">IF(OR(J45=0,J45=""),"",INDEX(misCriticidades,I45)&amp;"-"&amp;IFERROR(MATCH(J45,miOrdenTarjeta,0),0))</f>
        <v/>
      </c>
      <c r="L45" s="17" t="str">
        <f ca="1"/>
        <v/>
      </c>
      <c r="M45" s="18">
        <f t="shared" ca="1" si="12"/>
        <v>1</v>
      </c>
      <c r="N45" s="18" t="str">
        <f t="shared" ca="1" si="23"/>
        <v/>
      </c>
      <c r="O45" s="18" t="str" cm="1">
        <f t="array" aca="1" ref="O45" ca="1">IF(N45="","",IF(N45&lt;&gt;N44,1,IF(O44=misLíneas-2,0,O44+1)))</f>
        <v/>
      </c>
      <c r="P45" s="18" t="str" cm="1">
        <f t="array" aca="1" ref="P45" ca="1">IF(OR(O45=0,O45=""),"",INDEX(misCriticidades,N45)&amp;"-"&amp;IFERROR(MATCH(O45,miOrdenTarjeta,0),0))</f>
        <v/>
      </c>
      <c r="Q45" s="17" t="str">
        <f ca="1"/>
        <v/>
      </c>
      <c r="R45" s="18">
        <f t="shared" ca="1" si="13"/>
        <v>5</v>
      </c>
      <c r="S45" s="18">
        <f t="shared" ca="1" si="24"/>
        <v>26</v>
      </c>
      <c r="T45" s="18" cm="1">
        <f t="array" aca="1" ref="T45" ca="1">IF(S45="","",IF(S45&lt;&gt;S44,1,IF(T44=misLíneas-2,0,T44+1)))</f>
        <v>7</v>
      </c>
      <c r="U45" s="18" t="str" cm="1">
        <f t="array" aca="1" ref="U45" ca="1">IF(OR(T45=0,T45=""),"",INDEX(misCriticidades,S45)&amp;"-"&amp;IFERROR(MATCH(T45,miOrdenTarjeta,0),0))</f>
        <v>2-7</v>
      </c>
      <c r="V45" s="17" t="str">
        <f ca="1"/>
        <v/>
      </c>
      <c r="W45" s="18">
        <f t="shared" ca="1" si="14"/>
        <v>1</v>
      </c>
      <c r="X45" s="18" t="str">
        <f t="shared" ca="1" si="25"/>
        <v/>
      </c>
      <c r="Y45" s="18" t="str" cm="1">
        <f t="array" aca="1" ref="Y45" ca="1">IF(X45="","",IF(X45&lt;&gt;X44,1,IF(Y44=misLíneas-2,0,Y44+1)))</f>
        <v/>
      </c>
      <c r="Z45" s="18" t="str" cm="1">
        <f t="array" aca="1" ref="Z45" ca="1">IF(OR(Y45=0,Y45=""),"",INDEX(misCriticidades,X45)&amp;"-"&amp;IFERROR(MATCH(Y45,miOrdenTarjeta,0),0))</f>
        <v/>
      </c>
      <c r="AA45" s="17" t="str">
        <f ca="1"/>
        <v/>
      </c>
      <c r="AB45" s="18">
        <f t="shared" ca="1" si="15"/>
        <v>1</v>
      </c>
      <c r="AC45" s="18" t="str">
        <f t="shared" ca="1" si="5"/>
        <v/>
      </c>
      <c r="AD45" s="18" t="str" cm="1">
        <f t="array" aca="1" ref="AD45" ca="1">IF(AC45="","",IF(AC45&lt;&gt;AC44,1,IF(AD44=misLíneas-2,0,AD44+1)))</f>
        <v/>
      </c>
      <c r="AE45" s="18" t="str" cm="1">
        <f t="array" aca="1" ref="AE45" ca="1">IF(OR(AD45=0,AD45=""),"",INDEX(misCriticidades,AC45)&amp;"-"&amp;IFERROR(MATCH(AD45,miOrdenTarjeta,0),0))</f>
        <v/>
      </c>
      <c r="AF45" s="17" t="str">
        <f ca="1"/>
        <v/>
      </c>
      <c r="AG45" s="18">
        <f t="shared" ca="1" si="16"/>
        <v>1</v>
      </c>
      <c r="AH45" s="18" t="str">
        <f t="shared" ca="1" si="6"/>
        <v/>
      </c>
      <c r="AI45" s="18" t="str" cm="1">
        <f t="array" aca="1" ref="AI45" ca="1">IF(AH45="","",IF(AH45&lt;&gt;AH44,1,IF(AI44=misLíneas-2,0,AI44+1)))</f>
        <v/>
      </c>
      <c r="AJ45" s="18" t="str" cm="1">
        <f t="array" aca="1" ref="AJ45" ca="1">IF(OR(AI45=0,AI45=""),"",INDEX(misCriticidades,AH45)&amp;"-"&amp;IFERROR(MATCH(AI45,miOrdenTarjeta,0),0))</f>
        <v/>
      </c>
      <c r="AK45" s="17" t="str">
        <f ca="1"/>
        <v/>
      </c>
      <c r="AL45" s="18">
        <f t="shared" ca="1" si="17"/>
        <v>1</v>
      </c>
      <c r="AM45" s="18" t="str">
        <f t="shared" ca="1" si="7"/>
        <v/>
      </c>
      <c r="AN45" s="18" t="str" cm="1">
        <f t="array" aca="1" ref="AN45" ca="1">IF(AM45="","",IF(AM45&lt;&gt;AM44,1,IF(AN44=misLíneas-2,0,AN44+1)))</f>
        <v/>
      </c>
      <c r="AO45" s="18" t="str" cm="1">
        <f t="array" aca="1" ref="AO45" ca="1">IF(OR(AN45=0,AN45=""),"",INDEX(misCriticidades,AM45)&amp;"-"&amp;IFERROR(MATCH(AN45,miOrdenTarjeta,0),0))</f>
        <v/>
      </c>
      <c r="AP45" s="17" t="str">
        <f ca="1"/>
        <v/>
      </c>
      <c r="AQ45" s="18">
        <f t="shared" ca="1" si="18"/>
        <v>1</v>
      </c>
      <c r="AR45" s="18" t="str">
        <f t="shared" ca="1" si="8"/>
        <v/>
      </c>
      <c r="AS45" s="18" t="str" cm="1">
        <f t="array" aca="1" ref="AS45" ca="1">IF(AR45="","",IF(AR45&lt;&gt;AR44,1,IF(AS44=misLíneas-2,0,AS44+1)))</f>
        <v/>
      </c>
      <c r="AT45" s="18" t="str" cm="1">
        <f t="array" aca="1" ref="AT45" ca="1">IF(OR(AS45=0,AS45=""),"",INDEX(misCriticidades,AR45)&amp;"-"&amp;IFERROR(MATCH(AS45,miOrdenTarjeta,0),0))</f>
        <v/>
      </c>
      <c r="AU45" s="17" t="str">
        <f ca="1"/>
        <v/>
      </c>
      <c r="AV45" s="18">
        <f t="shared" ca="1" si="19"/>
        <v>1</v>
      </c>
      <c r="AW45" s="18" t="str">
        <f t="shared" ca="1" si="9"/>
        <v/>
      </c>
      <c r="AX45" s="18" t="str" cm="1">
        <f t="array" aca="1" ref="AX45" ca="1">IF(AW45="","",IF(AW45&lt;&gt;AW44,1,IF(AX44=misLíneas-2,0,AX44+1)))</f>
        <v/>
      </c>
      <c r="AY45" s="18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7" t="str">
        <f ca="1"/>
        <v/>
      </c>
      <c r="C46" s="18">
        <f t="shared" ca="1" si="20"/>
        <v>1</v>
      </c>
      <c r="D46" s="18" t="str">
        <f t="shared" ca="1" si="21"/>
        <v/>
      </c>
      <c r="E46" s="18" t="str" cm="1">
        <f t="array" aca="1" ref="E46" ca="1">IF(D46="","",IF(D46&lt;&gt;D45,1,IF(E45=misLíneas-2,0,E45+1)))</f>
        <v/>
      </c>
      <c r="F46" s="18" t="str" cm="1">
        <f t="array" aca="1" ref="F46" ca="1">IF(OR(E46=0,E46=""),"",INDEX(misCriticidades,D46)&amp;"-"&amp;IFERROR(MATCH(E46,miOrdenTarjeta,0),0))</f>
        <v/>
      </c>
      <c r="G46" s="17" t="str">
        <f ca="1"/>
        <v/>
      </c>
      <c r="H46" s="18">
        <f t="shared" ca="1" si="11"/>
        <v>1</v>
      </c>
      <c r="I46" s="18" t="str">
        <f t="shared" ca="1" si="22"/>
        <v/>
      </c>
      <c r="J46" s="18" t="str" cm="1">
        <f t="array" aca="1" ref="J46" ca="1">IF(I46="","",IF(I46&lt;&gt;I45,1,IF(J45=misLíneas-2,0,J45+1)))</f>
        <v/>
      </c>
      <c r="K46" s="18" t="str" cm="1">
        <f t="array" aca="1" ref="K46" ca="1">IF(OR(J46=0,J46=""),"",INDEX(misCriticidades,I46)&amp;"-"&amp;IFERROR(MATCH(J46,miOrdenTarjeta,0),0))</f>
        <v/>
      </c>
      <c r="L46" s="17" t="str">
        <f ca="1"/>
        <v/>
      </c>
      <c r="M46" s="18">
        <f t="shared" ca="1" si="12"/>
        <v>1</v>
      </c>
      <c r="N46" s="18" t="str">
        <f t="shared" ca="1" si="23"/>
        <v/>
      </c>
      <c r="O46" s="18" t="str" cm="1">
        <f t="array" aca="1" ref="O46" ca="1">IF(N46="","",IF(N46&lt;&gt;N45,1,IF(O45=misLíneas-2,0,O45+1)))</f>
        <v/>
      </c>
      <c r="P46" s="18" t="str" cm="1">
        <f t="array" aca="1" ref="P46" ca="1">IF(OR(O46=0,O46=""),"",INDEX(misCriticidades,N46)&amp;"-"&amp;IFERROR(MATCH(O46,miOrdenTarjeta,0),0))</f>
        <v/>
      </c>
      <c r="Q46" s="17" t="str">
        <f ca="1"/>
        <v/>
      </c>
      <c r="R46" s="18">
        <f t="shared" ca="1" si="13"/>
        <v>5</v>
      </c>
      <c r="S46" s="18">
        <f t="shared" ca="1" si="24"/>
        <v>26</v>
      </c>
      <c r="T46" s="18" cm="1">
        <f t="array" aca="1" ref="T46" ca="1">IF(S46="","",IF(S46&lt;&gt;S45,1,IF(T45=misLíneas-2,0,T45+1)))</f>
        <v>8</v>
      </c>
      <c r="U46" s="18" t="str" cm="1">
        <f t="array" aca="1" ref="U46" ca="1">IF(OR(T46=0,T46=""),"",INDEX(misCriticidades,S46)&amp;"-"&amp;IFERROR(MATCH(T46,miOrdenTarjeta,0),0))</f>
        <v>2-8</v>
      </c>
      <c r="V46" s="17" t="str">
        <f ca="1"/>
        <v/>
      </c>
      <c r="W46" s="18">
        <f t="shared" ca="1" si="14"/>
        <v>1</v>
      </c>
      <c r="X46" s="18" t="str">
        <f t="shared" ca="1" si="25"/>
        <v/>
      </c>
      <c r="Y46" s="18" t="str" cm="1">
        <f t="array" aca="1" ref="Y46" ca="1">IF(X46="","",IF(X46&lt;&gt;X45,1,IF(Y45=misLíneas-2,0,Y45+1)))</f>
        <v/>
      </c>
      <c r="Z46" s="18" t="str" cm="1">
        <f t="array" aca="1" ref="Z46" ca="1">IF(OR(Y46=0,Y46=""),"",INDEX(misCriticidades,X46)&amp;"-"&amp;IFERROR(MATCH(Y46,miOrdenTarjeta,0),0))</f>
        <v/>
      </c>
      <c r="AA46" s="17" t="str">
        <f ca="1"/>
        <v/>
      </c>
      <c r="AB46" s="18">
        <f t="shared" ca="1" si="15"/>
        <v>1</v>
      </c>
      <c r="AC46" s="18" t="str">
        <f t="shared" ca="1" si="5"/>
        <v/>
      </c>
      <c r="AD46" s="18" t="str" cm="1">
        <f t="array" aca="1" ref="AD46" ca="1">IF(AC46="","",IF(AC46&lt;&gt;AC45,1,IF(AD45=misLíneas-2,0,AD45+1)))</f>
        <v/>
      </c>
      <c r="AE46" s="18" t="str" cm="1">
        <f t="array" aca="1" ref="AE46" ca="1">IF(OR(AD46=0,AD46=""),"",INDEX(misCriticidades,AC46)&amp;"-"&amp;IFERROR(MATCH(AD46,miOrdenTarjeta,0),0))</f>
        <v/>
      </c>
      <c r="AF46" s="17" t="str">
        <f ca="1"/>
        <v/>
      </c>
      <c r="AG46" s="18">
        <f t="shared" ca="1" si="16"/>
        <v>1</v>
      </c>
      <c r="AH46" s="18" t="str">
        <f t="shared" ca="1" si="6"/>
        <v/>
      </c>
      <c r="AI46" s="18" t="str" cm="1">
        <f t="array" aca="1" ref="AI46" ca="1">IF(AH46="","",IF(AH46&lt;&gt;AH45,1,IF(AI45=misLíneas-2,0,AI45+1)))</f>
        <v/>
      </c>
      <c r="AJ46" s="18" t="str" cm="1">
        <f t="array" aca="1" ref="AJ46" ca="1">IF(OR(AI46=0,AI46=""),"",INDEX(misCriticidades,AH46)&amp;"-"&amp;IFERROR(MATCH(AI46,miOrdenTarjeta,0),0))</f>
        <v/>
      </c>
      <c r="AK46" s="17" t="str">
        <f ca="1"/>
        <v/>
      </c>
      <c r="AL46" s="18">
        <f t="shared" ca="1" si="17"/>
        <v>1</v>
      </c>
      <c r="AM46" s="18" t="str">
        <f t="shared" ca="1" si="7"/>
        <v/>
      </c>
      <c r="AN46" s="18" t="str" cm="1">
        <f t="array" aca="1" ref="AN46" ca="1">IF(AM46="","",IF(AM46&lt;&gt;AM45,1,IF(AN45=misLíneas-2,0,AN45+1)))</f>
        <v/>
      </c>
      <c r="AO46" s="18" t="str" cm="1">
        <f t="array" aca="1" ref="AO46" ca="1">IF(OR(AN46=0,AN46=""),"",INDEX(misCriticidades,AM46)&amp;"-"&amp;IFERROR(MATCH(AN46,miOrdenTarjeta,0),0))</f>
        <v/>
      </c>
      <c r="AP46" s="17" t="str">
        <f ca="1"/>
        <v/>
      </c>
      <c r="AQ46" s="18">
        <f t="shared" ca="1" si="18"/>
        <v>1</v>
      </c>
      <c r="AR46" s="18" t="str">
        <f t="shared" ca="1" si="8"/>
        <v/>
      </c>
      <c r="AS46" s="18" t="str" cm="1">
        <f t="array" aca="1" ref="AS46" ca="1">IF(AR46="","",IF(AR46&lt;&gt;AR45,1,IF(AS45=misLíneas-2,0,AS45+1)))</f>
        <v/>
      </c>
      <c r="AT46" s="18" t="str" cm="1">
        <f t="array" aca="1" ref="AT46" ca="1">IF(OR(AS46=0,AS46=""),"",INDEX(misCriticidades,AR46)&amp;"-"&amp;IFERROR(MATCH(AS46,miOrdenTarjeta,0),0))</f>
        <v/>
      </c>
      <c r="AU46" s="17" t="str">
        <f ca="1"/>
        <v/>
      </c>
      <c r="AV46" s="18">
        <f t="shared" ca="1" si="19"/>
        <v>1</v>
      </c>
      <c r="AW46" s="18" t="str">
        <f t="shared" ca="1" si="9"/>
        <v/>
      </c>
      <c r="AX46" s="18" t="str" cm="1">
        <f t="array" aca="1" ref="AX46" ca="1">IF(AW46="","",IF(AW46&lt;&gt;AW45,1,IF(AX45=misLíneas-2,0,AX45+1)))</f>
        <v/>
      </c>
      <c r="AY46" s="18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7" t="str">
        <f ca="1"/>
        <v/>
      </c>
      <c r="C47" s="18">
        <f t="shared" ca="1" si="20"/>
        <v>1</v>
      </c>
      <c r="D47" s="18" t="str">
        <f t="shared" ca="1" si="21"/>
        <v/>
      </c>
      <c r="E47" s="18" t="str" cm="1">
        <f t="array" aca="1" ref="E47" ca="1">IF(D47="","",IF(D47&lt;&gt;D46,1,IF(E46=misLíneas-2,0,E46+1)))</f>
        <v/>
      </c>
      <c r="F47" s="18" t="str" cm="1">
        <f t="array" aca="1" ref="F47" ca="1">IF(OR(E47=0,E47=""),"",INDEX(misCriticidades,D47)&amp;"-"&amp;IFERROR(MATCH(E47,miOrdenTarjeta,0),0))</f>
        <v/>
      </c>
      <c r="G47" s="17" t="str">
        <f ca="1"/>
        <v/>
      </c>
      <c r="H47" s="18">
        <f t="shared" ca="1" si="11"/>
        <v>1</v>
      </c>
      <c r="I47" s="18" t="str">
        <f t="shared" ca="1" si="22"/>
        <v/>
      </c>
      <c r="J47" s="18" t="str" cm="1">
        <f t="array" aca="1" ref="J47" ca="1">IF(I47="","",IF(I47&lt;&gt;I46,1,IF(J46=misLíneas-2,0,J46+1)))</f>
        <v/>
      </c>
      <c r="K47" s="18" t="str" cm="1">
        <f t="array" aca="1" ref="K47" ca="1">IF(OR(J47=0,J47=""),"",INDEX(misCriticidades,I47)&amp;"-"&amp;IFERROR(MATCH(J47,miOrdenTarjeta,0),0))</f>
        <v/>
      </c>
      <c r="L47" s="17" t="str">
        <f ca="1"/>
        <v/>
      </c>
      <c r="M47" s="18">
        <f t="shared" ca="1" si="12"/>
        <v>1</v>
      </c>
      <c r="N47" s="18" t="str">
        <f t="shared" ca="1" si="23"/>
        <v/>
      </c>
      <c r="O47" s="18" t="str" cm="1">
        <f t="array" aca="1" ref="O47" ca="1">IF(N47="","",IF(N47&lt;&gt;N46,1,IF(O46=misLíneas-2,0,O46+1)))</f>
        <v/>
      </c>
      <c r="P47" s="18" t="str" cm="1">
        <f t="array" aca="1" ref="P47" ca="1">IF(OR(O47=0,O47=""),"",INDEX(misCriticidades,N47)&amp;"-"&amp;IFERROR(MATCH(O47,miOrdenTarjeta,0),0))</f>
        <v/>
      </c>
      <c r="Q47" s="17" t="str">
        <f ca="1"/>
        <v/>
      </c>
      <c r="R47" s="18">
        <f t="shared" ca="1" si="13"/>
        <v>5</v>
      </c>
      <c r="S47" s="18">
        <f t="shared" ca="1" si="24"/>
        <v>26</v>
      </c>
      <c r="T47" s="18" cm="1">
        <f t="array" aca="1" ref="T47" ca="1">IF(S47="","",IF(S47&lt;&gt;S46,1,IF(T46=misLíneas-2,0,T46+1)))</f>
        <v>0</v>
      </c>
      <c r="U47" s="18" t="str" cm="1">
        <f t="array" aca="1" ref="U47" ca="1">IF(OR(T47=0,T47=""),"",INDEX(misCriticidades,S47)&amp;"-"&amp;IFERROR(MATCH(T47,miOrdenTarjeta,0),0))</f>
        <v/>
      </c>
      <c r="V47" s="17" t="str">
        <f ca="1"/>
        <v/>
      </c>
      <c r="W47" s="18">
        <f t="shared" ca="1" si="14"/>
        <v>1</v>
      </c>
      <c r="X47" s="18" t="str">
        <f t="shared" ca="1" si="25"/>
        <v/>
      </c>
      <c r="Y47" s="18" t="str" cm="1">
        <f t="array" aca="1" ref="Y47" ca="1">IF(X47="","",IF(X47&lt;&gt;X46,1,IF(Y46=misLíneas-2,0,Y46+1)))</f>
        <v/>
      </c>
      <c r="Z47" s="18" t="str" cm="1">
        <f t="array" aca="1" ref="Z47" ca="1">IF(OR(Y47=0,Y47=""),"",INDEX(misCriticidades,X47)&amp;"-"&amp;IFERROR(MATCH(Y47,miOrdenTarjeta,0),0))</f>
        <v/>
      </c>
      <c r="AA47" s="17" t="str">
        <f ca="1"/>
        <v/>
      </c>
      <c r="AB47" s="18">
        <f t="shared" ca="1" si="15"/>
        <v>1</v>
      </c>
      <c r="AC47" s="18" t="str">
        <f t="shared" ca="1" si="5"/>
        <v/>
      </c>
      <c r="AD47" s="18" t="str" cm="1">
        <f t="array" aca="1" ref="AD47" ca="1">IF(AC47="","",IF(AC47&lt;&gt;AC46,1,IF(AD46=misLíneas-2,0,AD46+1)))</f>
        <v/>
      </c>
      <c r="AE47" s="18" t="str" cm="1">
        <f t="array" aca="1" ref="AE47" ca="1">IF(OR(AD47=0,AD47=""),"",INDEX(misCriticidades,AC47)&amp;"-"&amp;IFERROR(MATCH(AD47,miOrdenTarjeta,0),0))</f>
        <v/>
      </c>
      <c r="AF47" s="17" t="str">
        <f ca="1"/>
        <v/>
      </c>
      <c r="AG47" s="18">
        <f t="shared" ca="1" si="16"/>
        <v>1</v>
      </c>
      <c r="AH47" s="18" t="str">
        <f t="shared" ca="1" si="6"/>
        <v/>
      </c>
      <c r="AI47" s="18" t="str" cm="1">
        <f t="array" aca="1" ref="AI47" ca="1">IF(AH47="","",IF(AH47&lt;&gt;AH46,1,IF(AI46=misLíneas-2,0,AI46+1)))</f>
        <v/>
      </c>
      <c r="AJ47" s="18" t="str" cm="1">
        <f t="array" aca="1" ref="AJ47" ca="1">IF(OR(AI47=0,AI47=""),"",INDEX(misCriticidades,AH47)&amp;"-"&amp;IFERROR(MATCH(AI47,miOrdenTarjeta,0),0))</f>
        <v/>
      </c>
      <c r="AK47" s="17" t="str">
        <f ca="1"/>
        <v/>
      </c>
      <c r="AL47" s="18">
        <f t="shared" ca="1" si="17"/>
        <v>1</v>
      </c>
      <c r="AM47" s="18" t="str">
        <f t="shared" ca="1" si="7"/>
        <v/>
      </c>
      <c r="AN47" s="18" t="str" cm="1">
        <f t="array" aca="1" ref="AN47" ca="1">IF(AM47="","",IF(AM47&lt;&gt;AM46,1,IF(AN46=misLíneas-2,0,AN46+1)))</f>
        <v/>
      </c>
      <c r="AO47" s="18" t="str" cm="1">
        <f t="array" aca="1" ref="AO47" ca="1">IF(OR(AN47=0,AN47=""),"",INDEX(misCriticidades,AM47)&amp;"-"&amp;IFERROR(MATCH(AN47,miOrdenTarjeta,0),0))</f>
        <v/>
      </c>
      <c r="AP47" s="17" t="str">
        <f ca="1"/>
        <v/>
      </c>
      <c r="AQ47" s="18">
        <f t="shared" ca="1" si="18"/>
        <v>1</v>
      </c>
      <c r="AR47" s="18" t="str">
        <f t="shared" ca="1" si="8"/>
        <v/>
      </c>
      <c r="AS47" s="18" t="str" cm="1">
        <f t="array" aca="1" ref="AS47" ca="1">IF(AR47="","",IF(AR47&lt;&gt;AR46,1,IF(AS46=misLíneas-2,0,AS46+1)))</f>
        <v/>
      </c>
      <c r="AT47" s="18" t="str" cm="1">
        <f t="array" aca="1" ref="AT47" ca="1">IF(OR(AS47=0,AS47=""),"",INDEX(misCriticidades,AR47)&amp;"-"&amp;IFERROR(MATCH(AS47,miOrdenTarjeta,0),0))</f>
        <v/>
      </c>
      <c r="AU47" s="17" t="str">
        <f ca="1"/>
        <v/>
      </c>
      <c r="AV47" s="18">
        <f t="shared" ca="1" si="19"/>
        <v>1</v>
      </c>
      <c r="AW47" s="18" t="str">
        <f t="shared" ca="1" si="9"/>
        <v/>
      </c>
      <c r="AX47" s="18" t="str" cm="1">
        <f t="array" aca="1" ref="AX47" ca="1">IF(AW47="","",IF(AW47&lt;&gt;AW46,1,IF(AX46=misLíneas-2,0,AX46+1)))</f>
        <v/>
      </c>
      <c r="AY47" s="18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7" t="str">
        <f ca="1"/>
        <v/>
      </c>
      <c r="C48" s="18">
        <f t="shared" ca="1" si="20"/>
        <v>1</v>
      </c>
      <c r="D48" s="18" t="str">
        <f t="shared" ca="1" si="21"/>
        <v/>
      </c>
      <c r="E48" s="18" t="str" cm="1">
        <f t="array" aca="1" ref="E48" ca="1">IF(D48="","",IF(D48&lt;&gt;D47,1,IF(E47=misLíneas-2,0,E47+1)))</f>
        <v/>
      </c>
      <c r="F48" s="18" t="str" cm="1">
        <f t="array" aca="1" ref="F48" ca="1">IF(OR(E48=0,E48=""),"",INDEX(misCriticidades,D48)&amp;"-"&amp;IFERROR(MATCH(E48,miOrdenTarjeta,0),0))</f>
        <v/>
      </c>
      <c r="G48" s="17" t="str">
        <f ca="1"/>
        <v/>
      </c>
      <c r="H48" s="18">
        <f t="shared" ca="1" si="11"/>
        <v>1</v>
      </c>
      <c r="I48" s="18" t="str">
        <f t="shared" ca="1" si="22"/>
        <v/>
      </c>
      <c r="J48" s="18" t="str" cm="1">
        <f t="array" aca="1" ref="J48" ca="1">IF(I48="","",IF(I48&lt;&gt;I47,1,IF(J47=misLíneas-2,0,J47+1)))</f>
        <v/>
      </c>
      <c r="K48" s="18" t="str" cm="1">
        <f t="array" aca="1" ref="K48" ca="1">IF(OR(J48=0,J48=""),"",INDEX(misCriticidades,I48)&amp;"-"&amp;IFERROR(MATCH(J48,miOrdenTarjeta,0),0))</f>
        <v/>
      </c>
      <c r="L48" s="17" t="str">
        <f ca="1"/>
        <v/>
      </c>
      <c r="M48" s="18">
        <f t="shared" ca="1" si="12"/>
        <v>1</v>
      </c>
      <c r="N48" s="18" t="str">
        <f t="shared" ca="1" si="23"/>
        <v/>
      </c>
      <c r="O48" s="18" t="str" cm="1">
        <f t="array" aca="1" ref="O48" ca="1">IF(N48="","",IF(N48&lt;&gt;N47,1,IF(O47=misLíneas-2,0,O47+1)))</f>
        <v/>
      </c>
      <c r="P48" s="18" t="str" cm="1">
        <f t="array" aca="1" ref="P48" ca="1">IF(OR(O48=0,O48=""),"",INDEX(misCriticidades,N48)&amp;"-"&amp;IFERROR(MATCH(O48,miOrdenTarjeta,0),0))</f>
        <v/>
      </c>
      <c r="Q48" s="17" t="str">
        <f ca="1"/>
        <v/>
      </c>
      <c r="R48" s="18">
        <f t="shared" ca="1" si="13"/>
        <v>6</v>
      </c>
      <c r="S48" s="18">
        <f t="shared" ca="1" si="24"/>
        <v>25</v>
      </c>
      <c r="T48" s="18" cm="1">
        <f t="array" aca="1" ref="T48" ca="1">IF(S48="","",IF(S48&lt;&gt;S47,1,IF(T47=misLíneas-2,0,T47+1)))</f>
        <v>1</v>
      </c>
      <c r="U48" s="18" t="str" cm="1">
        <f t="array" aca="1" ref="U48" ca="1">IF(OR(T48=0,T48=""),"",INDEX(misCriticidades,S48)&amp;"-"&amp;IFERROR(MATCH(T48,miOrdenTarjeta,0),0))</f>
        <v>2-1</v>
      </c>
      <c r="V48" s="17" t="str">
        <f ca="1"/>
        <v/>
      </c>
      <c r="W48" s="18">
        <f t="shared" ca="1" si="14"/>
        <v>1</v>
      </c>
      <c r="X48" s="18" t="str">
        <f t="shared" ca="1" si="25"/>
        <v/>
      </c>
      <c r="Y48" s="18" t="str" cm="1">
        <f t="array" aca="1" ref="Y48" ca="1">IF(X48="","",IF(X48&lt;&gt;X47,1,IF(Y47=misLíneas-2,0,Y47+1)))</f>
        <v/>
      </c>
      <c r="Z48" s="18" t="str" cm="1">
        <f t="array" aca="1" ref="Z48" ca="1">IF(OR(Y48=0,Y48=""),"",INDEX(misCriticidades,X48)&amp;"-"&amp;IFERROR(MATCH(Y48,miOrdenTarjeta,0),0))</f>
        <v/>
      </c>
      <c r="AA48" s="17" t="str">
        <f ca="1"/>
        <v/>
      </c>
      <c r="AB48" s="18">
        <f t="shared" ca="1" si="15"/>
        <v>1</v>
      </c>
      <c r="AC48" s="18" t="str">
        <f t="shared" ca="1" si="5"/>
        <v/>
      </c>
      <c r="AD48" s="18" t="str" cm="1">
        <f t="array" aca="1" ref="AD48" ca="1">IF(AC48="","",IF(AC48&lt;&gt;AC47,1,IF(AD47=misLíneas-2,0,AD47+1)))</f>
        <v/>
      </c>
      <c r="AE48" s="18" t="str" cm="1">
        <f t="array" aca="1" ref="AE48" ca="1">IF(OR(AD48=0,AD48=""),"",INDEX(misCriticidades,AC48)&amp;"-"&amp;IFERROR(MATCH(AD48,miOrdenTarjeta,0),0))</f>
        <v/>
      </c>
      <c r="AF48" s="17" t="str">
        <f ca="1"/>
        <v/>
      </c>
      <c r="AG48" s="18">
        <f t="shared" ca="1" si="16"/>
        <v>1</v>
      </c>
      <c r="AH48" s="18" t="str">
        <f t="shared" ca="1" si="6"/>
        <v/>
      </c>
      <c r="AI48" s="18" t="str" cm="1">
        <f t="array" aca="1" ref="AI48" ca="1">IF(AH48="","",IF(AH48&lt;&gt;AH47,1,IF(AI47=misLíneas-2,0,AI47+1)))</f>
        <v/>
      </c>
      <c r="AJ48" s="18" t="str" cm="1">
        <f t="array" aca="1" ref="AJ48" ca="1">IF(OR(AI48=0,AI48=""),"",INDEX(misCriticidades,AH48)&amp;"-"&amp;IFERROR(MATCH(AI48,miOrdenTarjeta,0),0))</f>
        <v/>
      </c>
      <c r="AK48" s="17" t="str">
        <f ca="1"/>
        <v/>
      </c>
      <c r="AL48" s="18">
        <f t="shared" ca="1" si="17"/>
        <v>1</v>
      </c>
      <c r="AM48" s="18" t="str">
        <f t="shared" ca="1" si="7"/>
        <v/>
      </c>
      <c r="AN48" s="18" t="str" cm="1">
        <f t="array" aca="1" ref="AN48" ca="1">IF(AM48="","",IF(AM48&lt;&gt;AM47,1,IF(AN47=misLíneas-2,0,AN47+1)))</f>
        <v/>
      </c>
      <c r="AO48" s="18" t="str" cm="1">
        <f t="array" aca="1" ref="AO48" ca="1">IF(OR(AN48=0,AN48=""),"",INDEX(misCriticidades,AM48)&amp;"-"&amp;IFERROR(MATCH(AN48,miOrdenTarjeta,0),0))</f>
        <v/>
      </c>
      <c r="AP48" s="17" t="str">
        <f ca="1"/>
        <v/>
      </c>
      <c r="AQ48" s="18">
        <f t="shared" ca="1" si="18"/>
        <v>1</v>
      </c>
      <c r="AR48" s="18" t="str">
        <f t="shared" ca="1" si="8"/>
        <v/>
      </c>
      <c r="AS48" s="18" t="str" cm="1">
        <f t="array" aca="1" ref="AS48" ca="1">IF(AR48="","",IF(AR48&lt;&gt;AR47,1,IF(AS47=misLíneas-2,0,AS47+1)))</f>
        <v/>
      </c>
      <c r="AT48" s="18" t="str" cm="1">
        <f t="array" aca="1" ref="AT48" ca="1">IF(OR(AS48=0,AS48=""),"",INDEX(misCriticidades,AR48)&amp;"-"&amp;IFERROR(MATCH(AS48,miOrdenTarjeta,0),0))</f>
        <v/>
      </c>
      <c r="AU48" s="17" t="str">
        <f ca="1"/>
        <v/>
      </c>
      <c r="AV48" s="18">
        <f t="shared" ca="1" si="19"/>
        <v>1</v>
      </c>
      <c r="AW48" s="18" t="str">
        <f t="shared" ca="1" si="9"/>
        <v/>
      </c>
      <c r="AX48" s="18" t="str" cm="1">
        <f t="array" aca="1" ref="AX48" ca="1">IF(AW48="","",IF(AW48&lt;&gt;AW47,1,IF(AX47=misLíneas-2,0,AX47+1)))</f>
        <v/>
      </c>
      <c r="AY48" s="18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7" t="str">
        <f ca="1"/>
        <v/>
      </c>
      <c r="C49" s="18">
        <f t="shared" ca="1" si="20"/>
        <v>1</v>
      </c>
      <c r="D49" s="18" t="str">
        <f t="shared" ca="1" si="21"/>
        <v/>
      </c>
      <c r="E49" s="18" t="str" cm="1">
        <f t="array" aca="1" ref="E49" ca="1">IF(D49="","",IF(D49&lt;&gt;D48,1,IF(E48=misLíneas-2,0,E48+1)))</f>
        <v/>
      </c>
      <c r="F49" s="18" t="str" cm="1">
        <f t="array" aca="1" ref="F49" ca="1">IF(OR(E49=0,E49=""),"",INDEX(misCriticidades,D49)&amp;"-"&amp;IFERROR(MATCH(E49,miOrdenTarjeta,0),0))</f>
        <v/>
      </c>
      <c r="G49" s="17" t="str">
        <f ca="1"/>
        <v/>
      </c>
      <c r="H49" s="18">
        <f t="shared" ca="1" si="11"/>
        <v>1</v>
      </c>
      <c r="I49" s="18" t="str">
        <f t="shared" ca="1" si="22"/>
        <v/>
      </c>
      <c r="J49" s="18" t="str" cm="1">
        <f t="array" aca="1" ref="J49" ca="1">IF(I49="","",IF(I49&lt;&gt;I48,1,IF(J48=misLíneas-2,0,J48+1)))</f>
        <v/>
      </c>
      <c r="K49" s="18" t="str" cm="1">
        <f t="array" aca="1" ref="K49" ca="1">IF(OR(J49=0,J49=""),"",INDEX(misCriticidades,I49)&amp;"-"&amp;IFERROR(MATCH(J49,miOrdenTarjeta,0),0))</f>
        <v/>
      </c>
      <c r="L49" s="17" t="str">
        <f ca="1"/>
        <v/>
      </c>
      <c r="M49" s="18">
        <f t="shared" ca="1" si="12"/>
        <v>1</v>
      </c>
      <c r="N49" s="18" t="str">
        <f t="shared" ca="1" si="23"/>
        <v/>
      </c>
      <c r="O49" s="18" t="str" cm="1">
        <f t="array" aca="1" ref="O49" ca="1">IF(N49="","",IF(N49&lt;&gt;N48,1,IF(O48=misLíneas-2,0,O48+1)))</f>
        <v/>
      </c>
      <c r="P49" s="18" t="str" cm="1">
        <f t="array" aca="1" ref="P49" ca="1">IF(OR(O49=0,O49=""),"",INDEX(misCriticidades,N49)&amp;"-"&amp;IFERROR(MATCH(O49,miOrdenTarjeta,0),0))</f>
        <v/>
      </c>
      <c r="Q49" s="17" t="str">
        <f ca="1"/>
        <v/>
      </c>
      <c r="R49" s="18">
        <f t="shared" ca="1" si="13"/>
        <v>6</v>
      </c>
      <c r="S49" s="18">
        <f t="shared" ca="1" si="24"/>
        <v>25</v>
      </c>
      <c r="T49" s="18" cm="1">
        <f t="array" aca="1" ref="T49" ca="1">IF(S49="","",IF(S49&lt;&gt;S48,1,IF(T48=misLíneas-2,0,T48+1)))</f>
        <v>2</v>
      </c>
      <c r="U49" s="18" t="str" cm="1">
        <f t="array" aca="1" ref="U49" ca="1">IF(OR(T49=0,T49=""),"",INDEX(misCriticidades,S49)&amp;"-"&amp;IFERROR(MATCH(T49,miOrdenTarjeta,0),0))</f>
        <v>2-2</v>
      </c>
      <c r="V49" s="17" t="str">
        <f ca="1"/>
        <v/>
      </c>
      <c r="W49" s="18">
        <f t="shared" ca="1" si="14"/>
        <v>1</v>
      </c>
      <c r="X49" s="18" t="str">
        <f t="shared" ca="1" si="25"/>
        <v/>
      </c>
      <c r="Y49" s="18" t="str" cm="1">
        <f t="array" aca="1" ref="Y49" ca="1">IF(X49="","",IF(X49&lt;&gt;X48,1,IF(Y48=misLíneas-2,0,Y48+1)))</f>
        <v/>
      </c>
      <c r="Z49" s="18" t="str" cm="1">
        <f t="array" aca="1" ref="Z49" ca="1">IF(OR(Y49=0,Y49=""),"",INDEX(misCriticidades,X49)&amp;"-"&amp;IFERROR(MATCH(Y49,miOrdenTarjeta,0),0))</f>
        <v/>
      </c>
      <c r="AA49" s="17" t="str">
        <f ca="1"/>
        <v/>
      </c>
      <c r="AB49" s="18">
        <f t="shared" ca="1" si="15"/>
        <v>1</v>
      </c>
      <c r="AC49" s="18" t="str">
        <f t="shared" ca="1" si="5"/>
        <v/>
      </c>
      <c r="AD49" s="18" t="str" cm="1">
        <f t="array" aca="1" ref="AD49" ca="1">IF(AC49="","",IF(AC49&lt;&gt;AC48,1,IF(AD48=misLíneas-2,0,AD48+1)))</f>
        <v/>
      </c>
      <c r="AE49" s="18" t="str" cm="1">
        <f t="array" aca="1" ref="AE49" ca="1">IF(OR(AD49=0,AD49=""),"",INDEX(misCriticidades,AC49)&amp;"-"&amp;IFERROR(MATCH(AD49,miOrdenTarjeta,0),0))</f>
        <v/>
      </c>
      <c r="AF49" s="17" t="str">
        <f ca="1"/>
        <v/>
      </c>
      <c r="AG49" s="18">
        <f t="shared" ca="1" si="16"/>
        <v>1</v>
      </c>
      <c r="AH49" s="18" t="str">
        <f t="shared" ca="1" si="6"/>
        <v/>
      </c>
      <c r="AI49" s="18" t="str" cm="1">
        <f t="array" aca="1" ref="AI49" ca="1">IF(AH49="","",IF(AH49&lt;&gt;AH48,1,IF(AI48=misLíneas-2,0,AI48+1)))</f>
        <v/>
      </c>
      <c r="AJ49" s="18" t="str" cm="1">
        <f t="array" aca="1" ref="AJ49" ca="1">IF(OR(AI49=0,AI49=""),"",INDEX(misCriticidades,AH49)&amp;"-"&amp;IFERROR(MATCH(AI49,miOrdenTarjeta,0),0))</f>
        <v/>
      </c>
      <c r="AK49" s="17" t="str">
        <f ca="1"/>
        <v/>
      </c>
      <c r="AL49" s="18">
        <f t="shared" ca="1" si="17"/>
        <v>1</v>
      </c>
      <c r="AM49" s="18" t="str">
        <f t="shared" ca="1" si="7"/>
        <v/>
      </c>
      <c r="AN49" s="18" t="str" cm="1">
        <f t="array" aca="1" ref="AN49" ca="1">IF(AM49="","",IF(AM49&lt;&gt;AM48,1,IF(AN48=misLíneas-2,0,AN48+1)))</f>
        <v/>
      </c>
      <c r="AO49" s="18" t="str" cm="1">
        <f t="array" aca="1" ref="AO49" ca="1">IF(OR(AN49=0,AN49=""),"",INDEX(misCriticidades,AM49)&amp;"-"&amp;IFERROR(MATCH(AN49,miOrdenTarjeta,0),0))</f>
        <v/>
      </c>
      <c r="AP49" s="17" t="str">
        <f ca="1"/>
        <v/>
      </c>
      <c r="AQ49" s="18">
        <f t="shared" ca="1" si="18"/>
        <v>1</v>
      </c>
      <c r="AR49" s="18" t="str">
        <f t="shared" ca="1" si="8"/>
        <v/>
      </c>
      <c r="AS49" s="18" t="str" cm="1">
        <f t="array" aca="1" ref="AS49" ca="1">IF(AR49="","",IF(AR49&lt;&gt;AR48,1,IF(AS48=misLíneas-2,0,AS48+1)))</f>
        <v/>
      </c>
      <c r="AT49" s="18" t="str" cm="1">
        <f t="array" aca="1" ref="AT49" ca="1">IF(OR(AS49=0,AS49=""),"",INDEX(misCriticidades,AR49)&amp;"-"&amp;IFERROR(MATCH(AS49,miOrdenTarjeta,0),0))</f>
        <v/>
      </c>
      <c r="AU49" s="17" t="str">
        <f ca="1"/>
        <v/>
      </c>
      <c r="AV49" s="18">
        <f t="shared" ca="1" si="19"/>
        <v>1</v>
      </c>
      <c r="AW49" s="18" t="str">
        <f t="shared" ca="1" si="9"/>
        <v/>
      </c>
      <c r="AX49" s="18" t="str" cm="1">
        <f t="array" aca="1" ref="AX49" ca="1">IF(AW49="","",IF(AW49&lt;&gt;AW48,1,IF(AX48=misLíneas-2,0,AX48+1)))</f>
        <v/>
      </c>
      <c r="AY49" s="18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7" t="str">
        <f ca="1"/>
        <v/>
      </c>
      <c r="C50" s="18">
        <f t="shared" ca="1" si="20"/>
        <v>1</v>
      </c>
      <c r="D50" s="18" t="str">
        <f t="shared" ca="1" si="21"/>
        <v/>
      </c>
      <c r="E50" s="18" t="str" cm="1">
        <f t="array" aca="1" ref="E50" ca="1">IF(D50="","",IF(D50&lt;&gt;D49,1,IF(E49=misLíneas-2,0,E49+1)))</f>
        <v/>
      </c>
      <c r="F50" s="18" t="str" cm="1">
        <f t="array" aca="1" ref="F50" ca="1">IF(OR(E50=0,E50=""),"",INDEX(misCriticidades,D50)&amp;"-"&amp;IFERROR(MATCH(E50,miOrdenTarjeta,0),0))</f>
        <v/>
      </c>
      <c r="G50" s="17" t="str">
        <f ca="1"/>
        <v/>
      </c>
      <c r="H50" s="18">
        <f t="shared" ca="1" si="11"/>
        <v>1</v>
      </c>
      <c r="I50" s="18" t="str">
        <f t="shared" ca="1" si="22"/>
        <v/>
      </c>
      <c r="J50" s="18" t="str" cm="1">
        <f t="array" aca="1" ref="J50" ca="1">IF(I50="","",IF(I50&lt;&gt;I49,1,IF(J49=misLíneas-2,0,J49+1)))</f>
        <v/>
      </c>
      <c r="K50" s="18" t="str" cm="1">
        <f t="array" aca="1" ref="K50" ca="1">IF(OR(J50=0,J50=""),"",INDEX(misCriticidades,I50)&amp;"-"&amp;IFERROR(MATCH(J50,miOrdenTarjeta,0),0))</f>
        <v/>
      </c>
      <c r="L50" s="17" t="str">
        <f ca="1"/>
        <v/>
      </c>
      <c r="M50" s="18">
        <f t="shared" ca="1" si="12"/>
        <v>1</v>
      </c>
      <c r="N50" s="18" t="str">
        <f t="shared" ca="1" si="23"/>
        <v/>
      </c>
      <c r="O50" s="18" t="str" cm="1">
        <f t="array" aca="1" ref="O50" ca="1">IF(N50="","",IF(N50&lt;&gt;N49,1,IF(O49=misLíneas-2,0,O49+1)))</f>
        <v/>
      </c>
      <c r="P50" s="18" t="str" cm="1">
        <f t="array" aca="1" ref="P50" ca="1">IF(OR(O50=0,O50=""),"",INDEX(misCriticidades,N50)&amp;"-"&amp;IFERROR(MATCH(O50,miOrdenTarjeta,0),0))</f>
        <v/>
      </c>
      <c r="Q50" s="17" t="str">
        <f ca="1"/>
        <v/>
      </c>
      <c r="R50" s="18">
        <f t="shared" ca="1" si="13"/>
        <v>6</v>
      </c>
      <c r="S50" s="18">
        <f t="shared" ca="1" si="24"/>
        <v>25</v>
      </c>
      <c r="T50" s="18" cm="1">
        <f t="array" aca="1" ref="T50" ca="1">IF(S50="","",IF(S50&lt;&gt;S49,1,IF(T49=misLíneas-2,0,T49+1)))</f>
        <v>3</v>
      </c>
      <c r="U50" s="18" t="str" cm="1">
        <f t="array" aca="1" ref="U50" ca="1">IF(OR(T50=0,T50=""),"",INDEX(misCriticidades,S50)&amp;"-"&amp;IFERROR(MATCH(T50,miOrdenTarjeta,0),0))</f>
        <v>2-3</v>
      </c>
      <c r="V50" s="17" t="str">
        <f ca="1"/>
        <v/>
      </c>
      <c r="W50" s="18">
        <f t="shared" ca="1" si="14"/>
        <v>1</v>
      </c>
      <c r="X50" s="18" t="str">
        <f t="shared" ca="1" si="25"/>
        <v/>
      </c>
      <c r="Y50" s="18" t="str" cm="1">
        <f t="array" aca="1" ref="Y50" ca="1">IF(X50="","",IF(X50&lt;&gt;X49,1,IF(Y49=misLíneas-2,0,Y49+1)))</f>
        <v/>
      </c>
      <c r="Z50" s="18" t="str" cm="1">
        <f t="array" aca="1" ref="Z50" ca="1">IF(OR(Y50=0,Y50=""),"",INDEX(misCriticidades,X50)&amp;"-"&amp;IFERROR(MATCH(Y50,miOrdenTarjeta,0),0))</f>
        <v/>
      </c>
      <c r="AA50" s="17" t="str">
        <f ca="1"/>
        <v/>
      </c>
      <c r="AB50" s="18">
        <f t="shared" ca="1" si="15"/>
        <v>1</v>
      </c>
      <c r="AC50" s="18" t="str">
        <f t="shared" ca="1" si="5"/>
        <v/>
      </c>
      <c r="AD50" s="18" t="str" cm="1">
        <f t="array" aca="1" ref="AD50" ca="1">IF(AC50="","",IF(AC50&lt;&gt;AC49,1,IF(AD49=misLíneas-2,0,AD49+1)))</f>
        <v/>
      </c>
      <c r="AE50" s="18" t="str" cm="1">
        <f t="array" aca="1" ref="AE50" ca="1">IF(OR(AD50=0,AD50=""),"",INDEX(misCriticidades,AC50)&amp;"-"&amp;IFERROR(MATCH(AD50,miOrdenTarjeta,0),0))</f>
        <v/>
      </c>
      <c r="AF50" s="17" t="str">
        <f ca="1"/>
        <v/>
      </c>
      <c r="AG50" s="18">
        <f t="shared" ca="1" si="16"/>
        <v>1</v>
      </c>
      <c r="AH50" s="18" t="str">
        <f t="shared" ca="1" si="6"/>
        <v/>
      </c>
      <c r="AI50" s="18" t="str" cm="1">
        <f t="array" aca="1" ref="AI50" ca="1">IF(AH50="","",IF(AH50&lt;&gt;AH49,1,IF(AI49=misLíneas-2,0,AI49+1)))</f>
        <v/>
      </c>
      <c r="AJ50" s="18" t="str" cm="1">
        <f t="array" aca="1" ref="AJ50" ca="1">IF(OR(AI50=0,AI50=""),"",INDEX(misCriticidades,AH50)&amp;"-"&amp;IFERROR(MATCH(AI50,miOrdenTarjeta,0),0))</f>
        <v/>
      </c>
      <c r="AK50" s="17" t="str">
        <f ca="1"/>
        <v/>
      </c>
      <c r="AL50" s="18">
        <f t="shared" ca="1" si="17"/>
        <v>1</v>
      </c>
      <c r="AM50" s="18" t="str">
        <f t="shared" ca="1" si="7"/>
        <v/>
      </c>
      <c r="AN50" s="18" t="str" cm="1">
        <f t="array" aca="1" ref="AN50" ca="1">IF(AM50="","",IF(AM50&lt;&gt;AM49,1,IF(AN49=misLíneas-2,0,AN49+1)))</f>
        <v/>
      </c>
      <c r="AO50" s="18" t="str" cm="1">
        <f t="array" aca="1" ref="AO50" ca="1">IF(OR(AN50=0,AN50=""),"",INDEX(misCriticidades,AM50)&amp;"-"&amp;IFERROR(MATCH(AN50,miOrdenTarjeta,0),0))</f>
        <v/>
      </c>
      <c r="AP50" s="17" t="str">
        <f ca="1"/>
        <v/>
      </c>
      <c r="AQ50" s="18">
        <f t="shared" ca="1" si="18"/>
        <v>1</v>
      </c>
      <c r="AR50" s="18" t="str">
        <f t="shared" ca="1" si="8"/>
        <v/>
      </c>
      <c r="AS50" s="18" t="str" cm="1">
        <f t="array" aca="1" ref="AS50" ca="1">IF(AR50="","",IF(AR50&lt;&gt;AR49,1,IF(AS49=misLíneas-2,0,AS49+1)))</f>
        <v/>
      </c>
      <c r="AT50" s="18" t="str" cm="1">
        <f t="array" aca="1" ref="AT50" ca="1">IF(OR(AS50=0,AS50=""),"",INDEX(misCriticidades,AR50)&amp;"-"&amp;IFERROR(MATCH(AS50,miOrdenTarjeta,0),0))</f>
        <v/>
      </c>
      <c r="AU50" s="17" t="str">
        <f ca="1"/>
        <v/>
      </c>
      <c r="AV50" s="18">
        <f t="shared" ca="1" si="19"/>
        <v>1</v>
      </c>
      <c r="AW50" s="18" t="str">
        <f t="shared" ca="1" si="9"/>
        <v/>
      </c>
      <c r="AX50" s="18" t="str" cm="1">
        <f t="array" aca="1" ref="AX50" ca="1">IF(AW50="","",IF(AW50&lt;&gt;AW49,1,IF(AX49=misLíneas-2,0,AX49+1)))</f>
        <v/>
      </c>
      <c r="AY50" s="18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7" t="str">
        <f ca="1"/>
        <v/>
      </c>
      <c r="C51" s="18">
        <f t="shared" ca="1" si="20"/>
        <v>1</v>
      </c>
      <c r="D51" s="18" t="str">
        <f t="shared" ca="1" si="21"/>
        <v/>
      </c>
      <c r="E51" s="18" t="str" cm="1">
        <f t="array" aca="1" ref="E51" ca="1">IF(D51="","",IF(D51&lt;&gt;D50,1,IF(E50=misLíneas-2,0,E50+1)))</f>
        <v/>
      </c>
      <c r="F51" s="18" t="str" cm="1">
        <f t="array" aca="1" ref="F51" ca="1">IF(OR(E51=0,E51=""),"",INDEX(misCriticidades,D51)&amp;"-"&amp;IFERROR(MATCH(E51,miOrdenTarjeta,0),0))</f>
        <v/>
      </c>
      <c r="G51" s="17" t="str">
        <f ca="1"/>
        <v/>
      </c>
      <c r="H51" s="18">
        <f t="shared" ca="1" si="11"/>
        <v>1</v>
      </c>
      <c r="I51" s="18" t="str">
        <f t="shared" ca="1" si="22"/>
        <v/>
      </c>
      <c r="J51" s="18" t="str" cm="1">
        <f t="array" aca="1" ref="J51" ca="1">IF(I51="","",IF(I51&lt;&gt;I50,1,IF(J50=misLíneas-2,0,J50+1)))</f>
        <v/>
      </c>
      <c r="K51" s="18" t="str" cm="1">
        <f t="array" aca="1" ref="K51" ca="1">IF(OR(J51=0,J51=""),"",INDEX(misCriticidades,I51)&amp;"-"&amp;IFERROR(MATCH(J51,miOrdenTarjeta,0),0))</f>
        <v/>
      </c>
      <c r="L51" s="17" t="str">
        <f ca="1"/>
        <v/>
      </c>
      <c r="M51" s="18">
        <f t="shared" ca="1" si="12"/>
        <v>1</v>
      </c>
      <c r="N51" s="18" t="str">
        <f t="shared" ca="1" si="23"/>
        <v/>
      </c>
      <c r="O51" s="18" t="str" cm="1">
        <f t="array" aca="1" ref="O51" ca="1">IF(N51="","",IF(N51&lt;&gt;N50,1,IF(O50=misLíneas-2,0,O50+1)))</f>
        <v/>
      </c>
      <c r="P51" s="18" t="str" cm="1">
        <f t="array" aca="1" ref="P51" ca="1">IF(OR(O51=0,O51=""),"",INDEX(misCriticidades,N51)&amp;"-"&amp;IFERROR(MATCH(O51,miOrdenTarjeta,0),0))</f>
        <v/>
      </c>
      <c r="Q51" s="17" t="str">
        <f ca="1"/>
        <v/>
      </c>
      <c r="R51" s="18">
        <f t="shared" ca="1" si="13"/>
        <v>6</v>
      </c>
      <c r="S51" s="18">
        <f t="shared" ca="1" si="24"/>
        <v>25</v>
      </c>
      <c r="T51" s="18" cm="1">
        <f t="array" aca="1" ref="T51" ca="1">IF(S51="","",IF(S51&lt;&gt;S50,1,IF(T50=misLíneas-2,0,T50+1)))</f>
        <v>4</v>
      </c>
      <c r="U51" s="18" t="str" cm="1">
        <f t="array" aca="1" ref="U51" ca="1">IF(OR(T51=0,T51=""),"",INDEX(misCriticidades,S51)&amp;"-"&amp;IFERROR(MATCH(T51,miOrdenTarjeta,0),0))</f>
        <v>2-4</v>
      </c>
      <c r="V51" s="17" t="str">
        <f ca="1"/>
        <v/>
      </c>
      <c r="W51" s="18">
        <f t="shared" ca="1" si="14"/>
        <v>1</v>
      </c>
      <c r="X51" s="18" t="str">
        <f t="shared" ca="1" si="25"/>
        <v/>
      </c>
      <c r="Y51" s="18" t="str" cm="1">
        <f t="array" aca="1" ref="Y51" ca="1">IF(X51="","",IF(X51&lt;&gt;X50,1,IF(Y50=misLíneas-2,0,Y50+1)))</f>
        <v/>
      </c>
      <c r="Z51" s="18" t="str" cm="1">
        <f t="array" aca="1" ref="Z51" ca="1">IF(OR(Y51=0,Y51=""),"",INDEX(misCriticidades,X51)&amp;"-"&amp;IFERROR(MATCH(Y51,miOrdenTarjeta,0),0))</f>
        <v/>
      </c>
      <c r="AA51" s="17" t="str">
        <f ca="1"/>
        <v/>
      </c>
      <c r="AB51" s="18">
        <f t="shared" ca="1" si="15"/>
        <v>1</v>
      </c>
      <c r="AC51" s="18" t="str">
        <f t="shared" ca="1" si="5"/>
        <v/>
      </c>
      <c r="AD51" s="18" t="str" cm="1">
        <f t="array" aca="1" ref="AD51" ca="1">IF(AC51="","",IF(AC51&lt;&gt;AC50,1,IF(AD50=misLíneas-2,0,AD50+1)))</f>
        <v/>
      </c>
      <c r="AE51" s="18" t="str" cm="1">
        <f t="array" aca="1" ref="AE51" ca="1">IF(OR(AD51=0,AD51=""),"",INDEX(misCriticidades,AC51)&amp;"-"&amp;IFERROR(MATCH(AD51,miOrdenTarjeta,0),0))</f>
        <v/>
      </c>
      <c r="AF51" s="17" t="str">
        <f ca="1"/>
        <v/>
      </c>
      <c r="AG51" s="18">
        <f t="shared" ca="1" si="16"/>
        <v>1</v>
      </c>
      <c r="AH51" s="18" t="str">
        <f t="shared" ca="1" si="6"/>
        <v/>
      </c>
      <c r="AI51" s="18" t="str" cm="1">
        <f t="array" aca="1" ref="AI51" ca="1">IF(AH51="","",IF(AH51&lt;&gt;AH50,1,IF(AI50=misLíneas-2,0,AI50+1)))</f>
        <v/>
      </c>
      <c r="AJ51" s="18" t="str" cm="1">
        <f t="array" aca="1" ref="AJ51" ca="1">IF(OR(AI51=0,AI51=""),"",INDEX(misCriticidades,AH51)&amp;"-"&amp;IFERROR(MATCH(AI51,miOrdenTarjeta,0),0))</f>
        <v/>
      </c>
      <c r="AK51" s="17" t="str">
        <f ca="1"/>
        <v/>
      </c>
      <c r="AL51" s="18">
        <f t="shared" ca="1" si="17"/>
        <v>1</v>
      </c>
      <c r="AM51" s="18" t="str">
        <f t="shared" ca="1" si="7"/>
        <v/>
      </c>
      <c r="AN51" s="18" t="str" cm="1">
        <f t="array" aca="1" ref="AN51" ca="1">IF(AM51="","",IF(AM51&lt;&gt;AM50,1,IF(AN50=misLíneas-2,0,AN50+1)))</f>
        <v/>
      </c>
      <c r="AO51" s="18" t="str" cm="1">
        <f t="array" aca="1" ref="AO51" ca="1">IF(OR(AN51=0,AN51=""),"",INDEX(misCriticidades,AM51)&amp;"-"&amp;IFERROR(MATCH(AN51,miOrdenTarjeta,0),0))</f>
        <v/>
      </c>
      <c r="AP51" s="17" t="str">
        <f ca="1"/>
        <v/>
      </c>
      <c r="AQ51" s="18">
        <f t="shared" ca="1" si="18"/>
        <v>1</v>
      </c>
      <c r="AR51" s="18" t="str">
        <f t="shared" ca="1" si="8"/>
        <v/>
      </c>
      <c r="AS51" s="18" t="str" cm="1">
        <f t="array" aca="1" ref="AS51" ca="1">IF(AR51="","",IF(AR51&lt;&gt;AR50,1,IF(AS50=misLíneas-2,0,AS50+1)))</f>
        <v/>
      </c>
      <c r="AT51" s="18" t="str" cm="1">
        <f t="array" aca="1" ref="AT51" ca="1">IF(OR(AS51=0,AS51=""),"",INDEX(misCriticidades,AR51)&amp;"-"&amp;IFERROR(MATCH(AS51,miOrdenTarjeta,0),0))</f>
        <v/>
      </c>
      <c r="AU51" s="17" t="str">
        <f ca="1"/>
        <v/>
      </c>
      <c r="AV51" s="18">
        <f t="shared" ca="1" si="19"/>
        <v>1</v>
      </c>
      <c r="AW51" s="18" t="str">
        <f t="shared" ca="1" si="9"/>
        <v/>
      </c>
      <c r="AX51" s="18" t="str" cm="1">
        <f t="array" aca="1" ref="AX51" ca="1">IF(AW51="","",IF(AW51&lt;&gt;AW50,1,IF(AX50=misLíneas-2,0,AX50+1)))</f>
        <v/>
      </c>
      <c r="AY51" s="18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7" t="str">
        <f ca="1"/>
        <v/>
      </c>
      <c r="C52" s="18">
        <f t="shared" ca="1" si="20"/>
        <v>1</v>
      </c>
      <c r="D52" s="18" t="str">
        <f t="shared" ca="1" si="21"/>
        <v/>
      </c>
      <c r="E52" s="18" t="str" cm="1">
        <f t="array" aca="1" ref="E52" ca="1">IF(D52="","",IF(D52&lt;&gt;D51,1,IF(E51=misLíneas-2,0,E51+1)))</f>
        <v/>
      </c>
      <c r="F52" s="18" t="str" cm="1">
        <f t="array" aca="1" ref="F52" ca="1">IF(OR(E52=0,E52=""),"",INDEX(misCriticidades,D52)&amp;"-"&amp;IFERROR(MATCH(E52,miOrdenTarjeta,0),0))</f>
        <v/>
      </c>
      <c r="G52" s="17" t="str">
        <f ca="1"/>
        <v/>
      </c>
      <c r="H52" s="18">
        <f t="shared" ca="1" si="11"/>
        <v>1</v>
      </c>
      <c r="I52" s="18" t="str">
        <f t="shared" ca="1" si="22"/>
        <v/>
      </c>
      <c r="J52" s="18" t="str" cm="1">
        <f t="array" aca="1" ref="J52" ca="1">IF(I52="","",IF(I52&lt;&gt;I51,1,IF(J51=misLíneas-2,0,J51+1)))</f>
        <v/>
      </c>
      <c r="K52" s="18" t="str" cm="1">
        <f t="array" aca="1" ref="K52" ca="1">IF(OR(J52=0,J52=""),"",INDEX(misCriticidades,I52)&amp;"-"&amp;IFERROR(MATCH(J52,miOrdenTarjeta,0),0))</f>
        <v/>
      </c>
      <c r="L52" s="17" t="str">
        <f ca="1"/>
        <v/>
      </c>
      <c r="M52" s="18">
        <f t="shared" ca="1" si="12"/>
        <v>1</v>
      </c>
      <c r="N52" s="18" t="str">
        <f t="shared" ca="1" si="23"/>
        <v/>
      </c>
      <c r="O52" s="18" t="str" cm="1">
        <f t="array" aca="1" ref="O52" ca="1">IF(N52="","",IF(N52&lt;&gt;N51,1,IF(O51=misLíneas-2,0,O51+1)))</f>
        <v/>
      </c>
      <c r="P52" s="18" t="str" cm="1">
        <f t="array" aca="1" ref="P52" ca="1">IF(OR(O52=0,O52=""),"",INDEX(misCriticidades,N52)&amp;"-"&amp;IFERROR(MATCH(O52,miOrdenTarjeta,0),0))</f>
        <v/>
      </c>
      <c r="Q52" s="17" t="str">
        <f ca="1"/>
        <v/>
      </c>
      <c r="R52" s="18">
        <f t="shared" ca="1" si="13"/>
        <v>6</v>
      </c>
      <c r="S52" s="18">
        <f t="shared" ca="1" si="24"/>
        <v>25</v>
      </c>
      <c r="T52" s="18" cm="1">
        <f t="array" aca="1" ref="T52" ca="1">IF(S52="","",IF(S52&lt;&gt;S51,1,IF(T51=misLíneas-2,0,T51+1)))</f>
        <v>5</v>
      </c>
      <c r="U52" s="18" t="str" cm="1">
        <f t="array" aca="1" ref="U52" ca="1">IF(OR(T52=0,T52=""),"",INDEX(misCriticidades,S52)&amp;"-"&amp;IFERROR(MATCH(T52,miOrdenTarjeta,0),0))</f>
        <v>2-5</v>
      </c>
      <c r="V52" s="17" t="str">
        <f ca="1"/>
        <v/>
      </c>
      <c r="W52" s="18">
        <f t="shared" ca="1" si="14"/>
        <v>1</v>
      </c>
      <c r="X52" s="18" t="str">
        <f t="shared" ca="1" si="25"/>
        <v/>
      </c>
      <c r="Y52" s="18" t="str" cm="1">
        <f t="array" aca="1" ref="Y52" ca="1">IF(X52="","",IF(X52&lt;&gt;X51,1,IF(Y51=misLíneas-2,0,Y51+1)))</f>
        <v/>
      </c>
      <c r="Z52" s="18" t="str" cm="1">
        <f t="array" aca="1" ref="Z52" ca="1">IF(OR(Y52=0,Y52=""),"",INDEX(misCriticidades,X52)&amp;"-"&amp;IFERROR(MATCH(Y52,miOrdenTarjeta,0),0))</f>
        <v/>
      </c>
      <c r="AA52" s="17" t="str">
        <f ca="1"/>
        <v/>
      </c>
      <c r="AB52" s="18">
        <f t="shared" ca="1" si="15"/>
        <v>1</v>
      </c>
      <c r="AC52" s="18" t="str">
        <f t="shared" ca="1" si="5"/>
        <v/>
      </c>
      <c r="AD52" s="18" t="str" cm="1">
        <f t="array" aca="1" ref="AD52" ca="1">IF(AC52="","",IF(AC52&lt;&gt;AC51,1,IF(AD51=misLíneas-2,0,AD51+1)))</f>
        <v/>
      </c>
      <c r="AE52" s="18" t="str" cm="1">
        <f t="array" aca="1" ref="AE52" ca="1">IF(OR(AD52=0,AD52=""),"",INDEX(misCriticidades,AC52)&amp;"-"&amp;IFERROR(MATCH(AD52,miOrdenTarjeta,0),0))</f>
        <v/>
      </c>
      <c r="AF52" s="17" t="str">
        <f ca="1"/>
        <v/>
      </c>
      <c r="AG52" s="18">
        <f t="shared" ca="1" si="16"/>
        <v>1</v>
      </c>
      <c r="AH52" s="18" t="str">
        <f t="shared" ca="1" si="6"/>
        <v/>
      </c>
      <c r="AI52" s="18" t="str" cm="1">
        <f t="array" aca="1" ref="AI52" ca="1">IF(AH52="","",IF(AH52&lt;&gt;AH51,1,IF(AI51=misLíneas-2,0,AI51+1)))</f>
        <v/>
      </c>
      <c r="AJ52" s="18" t="str" cm="1">
        <f t="array" aca="1" ref="AJ52" ca="1">IF(OR(AI52=0,AI52=""),"",INDEX(misCriticidades,AH52)&amp;"-"&amp;IFERROR(MATCH(AI52,miOrdenTarjeta,0),0))</f>
        <v/>
      </c>
      <c r="AK52" s="17" t="str">
        <f ca="1"/>
        <v/>
      </c>
      <c r="AL52" s="18">
        <f t="shared" ca="1" si="17"/>
        <v>1</v>
      </c>
      <c r="AM52" s="18" t="str">
        <f t="shared" ca="1" si="7"/>
        <v/>
      </c>
      <c r="AN52" s="18" t="str" cm="1">
        <f t="array" aca="1" ref="AN52" ca="1">IF(AM52="","",IF(AM52&lt;&gt;AM51,1,IF(AN51=misLíneas-2,0,AN51+1)))</f>
        <v/>
      </c>
      <c r="AO52" s="18" t="str" cm="1">
        <f t="array" aca="1" ref="AO52" ca="1">IF(OR(AN52=0,AN52=""),"",INDEX(misCriticidades,AM52)&amp;"-"&amp;IFERROR(MATCH(AN52,miOrdenTarjeta,0),0))</f>
        <v/>
      </c>
      <c r="AP52" s="17" t="str">
        <f ca="1"/>
        <v/>
      </c>
      <c r="AQ52" s="18">
        <f t="shared" ca="1" si="18"/>
        <v>1</v>
      </c>
      <c r="AR52" s="18" t="str">
        <f t="shared" ca="1" si="8"/>
        <v/>
      </c>
      <c r="AS52" s="18" t="str" cm="1">
        <f t="array" aca="1" ref="AS52" ca="1">IF(AR52="","",IF(AR52&lt;&gt;AR51,1,IF(AS51=misLíneas-2,0,AS51+1)))</f>
        <v/>
      </c>
      <c r="AT52" s="18" t="str" cm="1">
        <f t="array" aca="1" ref="AT52" ca="1">IF(OR(AS52=0,AS52=""),"",INDEX(misCriticidades,AR52)&amp;"-"&amp;IFERROR(MATCH(AS52,miOrdenTarjeta,0),0))</f>
        <v/>
      </c>
      <c r="AU52" s="17" t="str">
        <f ca="1"/>
        <v/>
      </c>
      <c r="AV52" s="18">
        <f t="shared" ca="1" si="19"/>
        <v>1</v>
      </c>
      <c r="AW52" s="18" t="str">
        <f t="shared" ca="1" si="9"/>
        <v/>
      </c>
      <c r="AX52" s="18" t="str" cm="1">
        <f t="array" aca="1" ref="AX52" ca="1">IF(AW52="","",IF(AW52&lt;&gt;AW51,1,IF(AX51=misLíneas-2,0,AX51+1)))</f>
        <v/>
      </c>
      <c r="AY52" s="18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7" t="str">
        <f ca="1"/>
        <v/>
      </c>
      <c r="C53" s="18">
        <f t="shared" ca="1" si="20"/>
        <v>1</v>
      </c>
      <c r="D53" s="18" t="str">
        <f t="shared" ca="1" si="21"/>
        <v/>
      </c>
      <c r="E53" s="18" t="str" cm="1">
        <f t="array" aca="1" ref="E53" ca="1">IF(D53="","",IF(D53&lt;&gt;D52,1,IF(E52=misLíneas-2,0,E52+1)))</f>
        <v/>
      </c>
      <c r="F53" s="18" t="str" cm="1">
        <f t="array" aca="1" ref="F53" ca="1">IF(OR(E53=0,E53=""),"",INDEX(misCriticidades,D53)&amp;"-"&amp;IFERROR(MATCH(E53,miOrdenTarjeta,0),0))</f>
        <v/>
      </c>
      <c r="G53" s="17" t="str">
        <f ca="1"/>
        <v/>
      </c>
      <c r="H53" s="18">
        <f t="shared" ca="1" si="11"/>
        <v>1</v>
      </c>
      <c r="I53" s="18" t="str">
        <f t="shared" ca="1" si="22"/>
        <v/>
      </c>
      <c r="J53" s="18" t="str" cm="1">
        <f t="array" aca="1" ref="J53" ca="1">IF(I53="","",IF(I53&lt;&gt;I52,1,IF(J52=misLíneas-2,0,J52+1)))</f>
        <v/>
      </c>
      <c r="K53" s="18" t="str" cm="1">
        <f t="array" aca="1" ref="K53" ca="1">IF(OR(J53=0,J53=""),"",INDEX(misCriticidades,I53)&amp;"-"&amp;IFERROR(MATCH(J53,miOrdenTarjeta,0),0))</f>
        <v/>
      </c>
      <c r="L53" s="17" t="str">
        <f ca="1"/>
        <v/>
      </c>
      <c r="M53" s="18">
        <f t="shared" ca="1" si="12"/>
        <v>1</v>
      </c>
      <c r="N53" s="18" t="str">
        <f t="shared" ca="1" si="23"/>
        <v/>
      </c>
      <c r="O53" s="18" t="str" cm="1">
        <f t="array" aca="1" ref="O53" ca="1">IF(N53="","",IF(N53&lt;&gt;N52,1,IF(O52=misLíneas-2,0,O52+1)))</f>
        <v/>
      </c>
      <c r="P53" s="18" t="str" cm="1">
        <f t="array" aca="1" ref="P53" ca="1">IF(OR(O53=0,O53=""),"",INDEX(misCriticidades,N53)&amp;"-"&amp;IFERROR(MATCH(O53,miOrdenTarjeta,0),0))</f>
        <v/>
      </c>
      <c r="Q53" s="17" t="str">
        <f ca="1"/>
        <v/>
      </c>
      <c r="R53" s="18">
        <f t="shared" ca="1" si="13"/>
        <v>6</v>
      </c>
      <c r="S53" s="18">
        <f t="shared" ca="1" si="24"/>
        <v>25</v>
      </c>
      <c r="T53" s="18" cm="1">
        <f t="array" aca="1" ref="T53" ca="1">IF(S53="","",IF(S53&lt;&gt;S52,1,IF(T52=misLíneas-2,0,T52+1)))</f>
        <v>6</v>
      </c>
      <c r="U53" s="18" t="str" cm="1">
        <f t="array" aca="1" ref="U53" ca="1">IF(OR(T53=0,T53=""),"",INDEX(misCriticidades,S53)&amp;"-"&amp;IFERROR(MATCH(T53,miOrdenTarjeta,0),0))</f>
        <v>2-6</v>
      </c>
      <c r="V53" s="17" t="str">
        <f ca="1"/>
        <v/>
      </c>
      <c r="W53" s="18">
        <f t="shared" ca="1" si="14"/>
        <v>1</v>
      </c>
      <c r="X53" s="18" t="str">
        <f t="shared" ca="1" si="25"/>
        <v/>
      </c>
      <c r="Y53" s="18" t="str" cm="1">
        <f t="array" aca="1" ref="Y53" ca="1">IF(X53="","",IF(X53&lt;&gt;X52,1,IF(Y52=misLíneas-2,0,Y52+1)))</f>
        <v/>
      </c>
      <c r="Z53" s="18" t="str" cm="1">
        <f t="array" aca="1" ref="Z53" ca="1">IF(OR(Y53=0,Y53=""),"",INDEX(misCriticidades,X53)&amp;"-"&amp;IFERROR(MATCH(Y53,miOrdenTarjeta,0),0))</f>
        <v/>
      </c>
      <c r="AA53" s="17" t="str">
        <f ca="1"/>
        <v/>
      </c>
      <c r="AB53" s="18">
        <f t="shared" ca="1" si="15"/>
        <v>1</v>
      </c>
      <c r="AC53" s="18" t="str">
        <f t="shared" ca="1" si="5"/>
        <v/>
      </c>
      <c r="AD53" s="18" t="str" cm="1">
        <f t="array" aca="1" ref="AD53" ca="1">IF(AC53="","",IF(AC53&lt;&gt;AC52,1,IF(AD52=misLíneas-2,0,AD52+1)))</f>
        <v/>
      </c>
      <c r="AE53" s="18" t="str" cm="1">
        <f t="array" aca="1" ref="AE53" ca="1">IF(OR(AD53=0,AD53=""),"",INDEX(misCriticidades,AC53)&amp;"-"&amp;IFERROR(MATCH(AD53,miOrdenTarjeta,0),0))</f>
        <v/>
      </c>
      <c r="AF53" s="17" t="str">
        <f ca="1"/>
        <v/>
      </c>
      <c r="AG53" s="18">
        <f t="shared" ca="1" si="16"/>
        <v>1</v>
      </c>
      <c r="AH53" s="18" t="str">
        <f t="shared" ca="1" si="6"/>
        <v/>
      </c>
      <c r="AI53" s="18" t="str" cm="1">
        <f t="array" aca="1" ref="AI53" ca="1">IF(AH53="","",IF(AH53&lt;&gt;AH52,1,IF(AI52=misLíneas-2,0,AI52+1)))</f>
        <v/>
      </c>
      <c r="AJ53" s="18" t="str" cm="1">
        <f t="array" aca="1" ref="AJ53" ca="1">IF(OR(AI53=0,AI53=""),"",INDEX(misCriticidades,AH53)&amp;"-"&amp;IFERROR(MATCH(AI53,miOrdenTarjeta,0),0))</f>
        <v/>
      </c>
      <c r="AK53" s="17" t="str">
        <f ca="1"/>
        <v/>
      </c>
      <c r="AL53" s="18">
        <f t="shared" ca="1" si="17"/>
        <v>1</v>
      </c>
      <c r="AM53" s="18" t="str">
        <f t="shared" ca="1" si="7"/>
        <v/>
      </c>
      <c r="AN53" s="18" t="str" cm="1">
        <f t="array" aca="1" ref="AN53" ca="1">IF(AM53="","",IF(AM53&lt;&gt;AM52,1,IF(AN52=misLíneas-2,0,AN52+1)))</f>
        <v/>
      </c>
      <c r="AO53" s="18" t="str" cm="1">
        <f t="array" aca="1" ref="AO53" ca="1">IF(OR(AN53=0,AN53=""),"",INDEX(misCriticidades,AM53)&amp;"-"&amp;IFERROR(MATCH(AN53,miOrdenTarjeta,0),0))</f>
        <v/>
      </c>
      <c r="AP53" s="17" t="str">
        <f ca="1"/>
        <v/>
      </c>
      <c r="AQ53" s="18">
        <f t="shared" ca="1" si="18"/>
        <v>1</v>
      </c>
      <c r="AR53" s="18" t="str">
        <f t="shared" ca="1" si="8"/>
        <v/>
      </c>
      <c r="AS53" s="18" t="str" cm="1">
        <f t="array" aca="1" ref="AS53" ca="1">IF(AR53="","",IF(AR53&lt;&gt;AR52,1,IF(AS52=misLíneas-2,0,AS52+1)))</f>
        <v/>
      </c>
      <c r="AT53" s="18" t="str" cm="1">
        <f t="array" aca="1" ref="AT53" ca="1">IF(OR(AS53=0,AS53=""),"",INDEX(misCriticidades,AR53)&amp;"-"&amp;IFERROR(MATCH(AS53,miOrdenTarjeta,0),0))</f>
        <v/>
      </c>
      <c r="AU53" s="17" t="str">
        <f ca="1"/>
        <v/>
      </c>
      <c r="AV53" s="18">
        <f t="shared" ca="1" si="19"/>
        <v>1</v>
      </c>
      <c r="AW53" s="18" t="str">
        <f t="shared" ca="1" si="9"/>
        <v/>
      </c>
      <c r="AX53" s="18" t="str" cm="1">
        <f t="array" aca="1" ref="AX53" ca="1">IF(AW53="","",IF(AW53&lt;&gt;AW52,1,IF(AX52=misLíneas-2,0,AX52+1)))</f>
        <v/>
      </c>
      <c r="AY53" s="18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7" t="str">
        <f ca="1"/>
        <v/>
      </c>
      <c r="C54" s="18">
        <f t="shared" ca="1" si="20"/>
        <v>1</v>
      </c>
      <c r="D54" s="18" t="str">
        <f t="shared" ca="1" si="21"/>
        <v/>
      </c>
      <c r="E54" s="18" t="str" cm="1">
        <f t="array" aca="1" ref="E54" ca="1">IF(D54="","",IF(D54&lt;&gt;D53,1,IF(E53=misLíneas-2,0,E53+1)))</f>
        <v/>
      </c>
      <c r="F54" s="18" t="str" cm="1">
        <f t="array" aca="1" ref="F54" ca="1">IF(OR(E54=0,E54=""),"",INDEX(misCriticidades,D54)&amp;"-"&amp;IFERROR(MATCH(E54,miOrdenTarjeta,0),0))</f>
        <v/>
      </c>
      <c r="G54" s="17" t="str">
        <f ca="1"/>
        <v/>
      </c>
      <c r="H54" s="18">
        <f t="shared" ca="1" si="11"/>
        <v>1</v>
      </c>
      <c r="I54" s="18" t="str">
        <f t="shared" ca="1" si="22"/>
        <v/>
      </c>
      <c r="J54" s="18" t="str" cm="1">
        <f t="array" aca="1" ref="J54" ca="1">IF(I54="","",IF(I54&lt;&gt;I53,1,IF(J53=misLíneas-2,0,J53+1)))</f>
        <v/>
      </c>
      <c r="K54" s="18" t="str" cm="1">
        <f t="array" aca="1" ref="K54" ca="1">IF(OR(J54=0,J54=""),"",INDEX(misCriticidades,I54)&amp;"-"&amp;IFERROR(MATCH(J54,miOrdenTarjeta,0),0))</f>
        <v/>
      </c>
      <c r="L54" s="17" t="str">
        <f ca="1"/>
        <v/>
      </c>
      <c r="M54" s="18">
        <f t="shared" ca="1" si="12"/>
        <v>1</v>
      </c>
      <c r="N54" s="18" t="str">
        <f t="shared" ca="1" si="23"/>
        <v/>
      </c>
      <c r="O54" s="18" t="str" cm="1">
        <f t="array" aca="1" ref="O54" ca="1">IF(N54="","",IF(N54&lt;&gt;N53,1,IF(O53=misLíneas-2,0,O53+1)))</f>
        <v/>
      </c>
      <c r="P54" s="18" t="str" cm="1">
        <f t="array" aca="1" ref="P54" ca="1">IF(OR(O54=0,O54=""),"",INDEX(misCriticidades,N54)&amp;"-"&amp;IFERROR(MATCH(O54,miOrdenTarjeta,0),0))</f>
        <v/>
      </c>
      <c r="Q54" s="17" t="str">
        <f ca="1"/>
        <v/>
      </c>
      <c r="R54" s="18">
        <f t="shared" ca="1" si="13"/>
        <v>6</v>
      </c>
      <c r="S54" s="18">
        <f t="shared" ca="1" si="24"/>
        <v>25</v>
      </c>
      <c r="T54" s="18" cm="1">
        <f t="array" aca="1" ref="T54" ca="1">IF(S54="","",IF(S54&lt;&gt;S53,1,IF(T53=misLíneas-2,0,T53+1)))</f>
        <v>7</v>
      </c>
      <c r="U54" s="18" t="str" cm="1">
        <f t="array" aca="1" ref="U54" ca="1">IF(OR(T54=0,T54=""),"",INDEX(misCriticidades,S54)&amp;"-"&amp;IFERROR(MATCH(T54,miOrdenTarjeta,0),0))</f>
        <v>2-7</v>
      </c>
      <c r="V54" s="17" t="str">
        <f ca="1"/>
        <v/>
      </c>
      <c r="W54" s="18">
        <f t="shared" ca="1" si="14"/>
        <v>1</v>
      </c>
      <c r="X54" s="18" t="str">
        <f t="shared" ca="1" si="25"/>
        <v/>
      </c>
      <c r="Y54" s="18" t="str" cm="1">
        <f t="array" aca="1" ref="Y54" ca="1">IF(X54="","",IF(X54&lt;&gt;X53,1,IF(Y53=misLíneas-2,0,Y53+1)))</f>
        <v/>
      </c>
      <c r="Z54" s="18" t="str" cm="1">
        <f t="array" aca="1" ref="Z54" ca="1">IF(OR(Y54=0,Y54=""),"",INDEX(misCriticidades,X54)&amp;"-"&amp;IFERROR(MATCH(Y54,miOrdenTarjeta,0),0))</f>
        <v/>
      </c>
      <c r="AA54" s="17" t="str">
        <f ca="1"/>
        <v/>
      </c>
      <c r="AB54" s="18">
        <f t="shared" ca="1" si="15"/>
        <v>1</v>
      </c>
      <c r="AC54" s="18" t="str">
        <f t="shared" ca="1" si="5"/>
        <v/>
      </c>
      <c r="AD54" s="18" t="str" cm="1">
        <f t="array" aca="1" ref="AD54" ca="1">IF(AC54="","",IF(AC54&lt;&gt;AC53,1,IF(AD53=misLíneas-2,0,AD53+1)))</f>
        <v/>
      </c>
      <c r="AE54" s="18" t="str" cm="1">
        <f t="array" aca="1" ref="AE54" ca="1">IF(OR(AD54=0,AD54=""),"",INDEX(misCriticidades,AC54)&amp;"-"&amp;IFERROR(MATCH(AD54,miOrdenTarjeta,0),0))</f>
        <v/>
      </c>
      <c r="AF54" s="17" t="str">
        <f ca="1"/>
        <v/>
      </c>
      <c r="AG54" s="18">
        <f t="shared" ca="1" si="16"/>
        <v>1</v>
      </c>
      <c r="AH54" s="18" t="str">
        <f t="shared" ca="1" si="6"/>
        <v/>
      </c>
      <c r="AI54" s="18" t="str" cm="1">
        <f t="array" aca="1" ref="AI54" ca="1">IF(AH54="","",IF(AH54&lt;&gt;AH53,1,IF(AI53=misLíneas-2,0,AI53+1)))</f>
        <v/>
      </c>
      <c r="AJ54" s="18" t="str" cm="1">
        <f t="array" aca="1" ref="AJ54" ca="1">IF(OR(AI54=0,AI54=""),"",INDEX(misCriticidades,AH54)&amp;"-"&amp;IFERROR(MATCH(AI54,miOrdenTarjeta,0),0))</f>
        <v/>
      </c>
      <c r="AK54" s="17" t="str">
        <f ca="1"/>
        <v/>
      </c>
      <c r="AL54" s="18">
        <f t="shared" ca="1" si="17"/>
        <v>1</v>
      </c>
      <c r="AM54" s="18" t="str">
        <f t="shared" ca="1" si="7"/>
        <v/>
      </c>
      <c r="AN54" s="18" t="str" cm="1">
        <f t="array" aca="1" ref="AN54" ca="1">IF(AM54="","",IF(AM54&lt;&gt;AM53,1,IF(AN53=misLíneas-2,0,AN53+1)))</f>
        <v/>
      </c>
      <c r="AO54" s="18" t="str" cm="1">
        <f t="array" aca="1" ref="AO54" ca="1">IF(OR(AN54=0,AN54=""),"",INDEX(misCriticidades,AM54)&amp;"-"&amp;IFERROR(MATCH(AN54,miOrdenTarjeta,0),0))</f>
        <v/>
      </c>
      <c r="AP54" s="17" t="str">
        <f ca="1"/>
        <v/>
      </c>
      <c r="AQ54" s="18">
        <f t="shared" ca="1" si="18"/>
        <v>1</v>
      </c>
      <c r="AR54" s="18" t="str">
        <f t="shared" ca="1" si="8"/>
        <v/>
      </c>
      <c r="AS54" s="18" t="str" cm="1">
        <f t="array" aca="1" ref="AS54" ca="1">IF(AR54="","",IF(AR54&lt;&gt;AR53,1,IF(AS53=misLíneas-2,0,AS53+1)))</f>
        <v/>
      </c>
      <c r="AT54" s="18" t="str" cm="1">
        <f t="array" aca="1" ref="AT54" ca="1">IF(OR(AS54=0,AS54=""),"",INDEX(misCriticidades,AR54)&amp;"-"&amp;IFERROR(MATCH(AS54,miOrdenTarjeta,0),0))</f>
        <v/>
      </c>
      <c r="AU54" s="17" t="str">
        <f ca="1"/>
        <v/>
      </c>
      <c r="AV54" s="18">
        <f t="shared" ca="1" si="19"/>
        <v>1</v>
      </c>
      <c r="AW54" s="18" t="str">
        <f t="shared" ca="1" si="9"/>
        <v/>
      </c>
      <c r="AX54" s="18" t="str" cm="1">
        <f t="array" aca="1" ref="AX54" ca="1">IF(AW54="","",IF(AW54&lt;&gt;AW53,1,IF(AX53=misLíneas-2,0,AX53+1)))</f>
        <v/>
      </c>
      <c r="AY54" s="18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7" t="str">
        <f ca="1"/>
        <v/>
      </c>
      <c r="C55" s="18">
        <f t="shared" ca="1" si="20"/>
        <v>1</v>
      </c>
      <c r="D55" s="18" t="str">
        <f t="shared" ca="1" si="21"/>
        <v/>
      </c>
      <c r="E55" s="18" t="str" cm="1">
        <f t="array" aca="1" ref="E55" ca="1">IF(D55="","",IF(D55&lt;&gt;D54,1,IF(E54=misLíneas-2,0,E54+1)))</f>
        <v/>
      </c>
      <c r="F55" s="18" t="str" cm="1">
        <f t="array" aca="1" ref="F55" ca="1">IF(OR(E55=0,E55=""),"",INDEX(misCriticidades,D55)&amp;"-"&amp;IFERROR(MATCH(E55,miOrdenTarjeta,0),0))</f>
        <v/>
      </c>
      <c r="G55" s="17" t="str">
        <f ca="1"/>
        <v/>
      </c>
      <c r="H55" s="18">
        <f t="shared" ca="1" si="11"/>
        <v>1</v>
      </c>
      <c r="I55" s="18" t="str">
        <f t="shared" ca="1" si="22"/>
        <v/>
      </c>
      <c r="J55" s="18" t="str" cm="1">
        <f t="array" aca="1" ref="J55" ca="1">IF(I55="","",IF(I55&lt;&gt;I54,1,IF(J54=misLíneas-2,0,J54+1)))</f>
        <v/>
      </c>
      <c r="K55" s="18" t="str" cm="1">
        <f t="array" aca="1" ref="K55" ca="1">IF(OR(J55=0,J55=""),"",INDEX(misCriticidades,I55)&amp;"-"&amp;IFERROR(MATCH(J55,miOrdenTarjeta,0),0))</f>
        <v/>
      </c>
      <c r="L55" s="17" t="str">
        <f ca="1"/>
        <v/>
      </c>
      <c r="M55" s="18">
        <f t="shared" ca="1" si="12"/>
        <v>1</v>
      </c>
      <c r="N55" s="18" t="str">
        <f t="shared" ca="1" si="23"/>
        <v/>
      </c>
      <c r="O55" s="18" t="str" cm="1">
        <f t="array" aca="1" ref="O55" ca="1">IF(N55="","",IF(N55&lt;&gt;N54,1,IF(O54=misLíneas-2,0,O54+1)))</f>
        <v/>
      </c>
      <c r="P55" s="18" t="str" cm="1">
        <f t="array" aca="1" ref="P55" ca="1">IF(OR(O55=0,O55=""),"",INDEX(misCriticidades,N55)&amp;"-"&amp;IFERROR(MATCH(O55,miOrdenTarjeta,0),0))</f>
        <v/>
      </c>
      <c r="Q55" s="17" t="str">
        <f ca="1"/>
        <v/>
      </c>
      <c r="R55" s="18">
        <f t="shared" ca="1" si="13"/>
        <v>6</v>
      </c>
      <c r="S55" s="18">
        <f t="shared" ca="1" si="24"/>
        <v>25</v>
      </c>
      <c r="T55" s="18" cm="1">
        <f t="array" aca="1" ref="T55" ca="1">IF(S55="","",IF(S55&lt;&gt;S54,1,IF(T54=misLíneas-2,0,T54+1)))</f>
        <v>8</v>
      </c>
      <c r="U55" s="18" t="str" cm="1">
        <f t="array" aca="1" ref="U55" ca="1">IF(OR(T55=0,T55=""),"",INDEX(misCriticidades,S55)&amp;"-"&amp;IFERROR(MATCH(T55,miOrdenTarjeta,0),0))</f>
        <v>2-8</v>
      </c>
      <c r="V55" s="17" t="str">
        <f ca="1"/>
        <v/>
      </c>
      <c r="W55" s="18">
        <f t="shared" ca="1" si="14"/>
        <v>1</v>
      </c>
      <c r="X55" s="18" t="str">
        <f t="shared" ca="1" si="25"/>
        <v/>
      </c>
      <c r="Y55" s="18" t="str" cm="1">
        <f t="array" aca="1" ref="Y55" ca="1">IF(X55="","",IF(X55&lt;&gt;X54,1,IF(Y54=misLíneas-2,0,Y54+1)))</f>
        <v/>
      </c>
      <c r="Z55" s="18" t="str" cm="1">
        <f t="array" aca="1" ref="Z55" ca="1">IF(OR(Y55=0,Y55=""),"",INDEX(misCriticidades,X55)&amp;"-"&amp;IFERROR(MATCH(Y55,miOrdenTarjeta,0),0))</f>
        <v/>
      </c>
      <c r="AA55" s="17" t="str">
        <f ca="1"/>
        <v/>
      </c>
      <c r="AB55" s="18">
        <f t="shared" ca="1" si="15"/>
        <v>1</v>
      </c>
      <c r="AC55" s="18" t="str">
        <f t="shared" ca="1" si="5"/>
        <v/>
      </c>
      <c r="AD55" s="18" t="str" cm="1">
        <f t="array" aca="1" ref="AD55" ca="1">IF(AC55="","",IF(AC55&lt;&gt;AC54,1,IF(AD54=misLíneas-2,0,AD54+1)))</f>
        <v/>
      </c>
      <c r="AE55" s="18" t="str" cm="1">
        <f t="array" aca="1" ref="AE55" ca="1">IF(OR(AD55=0,AD55=""),"",INDEX(misCriticidades,AC55)&amp;"-"&amp;IFERROR(MATCH(AD55,miOrdenTarjeta,0),0))</f>
        <v/>
      </c>
      <c r="AF55" s="17" t="str">
        <f ca="1"/>
        <v/>
      </c>
      <c r="AG55" s="18">
        <f t="shared" ca="1" si="16"/>
        <v>1</v>
      </c>
      <c r="AH55" s="18" t="str">
        <f t="shared" ca="1" si="6"/>
        <v/>
      </c>
      <c r="AI55" s="18" t="str" cm="1">
        <f t="array" aca="1" ref="AI55" ca="1">IF(AH55="","",IF(AH55&lt;&gt;AH54,1,IF(AI54=misLíneas-2,0,AI54+1)))</f>
        <v/>
      </c>
      <c r="AJ55" s="18" t="str" cm="1">
        <f t="array" aca="1" ref="AJ55" ca="1">IF(OR(AI55=0,AI55=""),"",INDEX(misCriticidades,AH55)&amp;"-"&amp;IFERROR(MATCH(AI55,miOrdenTarjeta,0),0))</f>
        <v/>
      </c>
      <c r="AK55" s="17" t="str">
        <f ca="1"/>
        <v/>
      </c>
      <c r="AL55" s="18">
        <f t="shared" ca="1" si="17"/>
        <v>1</v>
      </c>
      <c r="AM55" s="18" t="str">
        <f t="shared" ca="1" si="7"/>
        <v/>
      </c>
      <c r="AN55" s="18" t="str" cm="1">
        <f t="array" aca="1" ref="AN55" ca="1">IF(AM55="","",IF(AM55&lt;&gt;AM54,1,IF(AN54=misLíneas-2,0,AN54+1)))</f>
        <v/>
      </c>
      <c r="AO55" s="18" t="str" cm="1">
        <f t="array" aca="1" ref="AO55" ca="1">IF(OR(AN55=0,AN55=""),"",INDEX(misCriticidades,AM55)&amp;"-"&amp;IFERROR(MATCH(AN55,miOrdenTarjeta,0),0))</f>
        <v/>
      </c>
      <c r="AP55" s="17" t="str">
        <f ca="1"/>
        <v/>
      </c>
      <c r="AQ55" s="18">
        <f t="shared" ca="1" si="18"/>
        <v>1</v>
      </c>
      <c r="AR55" s="18" t="str">
        <f t="shared" ca="1" si="8"/>
        <v/>
      </c>
      <c r="AS55" s="18" t="str" cm="1">
        <f t="array" aca="1" ref="AS55" ca="1">IF(AR55="","",IF(AR55&lt;&gt;AR54,1,IF(AS54=misLíneas-2,0,AS54+1)))</f>
        <v/>
      </c>
      <c r="AT55" s="18" t="str" cm="1">
        <f t="array" aca="1" ref="AT55" ca="1">IF(OR(AS55=0,AS55=""),"",INDEX(misCriticidades,AR55)&amp;"-"&amp;IFERROR(MATCH(AS55,miOrdenTarjeta,0),0))</f>
        <v/>
      </c>
      <c r="AU55" s="17" t="str">
        <f ca="1"/>
        <v/>
      </c>
      <c r="AV55" s="18">
        <f t="shared" ca="1" si="19"/>
        <v>1</v>
      </c>
      <c r="AW55" s="18" t="str">
        <f t="shared" ca="1" si="9"/>
        <v/>
      </c>
      <c r="AX55" s="18" t="str" cm="1">
        <f t="array" aca="1" ref="AX55" ca="1">IF(AW55="","",IF(AW55&lt;&gt;AW54,1,IF(AX54=misLíneas-2,0,AX54+1)))</f>
        <v/>
      </c>
      <c r="AY55" s="18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7" t="str">
        <f ca="1"/>
        <v/>
      </c>
      <c r="C56" s="18">
        <f t="shared" ca="1" si="20"/>
        <v>1</v>
      </c>
      <c r="D56" s="18" t="str">
        <f t="shared" ca="1" si="21"/>
        <v/>
      </c>
      <c r="E56" s="18" t="str" cm="1">
        <f t="array" aca="1" ref="E56" ca="1">IF(D56="","",IF(D56&lt;&gt;D55,1,IF(E55=misLíneas-2,0,E55+1)))</f>
        <v/>
      </c>
      <c r="F56" s="18" t="str" cm="1">
        <f t="array" aca="1" ref="F56" ca="1">IF(OR(E56=0,E56=""),"",INDEX(misCriticidades,D56)&amp;"-"&amp;IFERROR(MATCH(E56,miOrdenTarjeta,0),0))</f>
        <v/>
      </c>
      <c r="G56" s="17" t="str">
        <f ca="1"/>
        <v/>
      </c>
      <c r="H56" s="18">
        <f t="shared" ca="1" si="11"/>
        <v>1</v>
      </c>
      <c r="I56" s="18" t="str">
        <f t="shared" ca="1" si="22"/>
        <v/>
      </c>
      <c r="J56" s="18" t="str" cm="1">
        <f t="array" aca="1" ref="J56" ca="1">IF(I56="","",IF(I56&lt;&gt;I55,1,IF(J55=misLíneas-2,0,J55+1)))</f>
        <v/>
      </c>
      <c r="K56" s="18" t="str" cm="1">
        <f t="array" aca="1" ref="K56" ca="1">IF(OR(J56=0,J56=""),"",INDEX(misCriticidades,I56)&amp;"-"&amp;IFERROR(MATCH(J56,miOrdenTarjeta,0),0))</f>
        <v/>
      </c>
      <c r="L56" s="17" t="str">
        <f ca="1"/>
        <v/>
      </c>
      <c r="M56" s="18">
        <f t="shared" ca="1" si="12"/>
        <v>1</v>
      </c>
      <c r="N56" s="18" t="str">
        <f t="shared" ca="1" si="23"/>
        <v/>
      </c>
      <c r="O56" s="18" t="str" cm="1">
        <f t="array" aca="1" ref="O56" ca="1">IF(N56="","",IF(N56&lt;&gt;N55,1,IF(O55=misLíneas-2,0,O55+1)))</f>
        <v/>
      </c>
      <c r="P56" s="18" t="str" cm="1">
        <f t="array" aca="1" ref="P56" ca="1">IF(OR(O56=0,O56=""),"",INDEX(misCriticidades,N56)&amp;"-"&amp;IFERROR(MATCH(O56,miOrdenTarjeta,0),0))</f>
        <v/>
      </c>
      <c r="Q56" s="17" t="str">
        <f ca="1"/>
        <v/>
      </c>
      <c r="R56" s="18">
        <f t="shared" ca="1" si="13"/>
        <v>6</v>
      </c>
      <c r="S56" s="18">
        <f t="shared" ca="1" si="24"/>
        <v>25</v>
      </c>
      <c r="T56" s="18" cm="1">
        <f t="array" aca="1" ref="T56" ca="1">IF(S56="","",IF(S56&lt;&gt;S55,1,IF(T55=misLíneas-2,0,T55+1)))</f>
        <v>0</v>
      </c>
      <c r="U56" s="18" t="str" cm="1">
        <f t="array" aca="1" ref="U56" ca="1">IF(OR(T56=0,T56=""),"",INDEX(misCriticidades,S56)&amp;"-"&amp;IFERROR(MATCH(T56,miOrdenTarjeta,0),0))</f>
        <v/>
      </c>
      <c r="V56" s="17" t="str">
        <f ca="1"/>
        <v/>
      </c>
      <c r="W56" s="18">
        <f t="shared" ca="1" si="14"/>
        <v>1</v>
      </c>
      <c r="X56" s="18" t="str">
        <f t="shared" ca="1" si="25"/>
        <v/>
      </c>
      <c r="Y56" s="18" t="str" cm="1">
        <f t="array" aca="1" ref="Y56" ca="1">IF(X56="","",IF(X56&lt;&gt;X55,1,IF(Y55=misLíneas-2,0,Y55+1)))</f>
        <v/>
      </c>
      <c r="Z56" s="18" t="str" cm="1">
        <f t="array" aca="1" ref="Z56" ca="1">IF(OR(Y56=0,Y56=""),"",INDEX(misCriticidades,X56)&amp;"-"&amp;IFERROR(MATCH(Y56,miOrdenTarjeta,0),0))</f>
        <v/>
      </c>
      <c r="AA56" s="17" t="str">
        <f ca="1"/>
        <v/>
      </c>
      <c r="AB56" s="18">
        <f t="shared" ca="1" si="15"/>
        <v>1</v>
      </c>
      <c r="AC56" s="18" t="str">
        <f t="shared" ca="1" si="5"/>
        <v/>
      </c>
      <c r="AD56" s="18" t="str" cm="1">
        <f t="array" aca="1" ref="AD56" ca="1">IF(AC56="","",IF(AC56&lt;&gt;AC55,1,IF(AD55=misLíneas-2,0,AD55+1)))</f>
        <v/>
      </c>
      <c r="AE56" s="18" t="str" cm="1">
        <f t="array" aca="1" ref="AE56" ca="1">IF(OR(AD56=0,AD56=""),"",INDEX(misCriticidades,AC56)&amp;"-"&amp;IFERROR(MATCH(AD56,miOrdenTarjeta,0),0))</f>
        <v/>
      </c>
      <c r="AF56" s="17" t="str">
        <f ca="1"/>
        <v/>
      </c>
      <c r="AG56" s="18">
        <f t="shared" ca="1" si="16"/>
        <v>1</v>
      </c>
      <c r="AH56" s="18" t="str">
        <f t="shared" ca="1" si="6"/>
        <v/>
      </c>
      <c r="AI56" s="18" t="str" cm="1">
        <f t="array" aca="1" ref="AI56" ca="1">IF(AH56="","",IF(AH56&lt;&gt;AH55,1,IF(AI55=misLíneas-2,0,AI55+1)))</f>
        <v/>
      </c>
      <c r="AJ56" s="18" t="str" cm="1">
        <f t="array" aca="1" ref="AJ56" ca="1">IF(OR(AI56=0,AI56=""),"",INDEX(misCriticidades,AH56)&amp;"-"&amp;IFERROR(MATCH(AI56,miOrdenTarjeta,0),0))</f>
        <v/>
      </c>
      <c r="AK56" s="17" t="str">
        <f ca="1"/>
        <v/>
      </c>
      <c r="AL56" s="18">
        <f t="shared" ca="1" si="17"/>
        <v>1</v>
      </c>
      <c r="AM56" s="18" t="str">
        <f t="shared" ca="1" si="7"/>
        <v/>
      </c>
      <c r="AN56" s="18" t="str" cm="1">
        <f t="array" aca="1" ref="AN56" ca="1">IF(AM56="","",IF(AM56&lt;&gt;AM55,1,IF(AN55=misLíneas-2,0,AN55+1)))</f>
        <v/>
      </c>
      <c r="AO56" s="18" t="str" cm="1">
        <f t="array" aca="1" ref="AO56" ca="1">IF(OR(AN56=0,AN56=""),"",INDEX(misCriticidades,AM56)&amp;"-"&amp;IFERROR(MATCH(AN56,miOrdenTarjeta,0),0))</f>
        <v/>
      </c>
      <c r="AP56" s="17" t="str">
        <f ca="1"/>
        <v/>
      </c>
      <c r="AQ56" s="18">
        <f t="shared" ca="1" si="18"/>
        <v>1</v>
      </c>
      <c r="AR56" s="18" t="str">
        <f t="shared" ca="1" si="8"/>
        <v/>
      </c>
      <c r="AS56" s="18" t="str" cm="1">
        <f t="array" aca="1" ref="AS56" ca="1">IF(AR56="","",IF(AR56&lt;&gt;AR55,1,IF(AS55=misLíneas-2,0,AS55+1)))</f>
        <v/>
      </c>
      <c r="AT56" s="18" t="str" cm="1">
        <f t="array" aca="1" ref="AT56" ca="1">IF(OR(AS56=0,AS56=""),"",INDEX(misCriticidades,AR56)&amp;"-"&amp;IFERROR(MATCH(AS56,miOrdenTarjeta,0),0))</f>
        <v/>
      </c>
      <c r="AU56" s="17" t="str">
        <f ca="1"/>
        <v/>
      </c>
      <c r="AV56" s="18">
        <f t="shared" ca="1" si="19"/>
        <v>1</v>
      </c>
      <c r="AW56" s="18" t="str">
        <f t="shared" ca="1" si="9"/>
        <v/>
      </c>
      <c r="AX56" s="18" t="str" cm="1">
        <f t="array" aca="1" ref="AX56" ca="1">IF(AW56="","",IF(AW56&lt;&gt;AW55,1,IF(AX55=misLíneas-2,0,AX55+1)))</f>
        <v/>
      </c>
      <c r="AY56" s="18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7" t="str">
        <f ca="1"/>
        <v/>
      </c>
      <c r="C57" s="18">
        <f t="shared" ca="1" si="20"/>
        <v>1</v>
      </c>
      <c r="D57" s="18" t="str">
        <f t="shared" ca="1" si="21"/>
        <v/>
      </c>
      <c r="E57" s="18" t="str" cm="1">
        <f t="array" aca="1" ref="E57" ca="1">IF(D57="","",IF(D57&lt;&gt;D56,1,IF(E56=misLíneas-2,0,E56+1)))</f>
        <v/>
      </c>
      <c r="F57" s="18" t="str" cm="1">
        <f t="array" aca="1" ref="F57" ca="1">IF(OR(E57=0,E57=""),"",INDEX(misCriticidades,D57)&amp;"-"&amp;IFERROR(MATCH(E57,miOrdenTarjeta,0),0))</f>
        <v/>
      </c>
      <c r="G57" s="17" t="str">
        <f ca="1"/>
        <v/>
      </c>
      <c r="H57" s="18">
        <f t="shared" ca="1" si="11"/>
        <v>1</v>
      </c>
      <c r="I57" s="18" t="str">
        <f t="shared" ca="1" si="22"/>
        <v/>
      </c>
      <c r="J57" s="18" t="str" cm="1">
        <f t="array" aca="1" ref="J57" ca="1">IF(I57="","",IF(I57&lt;&gt;I56,1,IF(J56=misLíneas-2,0,J56+1)))</f>
        <v/>
      </c>
      <c r="K57" s="18" t="str" cm="1">
        <f t="array" aca="1" ref="K57" ca="1">IF(OR(J57=0,J57=""),"",INDEX(misCriticidades,I57)&amp;"-"&amp;IFERROR(MATCH(J57,miOrdenTarjeta,0),0))</f>
        <v/>
      </c>
      <c r="L57" s="17" t="str">
        <f ca="1"/>
        <v/>
      </c>
      <c r="M57" s="18">
        <f t="shared" ca="1" si="12"/>
        <v>1</v>
      </c>
      <c r="N57" s="18" t="str">
        <f t="shared" ca="1" si="23"/>
        <v/>
      </c>
      <c r="O57" s="18" t="str" cm="1">
        <f t="array" aca="1" ref="O57" ca="1">IF(N57="","",IF(N57&lt;&gt;N56,1,IF(O56=misLíneas-2,0,O56+1)))</f>
        <v/>
      </c>
      <c r="P57" s="18" t="str" cm="1">
        <f t="array" aca="1" ref="P57" ca="1">IF(OR(O57=0,O57=""),"",INDEX(misCriticidades,N57)&amp;"-"&amp;IFERROR(MATCH(O57,miOrdenTarjeta,0),0))</f>
        <v/>
      </c>
      <c r="Q57" s="17" t="str">
        <f ca="1"/>
        <v/>
      </c>
      <c r="R57" s="18">
        <f t="shared" ca="1" si="13"/>
        <v>7</v>
      </c>
      <c r="S57" s="18">
        <f t="shared" ca="1" si="24"/>
        <v>24</v>
      </c>
      <c r="T57" s="18" cm="1">
        <f t="array" aca="1" ref="T57" ca="1">IF(S57="","",IF(S57&lt;&gt;S56,1,IF(T56=misLíneas-2,0,T56+1)))</f>
        <v>1</v>
      </c>
      <c r="U57" s="18" t="str" cm="1">
        <f t="array" aca="1" ref="U57" ca="1">IF(OR(T57=0,T57=""),"",INDEX(misCriticidades,S57)&amp;"-"&amp;IFERROR(MATCH(T57,miOrdenTarjeta,0),0))</f>
        <v>1-1</v>
      </c>
      <c r="V57" s="17" t="str">
        <f ca="1"/>
        <v/>
      </c>
      <c r="W57" s="18">
        <f t="shared" ca="1" si="14"/>
        <v>1</v>
      </c>
      <c r="X57" s="18" t="str">
        <f t="shared" ca="1" si="25"/>
        <v/>
      </c>
      <c r="Y57" s="18" t="str" cm="1">
        <f t="array" aca="1" ref="Y57" ca="1">IF(X57="","",IF(X57&lt;&gt;X56,1,IF(Y56=misLíneas-2,0,Y56+1)))</f>
        <v/>
      </c>
      <c r="Z57" s="18" t="str" cm="1">
        <f t="array" aca="1" ref="Z57" ca="1">IF(OR(Y57=0,Y57=""),"",INDEX(misCriticidades,X57)&amp;"-"&amp;IFERROR(MATCH(Y57,miOrdenTarjeta,0),0))</f>
        <v/>
      </c>
      <c r="AA57" s="17" t="str">
        <f ca="1"/>
        <v/>
      </c>
      <c r="AB57" s="18">
        <f t="shared" ca="1" si="15"/>
        <v>1</v>
      </c>
      <c r="AC57" s="18" t="str">
        <f t="shared" ca="1" si="5"/>
        <v/>
      </c>
      <c r="AD57" s="18" t="str" cm="1">
        <f t="array" aca="1" ref="AD57" ca="1">IF(AC57="","",IF(AC57&lt;&gt;AC56,1,IF(AD56=misLíneas-2,0,AD56+1)))</f>
        <v/>
      </c>
      <c r="AE57" s="18" t="str" cm="1">
        <f t="array" aca="1" ref="AE57" ca="1">IF(OR(AD57=0,AD57=""),"",INDEX(misCriticidades,AC57)&amp;"-"&amp;IFERROR(MATCH(AD57,miOrdenTarjeta,0),0))</f>
        <v/>
      </c>
      <c r="AF57" s="17" t="str">
        <f ca="1"/>
        <v/>
      </c>
      <c r="AG57" s="18">
        <f t="shared" ca="1" si="16"/>
        <v>1</v>
      </c>
      <c r="AH57" s="18" t="str">
        <f t="shared" ca="1" si="6"/>
        <v/>
      </c>
      <c r="AI57" s="18" t="str" cm="1">
        <f t="array" aca="1" ref="AI57" ca="1">IF(AH57="","",IF(AH57&lt;&gt;AH56,1,IF(AI56=misLíneas-2,0,AI56+1)))</f>
        <v/>
      </c>
      <c r="AJ57" s="18" t="str" cm="1">
        <f t="array" aca="1" ref="AJ57" ca="1">IF(OR(AI57=0,AI57=""),"",INDEX(misCriticidades,AH57)&amp;"-"&amp;IFERROR(MATCH(AI57,miOrdenTarjeta,0),0))</f>
        <v/>
      </c>
      <c r="AK57" s="17" t="str">
        <f ca="1"/>
        <v/>
      </c>
      <c r="AL57" s="18">
        <f t="shared" ca="1" si="17"/>
        <v>1</v>
      </c>
      <c r="AM57" s="18" t="str">
        <f t="shared" ca="1" si="7"/>
        <v/>
      </c>
      <c r="AN57" s="18" t="str" cm="1">
        <f t="array" aca="1" ref="AN57" ca="1">IF(AM57="","",IF(AM57&lt;&gt;AM56,1,IF(AN56=misLíneas-2,0,AN56+1)))</f>
        <v/>
      </c>
      <c r="AO57" s="18" t="str" cm="1">
        <f t="array" aca="1" ref="AO57" ca="1">IF(OR(AN57=0,AN57=""),"",INDEX(misCriticidades,AM57)&amp;"-"&amp;IFERROR(MATCH(AN57,miOrdenTarjeta,0),0))</f>
        <v/>
      </c>
      <c r="AP57" s="17" t="str">
        <f ca="1"/>
        <v/>
      </c>
      <c r="AQ57" s="18">
        <f t="shared" ca="1" si="18"/>
        <v>1</v>
      </c>
      <c r="AR57" s="18" t="str">
        <f t="shared" ca="1" si="8"/>
        <v/>
      </c>
      <c r="AS57" s="18" t="str" cm="1">
        <f t="array" aca="1" ref="AS57" ca="1">IF(AR57="","",IF(AR57&lt;&gt;AR56,1,IF(AS56=misLíneas-2,0,AS56+1)))</f>
        <v/>
      </c>
      <c r="AT57" s="18" t="str" cm="1">
        <f t="array" aca="1" ref="AT57" ca="1">IF(OR(AS57=0,AS57=""),"",INDEX(misCriticidades,AR57)&amp;"-"&amp;IFERROR(MATCH(AS57,miOrdenTarjeta,0),0))</f>
        <v/>
      </c>
      <c r="AU57" s="17" t="str">
        <f ca="1"/>
        <v/>
      </c>
      <c r="AV57" s="18">
        <f t="shared" ca="1" si="19"/>
        <v>1</v>
      </c>
      <c r="AW57" s="18" t="str">
        <f t="shared" ca="1" si="9"/>
        <v/>
      </c>
      <c r="AX57" s="18" t="str" cm="1">
        <f t="array" aca="1" ref="AX57" ca="1">IF(AW57="","",IF(AW57&lt;&gt;AW56,1,IF(AX56=misLíneas-2,0,AX56+1)))</f>
        <v/>
      </c>
      <c r="AY57" s="18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7" t="str">
        <f ca="1"/>
        <v/>
      </c>
      <c r="C58" s="18">
        <f t="shared" ca="1" si="20"/>
        <v>1</v>
      </c>
      <c r="D58" s="18" t="str">
        <f t="shared" ca="1" si="21"/>
        <v/>
      </c>
      <c r="E58" s="18" t="str" cm="1">
        <f t="array" aca="1" ref="E58" ca="1">IF(D58="","",IF(D58&lt;&gt;D57,1,IF(E57=misLíneas-2,0,E57+1)))</f>
        <v/>
      </c>
      <c r="F58" s="18" t="str" cm="1">
        <f t="array" aca="1" ref="F58" ca="1">IF(OR(E58=0,E58=""),"",INDEX(misCriticidades,D58)&amp;"-"&amp;IFERROR(MATCH(E58,miOrdenTarjeta,0),0))</f>
        <v/>
      </c>
      <c r="G58" s="17" t="str">
        <f ca="1"/>
        <v/>
      </c>
      <c r="H58" s="18">
        <f t="shared" ca="1" si="11"/>
        <v>1</v>
      </c>
      <c r="I58" s="18" t="str">
        <f t="shared" ca="1" si="22"/>
        <v/>
      </c>
      <c r="J58" s="18" t="str" cm="1">
        <f t="array" aca="1" ref="J58" ca="1">IF(I58="","",IF(I58&lt;&gt;I57,1,IF(J57=misLíneas-2,0,J57+1)))</f>
        <v/>
      </c>
      <c r="K58" s="18" t="str" cm="1">
        <f t="array" aca="1" ref="K58" ca="1">IF(OR(J58=0,J58=""),"",INDEX(misCriticidades,I58)&amp;"-"&amp;IFERROR(MATCH(J58,miOrdenTarjeta,0),0))</f>
        <v/>
      </c>
      <c r="L58" s="17" t="str">
        <f ca="1"/>
        <v/>
      </c>
      <c r="M58" s="18">
        <f t="shared" ca="1" si="12"/>
        <v>1</v>
      </c>
      <c r="N58" s="18" t="str">
        <f t="shared" ca="1" si="23"/>
        <v/>
      </c>
      <c r="O58" s="18" t="str" cm="1">
        <f t="array" aca="1" ref="O58" ca="1">IF(N58="","",IF(N58&lt;&gt;N57,1,IF(O57=misLíneas-2,0,O57+1)))</f>
        <v/>
      </c>
      <c r="P58" s="18" t="str" cm="1">
        <f t="array" aca="1" ref="P58" ca="1">IF(OR(O58=0,O58=""),"",INDEX(misCriticidades,N58)&amp;"-"&amp;IFERROR(MATCH(O58,miOrdenTarjeta,0),0))</f>
        <v/>
      </c>
      <c r="Q58" s="17" t="str">
        <f ca="1"/>
        <v/>
      </c>
      <c r="R58" s="18">
        <f t="shared" ca="1" si="13"/>
        <v>7</v>
      </c>
      <c r="S58" s="18">
        <f t="shared" ca="1" si="24"/>
        <v>24</v>
      </c>
      <c r="T58" s="18" cm="1">
        <f t="array" aca="1" ref="T58" ca="1">IF(S58="","",IF(S58&lt;&gt;S57,1,IF(T57=misLíneas-2,0,T57+1)))</f>
        <v>2</v>
      </c>
      <c r="U58" s="18" t="str" cm="1">
        <f t="array" aca="1" ref="U58" ca="1">IF(OR(T58=0,T58=""),"",INDEX(misCriticidades,S58)&amp;"-"&amp;IFERROR(MATCH(T58,miOrdenTarjeta,0),0))</f>
        <v>1-2</v>
      </c>
      <c r="V58" s="17" t="str">
        <f ca="1"/>
        <v/>
      </c>
      <c r="W58" s="18">
        <f t="shared" ca="1" si="14"/>
        <v>1</v>
      </c>
      <c r="X58" s="18" t="str">
        <f t="shared" ca="1" si="25"/>
        <v/>
      </c>
      <c r="Y58" s="18" t="str" cm="1">
        <f t="array" aca="1" ref="Y58" ca="1">IF(X58="","",IF(X58&lt;&gt;X57,1,IF(Y57=misLíneas-2,0,Y57+1)))</f>
        <v/>
      </c>
      <c r="Z58" s="18" t="str" cm="1">
        <f t="array" aca="1" ref="Z58" ca="1">IF(OR(Y58=0,Y58=""),"",INDEX(misCriticidades,X58)&amp;"-"&amp;IFERROR(MATCH(Y58,miOrdenTarjeta,0),0))</f>
        <v/>
      </c>
      <c r="AA58" s="17" t="str">
        <f ca="1"/>
        <v/>
      </c>
      <c r="AB58" s="18">
        <f t="shared" ca="1" si="15"/>
        <v>1</v>
      </c>
      <c r="AC58" s="18" t="str">
        <f t="shared" ca="1" si="5"/>
        <v/>
      </c>
      <c r="AD58" s="18" t="str" cm="1">
        <f t="array" aca="1" ref="AD58" ca="1">IF(AC58="","",IF(AC58&lt;&gt;AC57,1,IF(AD57=misLíneas-2,0,AD57+1)))</f>
        <v/>
      </c>
      <c r="AE58" s="18" t="str" cm="1">
        <f t="array" aca="1" ref="AE58" ca="1">IF(OR(AD58=0,AD58=""),"",INDEX(misCriticidades,AC58)&amp;"-"&amp;IFERROR(MATCH(AD58,miOrdenTarjeta,0),0))</f>
        <v/>
      </c>
      <c r="AF58" s="17" t="str">
        <f ca="1"/>
        <v/>
      </c>
      <c r="AG58" s="18">
        <f t="shared" ca="1" si="16"/>
        <v>1</v>
      </c>
      <c r="AH58" s="18" t="str">
        <f t="shared" ca="1" si="6"/>
        <v/>
      </c>
      <c r="AI58" s="18" t="str" cm="1">
        <f t="array" aca="1" ref="AI58" ca="1">IF(AH58="","",IF(AH58&lt;&gt;AH57,1,IF(AI57=misLíneas-2,0,AI57+1)))</f>
        <v/>
      </c>
      <c r="AJ58" s="18" t="str" cm="1">
        <f t="array" aca="1" ref="AJ58" ca="1">IF(OR(AI58=0,AI58=""),"",INDEX(misCriticidades,AH58)&amp;"-"&amp;IFERROR(MATCH(AI58,miOrdenTarjeta,0),0))</f>
        <v/>
      </c>
      <c r="AK58" s="17" t="str">
        <f ca="1"/>
        <v/>
      </c>
      <c r="AL58" s="18">
        <f t="shared" ca="1" si="17"/>
        <v>1</v>
      </c>
      <c r="AM58" s="18" t="str">
        <f t="shared" ca="1" si="7"/>
        <v/>
      </c>
      <c r="AN58" s="18" t="str" cm="1">
        <f t="array" aca="1" ref="AN58" ca="1">IF(AM58="","",IF(AM58&lt;&gt;AM57,1,IF(AN57=misLíneas-2,0,AN57+1)))</f>
        <v/>
      </c>
      <c r="AO58" s="18" t="str" cm="1">
        <f t="array" aca="1" ref="AO58" ca="1">IF(OR(AN58=0,AN58=""),"",INDEX(misCriticidades,AM58)&amp;"-"&amp;IFERROR(MATCH(AN58,miOrdenTarjeta,0),0))</f>
        <v/>
      </c>
      <c r="AP58" s="17" t="str">
        <f ca="1"/>
        <v/>
      </c>
      <c r="AQ58" s="18">
        <f t="shared" ca="1" si="18"/>
        <v>1</v>
      </c>
      <c r="AR58" s="18" t="str">
        <f t="shared" ca="1" si="8"/>
        <v/>
      </c>
      <c r="AS58" s="18" t="str" cm="1">
        <f t="array" aca="1" ref="AS58" ca="1">IF(AR58="","",IF(AR58&lt;&gt;AR57,1,IF(AS57=misLíneas-2,0,AS57+1)))</f>
        <v/>
      </c>
      <c r="AT58" s="18" t="str" cm="1">
        <f t="array" aca="1" ref="AT58" ca="1">IF(OR(AS58=0,AS58=""),"",INDEX(misCriticidades,AR58)&amp;"-"&amp;IFERROR(MATCH(AS58,miOrdenTarjeta,0),0))</f>
        <v/>
      </c>
      <c r="AU58" s="17" t="str">
        <f ca="1"/>
        <v/>
      </c>
      <c r="AV58" s="18">
        <f t="shared" ca="1" si="19"/>
        <v>1</v>
      </c>
      <c r="AW58" s="18" t="str">
        <f t="shared" ca="1" si="9"/>
        <v/>
      </c>
      <c r="AX58" s="18" t="str" cm="1">
        <f t="array" aca="1" ref="AX58" ca="1">IF(AW58="","",IF(AW58&lt;&gt;AW57,1,IF(AX57=misLíneas-2,0,AX57+1)))</f>
        <v/>
      </c>
      <c r="AY58" s="18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7" t="str">
        <f ca="1"/>
        <v/>
      </c>
      <c r="C59" s="18">
        <f t="shared" ca="1" si="20"/>
        <v>1</v>
      </c>
      <c r="D59" s="18" t="str">
        <f t="shared" ca="1" si="21"/>
        <v/>
      </c>
      <c r="E59" s="18" t="str" cm="1">
        <f t="array" aca="1" ref="E59" ca="1">IF(D59="","",IF(D59&lt;&gt;D58,1,IF(E58=misLíneas-2,0,E58+1)))</f>
        <v/>
      </c>
      <c r="F59" s="18" t="str" cm="1">
        <f t="array" aca="1" ref="F59" ca="1">IF(OR(E59=0,E59=""),"",INDEX(misCriticidades,D59)&amp;"-"&amp;IFERROR(MATCH(E59,miOrdenTarjeta,0),0))</f>
        <v/>
      </c>
      <c r="G59" s="17" t="str">
        <f ca="1"/>
        <v/>
      </c>
      <c r="H59" s="18">
        <f t="shared" ca="1" si="11"/>
        <v>1</v>
      </c>
      <c r="I59" s="18" t="str">
        <f t="shared" ca="1" si="22"/>
        <v/>
      </c>
      <c r="J59" s="18" t="str" cm="1">
        <f t="array" aca="1" ref="J59" ca="1">IF(I59="","",IF(I59&lt;&gt;I58,1,IF(J58=misLíneas-2,0,J58+1)))</f>
        <v/>
      </c>
      <c r="K59" s="18" t="str" cm="1">
        <f t="array" aca="1" ref="K59" ca="1">IF(OR(J59=0,J59=""),"",INDEX(misCriticidades,I59)&amp;"-"&amp;IFERROR(MATCH(J59,miOrdenTarjeta,0),0))</f>
        <v/>
      </c>
      <c r="L59" s="17" t="str">
        <f ca="1"/>
        <v/>
      </c>
      <c r="M59" s="18">
        <f t="shared" ca="1" si="12"/>
        <v>1</v>
      </c>
      <c r="N59" s="18" t="str">
        <f t="shared" ca="1" si="23"/>
        <v/>
      </c>
      <c r="O59" s="18" t="str" cm="1">
        <f t="array" aca="1" ref="O59" ca="1">IF(N59="","",IF(N59&lt;&gt;N58,1,IF(O58=misLíneas-2,0,O58+1)))</f>
        <v/>
      </c>
      <c r="P59" s="18" t="str" cm="1">
        <f t="array" aca="1" ref="P59" ca="1">IF(OR(O59=0,O59=""),"",INDEX(misCriticidades,N59)&amp;"-"&amp;IFERROR(MATCH(O59,miOrdenTarjeta,0),0))</f>
        <v/>
      </c>
      <c r="Q59" s="17" t="str">
        <f ca="1"/>
        <v/>
      </c>
      <c r="R59" s="18">
        <f t="shared" ca="1" si="13"/>
        <v>7</v>
      </c>
      <c r="S59" s="18">
        <f t="shared" ca="1" si="24"/>
        <v>24</v>
      </c>
      <c r="T59" s="18" cm="1">
        <f t="array" aca="1" ref="T59" ca="1">IF(S59="","",IF(S59&lt;&gt;S58,1,IF(T58=misLíneas-2,0,T58+1)))</f>
        <v>3</v>
      </c>
      <c r="U59" s="18" t="str" cm="1">
        <f t="array" aca="1" ref="U59" ca="1">IF(OR(T59=0,T59=""),"",INDEX(misCriticidades,S59)&amp;"-"&amp;IFERROR(MATCH(T59,miOrdenTarjeta,0),0))</f>
        <v>1-3</v>
      </c>
      <c r="V59" s="17" t="str">
        <f ca="1"/>
        <v/>
      </c>
      <c r="W59" s="18">
        <f t="shared" ca="1" si="14"/>
        <v>1</v>
      </c>
      <c r="X59" s="18" t="str">
        <f t="shared" ca="1" si="25"/>
        <v/>
      </c>
      <c r="Y59" s="18" t="str" cm="1">
        <f t="array" aca="1" ref="Y59" ca="1">IF(X59="","",IF(X59&lt;&gt;X58,1,IF(Y58=misLíneas-2,0,Y58+1)))</f>
        <v/>
      </c>
      <c r="Z59" s="18" t="str" cm="1">
        <f t="array" aca="1" ref="Z59" ca="1">IF(OR(Y59=0,Y59=""),"",INDEX(misCriticidades,X59)&amp;"-"&amp;IFERROR(MATCH(Y59,miOrdenTarjeta,0),0))</f>
        <v/>
      </c>
      <c r="AA59" s="17" t="str">
        <f ca="1"/>
        <v/>
      </c>
      <c r="AB59" s="18">
        <f t="shared" ca="1" si="15"/>
        <v>1</v>
      </c>
      <c r="AC59" s="18" t="str">
        <f t="shared" ca="1" si="5"/>
        <v/>
      </c>
      <c r="AD59" s="18" t="str" cm="1">
        <f t="array" aca="1" ref="AD59" ca="1">IF(AC59="","",IF(AC59&lt;&gt;AC58,1,IF(AD58=misLíneas-2,0,AD58+1)))</f>
        <v/>
      </c>
      <c r="AE59" s="18" t="str" cm="1">
        <f t="array" aca="1" ref="AE59" ca="1">IF(OR(AD59=0,AD59=""),"",INDEX(misCriticidades,AC59)&amp;"-"&amp;IFERROR(MATCH(AD59,miOrdenTarjeta,0),0))</f>
        <v/>
      </c>
      <c r="AF59" s="17" t="str">
        <f ca="1"/>
        <v/>
      </c>
      <c r="AG59" s="18">
        <f t="shared" ca="1" si="16"/>
        <v>1</v>
      </c>
      <c r="AH59" s="18" t="str">
        <f t="shared" ca="1" si="6"/>
        <v/>
      </c>
      <c r="AI59" s="18" t="str" cm="1">
        <f t="array" aca="1" ref="AI59" ca="1">IF(AH59="","",IF(AH59&lt;&gt;AH58,1,IF(AI58=misLíneas-2,0,AI58+1)))</f>
        <v/>
      </c>
      <c r="AJ59" s="18" t="str" cm="1">
        <f t="array" aca="1" ref="AJ59" ca="1">IF(OR(AI59=0,AI59=""),"",INDEX(misCriticidades,AH59)&amp;"-"&amp;IFERROR(MATCH(AI59,miOrdenTarjeta,0),0))</f>
        <v/>
      </c>
      <c r="AK59" s="17" t="str">
        <f ca="1"/>
        <v/>
      </c>
      <c r="AL59" s="18">
        <f t="shared" ca="1" si="17"/>
        <v>1</v>
      </c>
      <c r="AM59" s="18" t="str">
        <f t="shared" ca="1" si="7"/>
        <v/>
      </c>
      <c r="AN59" s="18" t="str" cm="1">
        <f t="array" aca="1" ref="AN59" ca="1">IF(AM59="","",IF(AM59&lt;&gt;AM58,1,IF(AN58=misLíneas-2,0,AN58+1)))</f>
        <v/>
      </c>
      <c r="AO59" s="18" t="str" cm="1">
        <f t="array" aca="1" ref="AO59" ca="1">IF(OR(AN59=0,AN59=""),"",INDEX(misCriticidades,AM59)&amp;"-"&amp;IFERROR(MATCH(AN59,miOrdenTarjeta,0),0))</f>
        <v/>
      </c>
      <c r="AP59" s="17" t="str">
        <f ca="1"/>
        <v/>
      </c>
      <c r="AQ59" s="18">
        <f t="shared" ca="1" si="18"/>
        <v>1</v>
      </c>
      <c r="AR59" s="18" t="str">
        <f t="shared" ca="1" si="8"/>
        <v/>
      </c>
      <c r="AS59" s="18" t="str" cm="1">
        <f t="array" aca="1" ref="AS59" ca="1">IF(AR59="","",IF(AR59&lt;&gt;AR58,1,IF(AS58=misLíneas-2,0,AS58+1)))</f>
        <v/>
      </c>
      <c r="AT59" s="18" t="str" cm="1">
        <f t="array" aca="1" ref="AT59" ca="1">IF(OR(AS59=0,AS59=""),"",INDEX(misCriticidades,AR59)&amp;"-"&amp;IFERROR(MATCH(AS59,miOrdenTarjeta,0),0))</f>
        <v/>
      </c>
      <c r="AU59" s="17" t="str">
        <f ca="1"/>
        <v/>
      </c>
      <c r="AV59" s="18">
        <f t="shared" ca="1" si="19"/>
        <v>1</v>
      </c>
      <c r="AW59" s="18" t="str">
        <f t="shared" ca="1" si="9"/>
        <v/>
      </c>
      <c r="AX59" s="18" t="str" cm="1">
        <f t="array" aca="1" ref="AX59" ca="1">IF(AW59="","",IF(AW59&lt;&gt;AW58,1,IF(AX58=misLíneas-2,0,AX58+1)))</f>
        <v/>
      </c>
      <c r="AY59" s="18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7" t="str">
        <f ca="1"/>
        <v/>
      </c>
      <c r="C60" s="18">
        <f t="shared" ca="1" si="20"/>
        <v>1</v>
      </c>
      <c r="D60" s="18" t="str">
        <f t="shared" ca="1" si="21"/>
        <v/>
      </c>
      <c r="E60" s="18" t="str" cm="1">
        <f t="array" aca="1" ref="E60" ca="1">IF(D60="","",IF(D60&lt;&gt;D59,1,IF(E59=misLíneas-2,0,E59+1)))</f>
        <v/>
      </c>
      <c r="F60" s="18" t="str" cm="1">
        <f t="array" aca="1" ref="F60" ca="1">IF(OR(E60=0,E60=""),"",INDEX(misCriticidades,D60)&amp;"-"&amp;IFERROR(MATCH(E60,miOrdenTarjeta,0),0))</f>
        <v/>
      </c>
      <c r="G60" s="17" t="str">
        <f ca="1"/>
        <v/>
      </c>
      <c r="H60" s="18">
        <f t="shared" ca="1" si="11"/>
        <v>1</v>
      </c>
      <c r="I60" s="18" t="str">
        <f t="shared" ca="1" si="22"/>
        <v/>
      </c>
      <c r="J60" s="18" t="str" cm="1">
        <f t="array" aca="1" ref="J60" ca="1">IF(I60="","",IF(I60&lt;&gt;I59,1,IF(J59=misLíneas-2,0,J59+1)))</f>
        <v/>
      </c>
      <c r="K60" s="18" t="str" cm="1">
        <f t="array" aca="1" ref="K60" ca="1">IF(OR(J60=0,J60=""),"",INDEX(misCriticidades,I60)&amp;"-"&amp;IFERROR(MATCH(J60,miOrdenTarjeta,0),0))</f>
        <v/>
      </c>
      <c r="L60" s="17" t="str">
        <f ca="1"/>
        <v/>
      </c>
      <c r="M60" s="18">
        <f t="shared" ca="1" si="12"/>
        <v>1</v>
      </c>
      <c r="N60" s="18" t="str">
        <f t="shared" ca="1" si="23"/>
        <v/>
      </c>
      <c r="O60" s="18" t="str" cm="1">
        <f t="array" aca="1" ref="O60" ca="1">IF(N60="","",IF(N60&lt;&gt;N59,1,IF(O59=misLíneas-2,0,O59+1)))</f>
        <v/>
      </c>
      <c r="P60" s="18" t="str" cm="1">
        <f t="array" aca="1" ref="P60" ca="1">IF(OR(O60=0,O60=""),"",INDEX(misCriticidades,N60)&amp;"-"&amp;IFERROR(MATCH(O60,miOrdenTarjeta,0),0))</f>
        <v/>
      </c>
      <c r="Q60" s="17" t="str">
        <f ca="1"/>
        <v/>
      </c>
      <c r="R60" s="18">
        <f t="shared" ca="1" si="13"/>
        <v>7</v>
      </c>
      <c r="S60" s="18">
        <f t="shared" ca="1" si="24"/>
        <v>24</v>
      </c>
      <c r="T60" s="18" cm="1">
        <f t="array" aca="1" ref="T60" ca="1">IF(S60="","",IF(S60&lt;&gt;S59,1,IF(T59=misLíneas-2,0,T59+1)))</f>
        <v>4</v>
      </c>
      <c r="U60" s="18" t="str" cm="1">
        <f t="array" aca="1" ref="U60" ca="1">IF(OR(T60=0,T60=""),"",INDEX(misCriticidades,S60)&amp;"-"&amp;IFERROR(MATCH(T60,miOrdenTarjeta,0),0))</f>
        <v>1-4</v>
      </c>
      <c r="V60" s="17" t="str">
        <f ca="1"/>
        <v/>
      </c>
      <c r="W60" s="18">
        <f t="shared" ca="1" si="14"/>
        <v>1</v>
      </c>
      <c r="X60" s="18" t="str">
        <f t="shared" ca="1" si="25"/>
        <v/>
      </c>
      <c r="Y60" s="18" t="str" cm="1">
        <f t="array" aca="1" ref="Y60" ca="1">IF(X60="","",IF(X60&lt;&gt;X59,1,IF(Y59=misLíneas-2,0,Y59+1)))</f>
        <v/>
      </c>
      <c r="Z60" s="18" t="str" cm="1">
        <f t="array" aca="1" ref="Z60" ca="1">IF(OR(Y60=0,Y60=""),"",INDEX(misCriticidades,X60)&amp;"-"&amp;IFERROR(MATCH(Y60,miOrdenTarjeta,0),0))</f>
        <v/>
      </c>
      <c r="AA60" s="17" t="str">
        <f ca="1"/>
        <v/>
      </c>
      <c r="AB60" s="18">
        <f t="shared" ca="1" si="15"/>
        <v>1</v>
      </c>
      <c r="AC60" s="18" t="str">
        <f t="shared" ca="1" si="5"/>
        <v/>
      </c>
      <c r="AD60" s="18" t="str" cm="1">
        <f t="array" aca="1" ref="AD60" ca="1">IF(AC60="","",IF(AC60&lt;&gt;AC59,1,IF(AD59=misLíneas-2,0,AD59+1)))</f>
        <v/>
      </c>
      <c r="AE60" s="18" t="str" cm="1">
        <f t="array" aca="1" ref="AE60" ca="1">IF(OR(AD60=0,AD60=""),"",INDEX(misCriticidades,AC60)&amp;"-"&amp;IFERROR(MATCH(AD60,miOrdenTarjeta,0),0))</f>
        <v/>
      </c>
      <c r="AF60" s="17" t="str">
        <f ca="1"/>
        <v/>
      </c>
      <c r="AG60" s="18">
        <f t="shared" ca="1" si="16"/>
        <v>1</v>
      </c>
      <c r="AH60" s="18" t="str">
        <f t="shared" ca="1" si="6"/>
        <v/>
      </c>
      <c r="AI60" s="18" t="str" cm="1">
        <f t="array" aca="1" ref="AI60" ca="1">IF(AH60="","",IF(AH60&lt;&gt;AH59,1,IF(AI59=misLíneas-2,0,AI59+1)))</f>
        <v/>
      </c>
      <c r="AJ60" s="18" t="str" cm="1">
        <f t="array" aca="1" ref="AJ60" ca="1">IF(OR(AI60=0,AI60=""),"",INDEX(misCriticidades,AH60)&amp;"-"&amp;IFERROR(MATCH(AI60,miOrdenTarjeta,0),0))</f>
        <v/>
      </c>
      <c r="AK60" s="17" t="str">
        <f ca="1"/>
        <v/>
      </c>
      <c r="AL60" s="18">
        <f t="shared" ca="1" si="17"/>
        <v>1</v>
      </c>
      <c r="AM60" s="18" t="str">
        <f t="shared" ca="1" si="7"/>
        <v/>
      </c>
      <c r="AN60" s="18" t="str" cm="1">
        <f t="array" aca="1" ref="AN60" ca="1">IF(AM60="","",IF(AM60&lt;&gt;AM59,1,IF(AN59=misLíneas-2,0,AN59+1)))</f>
        <v/>
      </c>
      <c r="AO60" s="18" t="str" cm="1">
        <f t="array" aca="1" ref="AO60" ca="1">IF(OR(AN60=0,AN60=""),"",INDEX(misCriticidades,AM60)&amp;"-"&amp;IFERROR(MATCH(AN60,miOrdenTarjeta,0),0))</f>
        <v/>
      </c>
      <c r="AP60" s="17" t="str">
        <f ca="1"/>
        <v/>
      </c>
      <c r="AQ60" s="18">
        <f t="shared" ca="1" si="18"/>
        <v>1</v>
      </c>
      <c r="AR60" s="18" t="str">
        <f t="shared" ca="1" si="8"/>
        <v/>
      </c>
      <c r="AS60" s="18" t="str" cm="1">
        <f t="array" aca="1" ref="AS60" ca="1">IF(AR60="","",IF(AR60&lt;&gt;AR59,1,IF(AS59=misLíneas-2,0,AS59+1)))</f>
        <v/>
      </c>
      <c r="AT60" s="18" t="str" cm="1">
        <f t="array" aca="1" ref="AT60" ca="1">IF(OR(AS60=0,AS60=""),"",INDEX(misCriticidades,AR60)&amp;"-"&amp;IFERROR(MATCH(AS60,miOrdenTarjeta,0),0))</f>
        <v/>
      </c>
      <c r="AU60" s="17" t="str">
        <f ca="1"/>
        <v/>
      </c>
      <c r="AV60" s="18">
        <f t="shared" ca="1" si="19"/>
        <v>1</v>
      </c>
      <c r="AW60" s="18" t="str">
        <f t="shared" ca="1" si="9"/>
        <v/>
      </c>
      <c r="AX60" s="18" t="str" cm="1">
        <f t="array" aca="1" ref="AX60" ca="1">IF(AW60="","",IF(AW60&lt;&gt;AW59,1,IF(AX59=misLíneas-2,0,AX59+1)))</f>
        <v/>
      </c>
      <c r="AY60" s="18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7" t="str">
        <f ca="1"/>
        <v/>
      </c>
      <c r="C61" s="18">
        <f t="shared" ca="1" si="20"/>
        <v>1</v>
      </c>
      <c r="D61" s="18" t="str">
        <f t="shared" ca="1" si="21"/>
        <v/>
      </c>
      <c r="E61" s="18" t="str" cm="1">
        <f t="array" aca="1" ref="E61" ca="1">IF(D61="","",IF(D61&lt;&gt;D60,1,IF(E60=misLíneas-2,0,E60+1)))</f>
        <v/>
      </c>
      <c r="F61" s="18" t="str" cm="1">
        <f t="array" aca="1" ref="F61" ca="1">IF(OR(E61=0,E61=""),"",INDEX(misCriticidades,D61)&amp;"-"&amp;IFERROR(MATCH(E61,miOrdenTarjeta,0),0))</f>
        <v/>
      </c>
      <c r="G61" s="17" t="str">
        <f ca="1"/>
        <v/>
      </c>
      <c r="H61" s="18">
        <f t="shared" ca="1" si="11"/>
        <v>1</v>
      </c>
      <c r="I61" s="18" t="str">
        <f t="shared" ca="1" si="22"/>
        <v/>
      </c>
      <c r="J61" s="18" t="str" cm="1">
        <f t="array" aca="1" ref="J61" ca="1">IF(I61="","",IF(I61&lt;&gt;I60,1,IF(J60=misLíneas-2,0,J60+1)))</f>
        <v/>
      </c>
      <c r="K61" s="18" t="str" cm="1">
        <f t="array" aca="1" ref="K61" ca="1">IF(OR(J61=0,J61=""),"",INDEX(misCriticidades,I61)&amp;"-"&amp;IFERROR(MATCH(J61,miOrdenTarjeta,0),0))</f>
        <v/>
      </c>
      <c r="L61" s="17" t="str">
        <f ca="1"/>
        <v/>
      </c>
      <c r="M61" s="18">
        <f t="shared" ca="1" si="12"/>
        <v>1</v>
      </c>
      <c r="N61" s="18" t="str">
        <f t="shared" ca="1" si="23"/>
        <v/>
      </c>
      <c r="O61" s="18" t="str" cm="1">
        <f t="array" aca="1" ref="O61" ca="1">IF(N61="","",IF(N61&lt;&gt;N60,1,IF(O60=misLíneas-2,0,O60+1)))</f>
        <v/>
      </c>
      <c r="P61" s="18" t="str" cm="1">
        <f t="array" aca="1" ref="P61" ca="1">IF(OR(O61=0,O61=""),"",INDEX(misCriticidades,N61)&amp;"-"&amp;IFERROR(MATCH(O61,miOrdenTarjeta,0),0))</f>
        <v/>
      </c>
      <c r="Q61" s="17" t="str">
        <f ca="1"/>
        <v/>
      </c>
      <c r="R61" s="18">
        <f t="shared" ca="1" si="13"/>
        <v>7</v>
      </c>
      <c r="S61" s="18">
        <f t="shared" ca="1" si="24"/>
        <v>24</v>
      </c>
      <c r="T61" s="18" cm="1">
        <f t="array" aca="1" ref="T61" ca="1">IF(S61="","",IF(S61&lt;&gt;S60,1,IF(T60=misLíneas-2,0,T60+1)))</f>
        <v>5</v>
      </c>
      <c r="U61" s="18" t="str" cm="1">
        <f t="array" aca="1" ref="U61" ca="1">IF(OR(T61=0,T61=""),"",INDEX(misCriticidades,S61)&amp;"-"&amp;IFERROR(MATCH(T61,miOrdenTarjeta,0),0))</f>
        <v>1-5</v>
      </c>
      <c r="V61" s="17" t="str">
        <f ca="1"/>
        <v/>
      </c>
      <c r="W61" s="18">
        <f t="shared" ca="1" si="14"/>
        <v>1</v>
      </c>
      <c r="X61" s="18" t="str">
        <f t="shared" ca="1" si="25"/>
        <v/>
      </c>
      <c r="Y61" s="18" t="str" cm="1">
        <f t="array" aca="1" ref="Y61" ca="1">IF(X61="","",IF(X61&lt;&gt;X60,1,IF(Y60=misLíneas-2,0,Y60+1)))</f>
        <v/>
      </c>
      <c r="Z61" s="18" t="str" cm="1">
        <f t="array" aca="1" ref="Z61" ca="1">IF(OR(Y61=0,Y61=""),"",INDEX(misCriticidades,X61)&amp;"-"&amp;IFERROR(MATCH(Y61,miOrdenTarjeta,0),0))</f>
        <v/>
      </c>
      <c r="AA61" s="17" t="str">
        <f ca="1"/>
        <v/>
      </c>
      <c r="AB61" s="18">
        <f t="shared" ca="1" si="15"/>
        <v>1</v>
      </c>
      <c r="AC61" s="18" t="str">
        <f t="shared" ca="1" si="5"/>
        <v/>
      </c>
      <c r="AD61" s="18" t="str" cm="1">
        <f t="array" aca="1" ref="AD61" ca="1">IF(AC61="","",IF(AC61&lt;&gt;AC60,1,IF(AD60=misLíneas-2,0,AD60+1)))</f>
        <v/>
      </c>
      <c r="AE61" s="18" t="str" cm="1">
        <f t="array" aca="1" ref="AE61" ca="1">IF(OR(AD61=0,AD61=""),"",INDEX(misCriticidades,AC61)&amp;"-"&amp;IFERROR(MATCH(AD61,miOrdenTarjeta,0),0))</f>
        <v/>
      </c>
      <c r="AF61" s="17" t="str">
        <f ca="1"/>
        <v/>
      </c>
      <c r="AG61" s="18">
        <f t="shared" ca="1" si="16"/>
        <v>1</v>
      </c>
      <c r="AH61" s="18" t="str">
        <f t="shared" ca="1" si="6"/>
        <v/>
      </c>
      <c r="AI61" s="18" t="str" cm="1">
        <f t="array" aca="1" ref="AI61" ca="1">IF(AH61="","",IF(AH61&lt;&gt;AH60,1,IF(AI60=misLíneas-2,0,AI60+1)))</f>
        <v/>
      </c>
      <c r="AJ61" s="18" t="str" cm="1">
        <f t="array" aca="1" ref="AJ61" ca="1">IF(OR(AI61=0,AI61=""),"",INDEX(misCriticidades,AH61)&amp;"-"&amp;IFERROR(MATCH(AI61,miOrdenTarjeta,0),0))</f>
        <v/>
      </c>
      <c r="AK61" s="17" t="str">
        <f ca="1"/>
        <v/>
      </c>
      <c r="AL61" s="18">
        <f t="shared" ca="1" si="17"/>
        <v>1</v>
      </c>
      <c r="AM61" s="18" t="str">
        <f t="shared" ca="1" si="7"/>
        <v/>
      </c>
      <c r="AN61" s="18" t="str" cm="1">
        <f t="array" aca="1" ref="AN61" ca="1">IF(AM61="","",IF(AM61&lt;&gt;AM60,1,IF(AN60=misLíneas-2,0,AN60+1)))</f>
        <v/>
      </c>
      <c r="AO61" s="18" t="str" cm="1">
        <f t="array" aca="1" ref="AO61" ca="1">IF(OR(AN61=0,AN61=""),"",INDEX(misCriticidades,AM61)&amp;"-"&amp;IFERROR(MATCH(AN61,miOrdenTarjeta,0),0))</f>
        <v/>
      </c>
      <c r="AP61" s="17" t="str">
        <f ca="1"/>
        <v/>
      </c>
      <c r="AQ61" s="18">
        <f t="shared" ca="1" si="18"/>
        <v>1</v>
      </c>
      <c r="AR61" s="18" t="str">
        <f t="shared" ca="1" si="8"/>
        <v/>
      </c>
      <c r="AS61" s="18" t="str" cm="1">
        <f t="array" aca="1" ref="AS61" ca="1">IF(AR61="","",IF(AR61&lt;&gt;AR60,1,IF(AS60=misLíneas-2,0,AS60+1)))</f>
        <v/>
      </c>
      <c r="AT61" s="18" t="str" cm="1">
        <f t="array" aca="1" ref="AT61" ca="1">IF(OR(AS61=0,AS61=""),"",INDEX(misCriticidades,AR61)&amp;"-"&amp;IFERROR(MATCH(AS61,miOrdenTarjeta,0),0))</f>
        <v/>
      </c>
      <c r="AU61" s="17" t="str">
        <f ca="1"/>
        <v/>
      </c>
      <c r="AV61" s="18">
        <f t="shared" ca="1" si="19"/>
        <v>1</v>
      </c>
      <c r="AW61" s="18" t="str">
        <f t="shared" ca="1" si="9"/>
        <v/>
      </c>
      <c r="AX61" s="18" t="str" cm="1">
        <f t="array" aca="1" ref="AX61" ca="1">IF(AW61="","",IF(AW61&lt;&gt;AW60,1,IF(AX60=misLíneas-2,0,AX60+1)))</f>
        <v/>
      </c>
      <c r="AY61" s="18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7" t="str">
        <f ca="1"/>
        <v/>
      </c>
      <c r="C62" s="18">
        <f t="shared" ca="1" si="20"/>
        <v>1</v>
      </c>
      <c r="D62" s="18" t="str">
        <f t="shared" ca="1" si="21"/>
        <v/>
      </c>
      <c r="E62" s="18" t="str" cm="1">
        <f t="array" aca="1" ref="E62" ca="1">IF(D62="","",IF(D62&lt;&gt;D61,1,IF(E61=misLíneas-2,0,E61+1)))</f>
        <v/>
      </c>
      <c r="F62" s="18" t="str" cm="1">
        <f t="array" aca="1" ref="F62" ca="1">IF(OR(E62=0,E62=""),"",INDEX(misCriticidades,D62)&amp;"-"&amp;IFERROR(MATCH(E62,miOrdenTarjeta,0),0))</f>
        <v/>
      </c>
      <c r="G62" s="17" t="str">
        <f ca="1"/>
        <v/>
      </c>
      <c r="H62" s="18">
        <f t="shared" ca="1" si="11"/>
        <v>1</v>
      </c>
      <c r="I62" s="18" t="str">
        <f t="shared" ca="1" si="22"/>
        <v/>
      </c>
      <c r="J62" s="18" t="str" cm="1">
        <f t="array" aca="1" ref="J62" ca="1">IF(I62="","",IF(I62&lt;&gt;I61,1,IF(J61=misLíneas-2,0,J61+1)))</f>
        <v/>
      </c>
      <c r="K62" s="18" t="str" cm="1">
        <f t="array" aca="1" ref="K62" ca="1">IF(OR(J62=0,J62=""),"",INDEX(misCriticidades,I62)&amp;"-"&amp;IFERROR(MATCH(J62,miOrdenTarjeta,0),0))</f>
        <v/>
      </c>
      <c r="L62" s="17" t="str">
        <f ca="1"/>
        <v/>
      </c>
      <c r="M62" s="18">
        <f t="shared" ca="1" si="12"/>
        <v>1</v>
      </c>
      <c r="N62" s="18" t="str">
        <f t="shared" ca="1" si="23"/>
        <v/>
      </c>
      <c r="O62" s="18" t="str" cm="1">
        <f t="array" aca="1" ref="O62" ca="1">IF(N62="","",IF(N62&lt;&gt;N61,1,IF(O61=misLíneas-2,0,O61+1)))</f>
        <v/>
      </c>
      <c r="P62" s="18" t="str" cm="1">
        <f t="array" aca="1" ref="P62" ca="1">IF(OR(O62=0,O62=""),"",INDEX(misCriticidades,N62)&amp;"-"&amp;IFERROR(MATCH(O62,miOrdenTarjeta,0),0))</f>
        <v/>
      </c>
      <c r="Q62" s="17" t="str">
        <f ca="1"/>
        <v/>
      </c>
      <c r="R62" s="18">
        <f t="shared" ca="1" si="13"/>
        <v>7</v>
      </c>
      <c r="S62" s="18">
        <f t="shared" ca="1" si="24"/>
        <v>24</v>
      </c>
      <c r="T62" s="18" cm="1">
        <f t="array" aca="1" ref="T62" ca="1">IF(S62="","",IF(S62&lt;&gt;S61,1,IF(T61=misLíneas-2,0,T61+1)))</f>
        <v>6</v>
      </c>
      <c r="U62" s="18" t="str" cm="1">
        <f t="array" aca="1" ref="U62" ca="1">IF(OR(T62=0,T62=""),"",INDEX(misCriticidades,S62)&amp;"-"&amp;IFERROR(MATCH(T62,miOrdenTarjeta,0),0))</f>
        <v>1-6</v>
      </c>
      <c r="V62" s="17" t="str">
        <f ca="1"/>
        <v/>
      </c>
      <c r="W62" s="18">
        <f t="shared" ca="1" si="14"/>
        <v>1</v>
      </c>
      <c r="X62" s="18" t="str">
        <f t="shared" ca="1" si="25"/>
        <v/>
      </c>
      <c r="Y62" s="18" t="str" cm="1">
        <f t="array" aca="1" ref="Y62" ca="1">IF(X62="","",IF(X62&lt;&gt;X61,1,IF(Y61=misLíneas-2,0,Y61+1)))</f>
        <v/>
      </c>
      <c r="Z62" s="18" t="str" cm="1">
        <f t="array" aca="1" ref="Z62" ca="1">IF(OR(Y62=0,Y62=""),"",INDEX(misCriticidades,X62)&amp;"-"&amp;IFERROR(MATCH(Y62,miOrdenTarjeta,0),0))</f>
        <v/>
      </c>
      <c r="AA62" s="17" t="str">
        <f ca="1"/>
        <v/>
      </c>
      <c r="AB62" s="18">
        <f t="shared" ca="1" si="15"/>
        <v>1</v>
      </c>
      <c r="AC62" s="18" t="str">
        <f t="shared" ca="1" si="5"/>
        <v/>
      </c>
      <c r="AD62" s="18" t="str" cm="1">
        <f t="array" aca="1" ref="AD62" ca="1">IF(AC62="","",IF(AC62&lt;&gt;AC61,1,IF(AD61=misLíneas-2,0,AD61+1)))</f>
        <v/>
      </c>
      <c r="AE62" s="18" t="str" cm="1">
        <f t="array" aca="1" ref="AE62" ca="1">IF(OR(AD62=0,AD62=""),"",INDEX(misCriticidades,AC62)&amp;"-"&amp;IFERROR(MATCH(AD62,miOrdenTarjeta,0),0))</f>
        <v/>
      </c>
      <c r="AF62" s="17" t="str">
        <f ca="1"/>
        <v/>
      </c>
      <c r="AG62" s="18">
        <f t="shared" ca="1" si="16"/>
        <v>1</v>
      </c>
      <c r="AH62" s="18" t="str">
        <f t="shared" ca="1" si="6"/>
        <v/>
      </c>
      <c r="AI62" s="18" t="str" cm="1">
        <f t="array" aca="1" ref="AI62" ca="1">IF(AH62="","",IF(AH62&lt;&gt;AH61,1,IF(AI61=misLíneas-2,0,AI61+1)))</f>
        <v/>
      </c>
      <c r="AJ62" s="18" t="str" cm="1">
        <f t="array" aca="1" ref="AJ62" ca="1">IF(OR(AI62=0,AI62=""),"",INDEX(misCriticidades,AH62)&amp;"-"&amp;IFERROR(MATCH(AI62,miOrdenTarjeta,0),0))</f>
        <v/>
      </c>
      <c r="AK62" s="17" t="str">
        <f ca="1"/>
        <v/>
      </c>
      <c r="AL62" s="18">
        <f t="shared" ca="1" si="17"/>
        <v>1</v>
      </c>
      <c r="AM62" s="18" t="str">
        <f t="shared" ca="1" si="7"/>
        <v/>
      </c>
      <c r="AN62" s="18" t="str" cm="1">
        <f t="array" aca="1" ref="AN62" ca="1">IF(AM62="","",IF(AM62&lt;&gt;AM61,1,IF(AN61=misLíneas-2,0,AN61+1)))</f>
        <v/>
      </c>
      <c r="AO62" s="18" t="str" cm="1">
        <f t="array" aca="1" ref="AO62" ca="1">IF(OR(AN62=0,AN62=""),"",INDEX(misCriticidades,AM62)&amp;"-"&amp;IFERROR(MATCH(AN62,miOrdenTarjeta,0),0))</f>
        <v/>
      </c>
      <c r="AP62" s="17" t="str">
        <f ca="1"/>
        <v/>
      </c>
      <c r="AQ62" s="18">
        <f t="shared" ca="1" si="18"/>
        <v>1</v>
      </c>
      <c r="AR62" s="18" t="str">
        <f t="shared" ca="1" si="8"/>
        <v/>
      </c>
      <c r="AS62" s="18" t="str" cm="1">
        <f t="array" aca="1" ref="AS62" ca="1">IF(AR62="","",IF(AR62&lt;&gt;AR61,1,IF(AS61=misLíneas-2,0,AS61+1)))</f>
        <v/>
      </c>
      <c r="AT62" s="18" t="str" cm="1">
        <f t="array" aca="1" ref="AT62" ca="1">IF(OR(AS62=0,AS62=""),"",INDEX(misCriticidades,AR62)&amp;"-"&amp;IFERROR(MATCH(AS62,miOrdenTarjeta,0),0))</f>
        <v/>
      </c>
      <c r="AU62" s="17" t="str">
        <f ca="1"/>
        <v/>
      </c>
      <c r="AV62" s="18">
        <f t="shared" ca="1" si="19"/>
        <v>1</v>
      </c>
      <c r="AW62" s="18" t="str">
        <f t="shared" ca="1" si="9"/>
        <v/>
      </c>
      <c r="AX62" s="18" t="str" cm="1">
        <f t="array" aca="1" ref="AX62" ca="1">IF(AW62="","",IF(AW62&lt;&gt;AW61,1,IF(AX61=misLíneas-2,0,AX61+1)))</f>
        <v/>
      </c>
      <c r="AY62" s="18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7" t="str">
        <f ca="1"/>
        <v/>
      </c>
      <c r="C63" s="18">
        <f t="shared" ca="1" si="20"/>
        <v>1</v>
      </c>
      <c r="D63" s="18" t="str">
        <f t="shared" ca="1" si="21"/>
        <v/>
      </c>
      <c r="E63" s="18" t="str" cm="1">
        <f t="array" aca="1" ref="E63" ca="1">IF(D63="","",IF(D63&lt;&gt;D62,1,IF(E62=misLíneas-2,0,E62+1)))</f>
        <v/>
      </c>
      <c r="F63" s="18" t="str" cm="1">
        <f t="array" aca="1" ref="F63" ca="1">IF(OR(E63=0,E63=""),"",INDEX(misCriticidades,D63)&amp;"-"&amp;IFERROR(MATCH(E63,miOrdenTarjeta,0),0))</f>
        <v/>
      </c>
      <c r="G63" s="17" t="str">
        <f ca="1"/>
        <v/>
      </c>
      <c r="H63" s="18">
        <f t="shared" ca="1" si="11"/>
        <v>1</v>
      </c>
      <c r="I63" s="18" t="str">
        <f t="shared" ca="1" si="22"/>
        <v/>
      </c>
      <c r="J63" s="18" t="str" cm="1">
        <f t="array" aca="1" ref="J63" ca="1">IF(I63="","",IF(I63&lt;&gt;I62,1,IF(J62=misLíneas-2,0,J62+1)))</f>
        <v/>
      </c>
      <c r="K63" s="18" t="str" cm="1">
        <f t="array" aca="1" ref="K63" ca="1">IF(OR(J63=0,J63=""),"",INDEX(misCriticidades,I63)&amp;"-"&amp;IFERROR(MATCH(J63,miOrdenTarjeta,0),0))</f>
        <v/>
      </c>
      <c r="L63" s="17" t="str">
        <f ca="1"/>
        <v/>
      </c>
      <c r="M63" s="18">
        <f t="shared" ca="1" si="12"/>
        <v>1</v>
      </c>
      <c r="N63" s="18" t="str">
        <f t="shared" ca="1" si="23"/>
        <v/>
      </c>
      <c r="O63" s="18" t="str" cm="1">
        <f t="array" aca="1" ref="O63" ca="1">IF(N63="","",IF(N63&lt;&gt;N62,1,IF(O62=misLíneas-2,0,O62+1)))</f>
        <v/>
      </c>
      <c r="P63" s="18" t="str" cm="1">
        <f t="array" aca="1" ref="P63" ca="1">IF(OR(O63=0,O63=""),"",INDEX(misCriticidades,N63)&amp;"-"&amp;IFERROR(MATCH(O63,miOrdenTarjeta,0),0))</f>
        <v/>
      </c>
      <c r="Q63" s="17" t="str">
        <f ca="1"/>
        <v/>
      </c>
      <c r="R63" s="18">
        <f t="shared" ca="1" si="13"/>
        <v>7</v>
      </c>
      <c r="S63" s="18">
        <f t="shared" ca="1" si="24"/>
        <v>24</v>
      </c>
      <c r="T63" s="18" cm="1">
        <f t="array" aca="1" ref="T63" ca="1">IF(S63="","",IF(S63&lt;&gt;S62,1,IF(T62=misLíneas-2,0,T62+1)))</f>
        <v>7</v>
      </c>
      <c r="U63" s="18" t="str" cm="1">
        <f t="array" aca="1" ref="U63" ca="1">IF(OR(T63=0,T63=""),"",INDEX(misCriticidades,S63)&amp;"-"&amp;IFERROR(MATCH(T63,miOrdenTarjeta,0),0))</f>
        <v>1-7</v>
      </c>
      <c r="V63" s="17" t="str">
        <f ca="1"/>
        <v/>
      </c>
      <c r="W63" s="18">
        <f t="shared" ca="1" si="14"/>
        <v>1</v>
      </c>
      <c r="X63" s="18" t="str">
        <f t="shared" ca="1" si="25"/>
        <v/>
      </c>
      <c r="Y63" s="18" t="str" cm="1">
        <f t="array" aca="1" ref="Y63" ca="1">IF(X63="","",IF(X63&lt;&gt;X62,1,IF(Y62=misLíneas-2,0,Y62+1)))</f>
        <v/>
      </c>
      <c r="Z63" s="18" t="str" cm="1">
        <f t="array" aca="1" ref="Z63" ca="1">IF(OR(Y63=0,Y63=""),"",INDEX(misCriticidades,X63)&amp;"-"&amp;IFERROR(MATCH(Y63,miOrdenTarjeta,0),0))</f>
        <v/>
      </c>
      <c r="AA63" s="17" t="str">
        <f ca="1"/>
        <v/>
      </c>
      <c r="AB63" s="18">
        <f t="shared" ca="1" si="15"/>
        <v>1</v>
      </c>
      <c r="AC63" s="18" t="str">
        <f t="shared" ca="1" si="5"/>
        <v/>
      </c>
      <c r="AD63" s="18" t="str" cm="1">
        <f t="array" aca="1" ref="AD63" ca="1">IF(AC63="","",IF(AC63&lt;&gt;AC62,1,IF(AD62=misLíneas-2,0,AD62+1)))</f>
        <v/>
      </c>
      <c r="AE63" s="18" t="str" cm="1">
        <f t="array" aca="1" ref="AE63" ca="1">IF(OR(AD63=0,AD63=""),"",INDEX(misCriticidades,AC63)&amp;"-"&amp;IFERROR(MATCH(AD63,miOrdenTarjeta,0),0))</f>
        <v/>
      </c>
      <c r="AF63" s="17" t="str">
        <f ca="1"/>
        <v/>
      </c>
      <c r="AG63" s="18">
        <f t="shared" ca="1" si="16"/>
        <v>1</v>
      </c>
      <c r="AH63" s="18" t="str">
        <f t="shared" ca="1" si="6"/>
        <v/>
      </c>
      <c r="AI63" s="18" t="str" cm="1">
        <f t="array" aca="1" ref="AI63" ca="1">IF(AH63="","",IF(AH63&lt;&gt;AH62,1,IF(AI62=misLíneas-2,0,AI62+1)))</f>
        <v/>
      </c>
      <c r="AJ63" s="18" t="str" cm="1">
        <f t="array" aca="1" ref="AJ63" ca="1">IF(OR(AI63=0,AI63=""),"",INDEX(misCriticidades,AH63)&amp;"-"&amp;IFERROR(MATCH(AI63,miOrdenTarjeta,0),0))</f>
        <v/>
      </c>
      <c r="AK63" s="17" t="str">
        <f ca="1"/>
        <v/>
      </c>
      <c r="AL63" s="18">
        <f t="shared" ca="1" si="17"/>
        <v>1</v>
      </c>
      <c r="AM63" s="18" t="str">
        <f t="shared" ca="1" si="7"/>
        <v/>
      </c>
      <c r="AN63" s="18" t="str" cm="1">
        <f t="array" aca="1" ref="AN63" ca="1">IF(AM63="","",IF(AM63&lt;&gt;AM62,1,IF(AN62=misLíneas-2,0,AN62+1)))</f>
        <v/>
      </c>
      <c r="AO63" s="18" t="str" cm="1">
        <f t="array" aca="1" ref="AO63" ca="1">IF(OR(AN63=0,AN63=""),"",INDEX(misCriticidades,AM63)&amp;"-"&amp;IFERROR(MATCH(AN63,miOrdenTarjeta,0),0))</f>
        <v/>
      </c>
      <c r="AP63" s="17" t="str">
        <f ca="1"/>
        <v/>
      </c>
      <c r="AQ63" s="18">
        <f t="shared" ca="1" si="18"/>
        <v>1</v>
      </c>
      <c r="AR63" s="18" t="str">
        <f t="shared" ca="1" si="8"/>
        <v/>
      </c>
      <c r="AS63" s="18" t="str" cm="1">
        <f t="array" aca="1" ref="AS63" ca="1">IF(AR63="","",IF(AR63&lt;&gt;AR62,1,IF(AS62=misLíneas-2,0,AS62+1)))</f>
        <v/>
      </c>
      <c r="AT63" s="18" t="str" cm="1">
        <f t="array" aca="1" ref="AT63" ca="1">IF(OR(AS63=0,AS63=""),"",INDEX(misCriticidades,AR63)&amp;"-"&amp;IFERROR(MATCH(AS63,miOrdenTarjeta,0),0))</f>
        <v/>
      </c>
      <c r="AU63" s="17" t="str">
        <f ca="1"/>
        <v/>
      </c>
      <c r="AV63" s="18">
        <f t="shared" ca="1" si="19"/>
        <v>1</v>
      </c>
      <c r="AW63" s="18" t="str">
        <f t="shared" ca="1" si="9"/>
        <v/>
      </c>
      <c r="AX63" s="18" t="str" cm="1">
        <f t="array" aca="1" ref="AX63" ca="1">IF(AW63="","",IF(AW63&lt;&gt;AW62,1,IF(AX62=misLíneas-2,0,AX62+1)))</f>
        <v/>
      </c>
      <c r="AY63" s="18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7" t="str">
        <f ca="1"/>
        <v/>
      </c>
      <c r="C64" s="18">
        <f t="shared" ca="1" si="20"/>
        <v>1</v>
      </c>
      <c r="D64" s="18" t="str">
        <f t="shared" ca="1" si="21"/>
        <v/>
      </c>
      <c r="E64" s="18" t="str" cm="1">
        <f t="array" aca="1" ref="E64" ca="1">IF(D64="","",IF(D64&lt;&gt;D63,1,IF(E63=misLíneas-2,0,E63+1)))</f>
        <v/>
      </c>
      <c r="F64" s="18" t="str" cm="1">
        <f t="array" aca="1" ref="F64" ca="1">IF(OR(E64=0,E64=""),"",INDEX(misCriticidades,D64)&amp;"-"&amp;IFERROR(MATCH(E64,miOrdenTarjeta,0),0))</f>
        <v/>
      </c>
      <c r="G64" s="17" t="str">
        <f ca="1"/>
        <v/>
      </c>
      <c r="H64" s="18">
        <f t="shared" ca="1" si="11"/>
        <v>1</v>
      </c>
      <c r="I64" s="18" t="str">
        <f t="shared" ca="1" si="22"/>
        <v/>
      </c>
      <c r="J64" s="18" t="str" cm="1">
        <f t="array" aca="1" ref="J64" ca="1">IF(I64="","",IF(I64&lt;&gt;I63,1,IF(J63=misLíneas-2,0,J63+1)))</f>
        <v/>
      </c>
      <c r="K64" s="18" t="str" cm="1">
        <f t="array" aca="1" ref="K64" ca="1">IF(OR(J64=0,J64=""),"",INDEX(misCriticidades,I64)&amp;"-"&amp;IFERROR(MATCH(J64,miOrdenTarjeta,0),0))</f>
        <v/>
      </c>
      <c r="L64" s="17" t="str">
        <f ca="1"/>
        <v/>
      </c>
      <c r="M64" s="18">
        <f t="shared" ca="1" si="12"/>
        <v>1</v>
      </c>
      <c r="N64" s="18" t="str">
        <f t="shared" ca="1" si="23"/>
        <v/>
      </c>
      <c r="O64" s="18" t="str" cm="1">
        <f t="array" aca="1" ref="O64" ca="1">IF(N64="","",IF(N64&lt;&gt;N63,1,IF(O63=misLíneas-2,0,O63+1)))</f>
        <v/>
      </c>
      <c r="P64" s="18" t="str" cm="1">
        <f t="array" aca="1" ref="P64" ca="1">IF(OR(O64=0,O64=""),"",INDEX(misCriticidades,N64)&amp;"-"&amp;IFERROR(MATCH(O64,miOrdenTarjeta,0),0))</f>
        <v/>
      </c>
      <c r="Q64" s="17" t="str">
        <f ca="1"/>
        <v/>
      </c>
      <c r="R64" s="18">
        <f t="shared" ca="1" si="13"/>
        <v>7</v>
      </c>
      <c r="S64" s="18">
        <f t="shared" ca="1" si="24"/>
        <v>24</v>
      </c>
      <c r="T64" s="18" cm="1">
        <f t="array" aca="1" ref="T64" ca="1">IF(S64="","",IF(S64&lt;&gt;S63,1,IF(T63=misLíneas-2,0,T63+1)))</f>
        <v>8</v>
      </c>
      <c r="U64" s="18" t="str" cm="1">
        <f t="array" aca="1" ref="U64" ca="1">IF(OR(T64=0,T64=""),"",INDEX(misCriticidades,S64)&amp;"-"&amp;IFERROR(MATCH(T64,miOrdenTarjeta,0),0))</f>
        <v>1-8</v>
      </c>
      <c r="V64" s="17" t="str">
        <f ca="1"/>
        <v/>
      </c>
      <c r="W64" s="18">
        <f t="shared" ca="1" si="14"/>
        <v>1</v>
      </c>
      <c r="X64" s="18" t="str">
        <f t="shared" ca="1" si="25"/>
        <v/>
      </c>
      <c r="Y64" s="18" t="str" cm="1">
        <f t="array" aca="1" ref="Y64" ca="1">IF(X64="","",IF(X64&lt;&gt;X63,1,IF(Y63=misLíneas-2,0,Y63+1)))</f>
        <v/>
      </c>
      <c r="Z64" s="18" t="str" cm="1">
        <f t="array" aca="1" ref="Z64" ca="1">IF(OR(Y64=0,Y64=""),"",INDEX(misCriticidades,X64)&amp;"-"&amp;IFERROR(MATCH(Y64,miOrdenTarjeta,0),0))</f>
        <v/>
      </c>
      <c r="AA64" s="17" t="str">
        <f ca="1"/>
        <v/>
      </c>
      <c r="AB64" s="18">
        <f t="shared" ca="1" si="15"/>
        <v>1</v>
      </c>
      <c r="AC64" s="18" t="str">
        <f t="shared" ca="1" si="5"/>
        <v/>
      </c>
      <c r="AD64" s="18" t="str" cm="1">
        <f t="array" aca="1" ref="AD64" ca="1">IF(AC64="","",IF(AC64&lt;&gt;AC63,1,IF(AD63=misLíneas-2,0,AD63+1)))</f>
        <v/>
      </c>
      <c r="AE64" s="18" t="str" cm="1">
        <f t="array" aca="1" ref="AE64" ca="1">IF(OR(AD64=0,AD64=""),"",INDEX(misCriticidades,AC64)&amp;"-"&amp;IFERROR(MATCH(AD64,miOrdenTarjeta,0),0))</f>
        <v/>
      </c>
      <c r="AF64" s="17" t="str">
        <f ca="1"/>
        <v/>
      </c>
      <c r="AG64" s="18">
        <f t="shared" ca="1" si="16"/>
        <v>1</v>
      </c>
      <c r="AH64" s="18" t="str">
        <f t="shared" ca="1" si="6"/>
        <v/>
      </c>
      <c r="AI64" s="18" t="str" cm="1">
        <f t="array" aca="1" ref="AI64" ca="1">IF(AH64="","",IF(AH64&lt;&gt;AH63,1,IF(AI63=misLíneas-2,0,AI63+1)))</f>
        <v/>
      </c>
      <c r="AJ64" s="18" t="str" cm="1">
        <f t="array" aca="1" ref="AJ64" ca="1">IF(OR(AI64=0,AI64=""),"",INDEX(misCriticidades,AH64)&amp;"-"&amp;IFERROR(MATCH(AI64,miOrdenTarjeta,0),0))</f>
        <v/>
      </c>
      <c r="AK64" s="17" t="str">
        <f ca="1"/>
        <v/>
      </c>
      <c r="AL64" s="18">
        <f t="shared" ca="1" si="17"/>
        <v>1</v>
      </c>
      <c r="AM64" s="18" t="str">
        <f t="shared" ca="1" si="7"/>
        <v/>
      </c>
      <c r="AN64" s="18" t="str" cm="1">
        <f t="array" aca="1" ref="AN64" ca="1">IF(AM64="","",IF(AM64&lt;&gt;AM63,1,IF(AN63=misLíneas-2,0,AN63+1)))</f>
        <v/>
      </c>
      <c r="AO64" s="18" t="str" cm="1">
        <f t="array" aca="1" ref="AO64" ca="1">IF(OR(AN64=0,AN64=""),"",INDEX(misCriticidades,AM64)&amp;"-"&amp;IFERROR(MATCH(AN64,miOrdenTarjeta,0),0))</f>
        <v/>
      </c>
      <c r="AP64" s="17" t="str">
        <f ca="1"/>
        <v/>
      </c>
      <c r="AQ64" s="18">
        <f t="shared" ca="1" si="18"/>
        <v>1</v>
      </c>
      <c r="AR64" s="18" t="str">
        <f t="shared" ca="1" si="8"/>
        <v/>
      </c>
      <c r="AS64" s="18" t="str" cm="1">
        <f t="array" aca="1" ref="AS64" ca="1">IF(AR64="","",IF(AR64&lt;&gt;AR63,1,IF(AS63=misLíneas-2,0,AS63+1)))</f>
        <v/>
      </c>
      <c r="AT64" s="18" t="str" cm="1">
        <f t="array" aca="1" ref="AT64" ca="1">IF(OR(AS64=0,AS64=""),"",INDEX(misCriticidades,AR64)&amp;"-"&amp;IFERROR(MATCH(AS64,miOrdenTarjeta,0),0))</f>
        <v/>
      </c>
      <c r="AU64" s="17" t="str">
        <f ca="1"/>
        <v/>
      </c>
      <c r="AV64" s="18">
        <f t="shared" ca="1" si="19"/>
        <v>1</v>
      </c>
      <c r="AW64" s="18" t="str">
        <f t="shared" ca="1" si="9"/>
        <v/>
      </c>
      <c r="AX64" s="18" t="str" cm="1">
        <f t="array" aca="1" ref="AX64" ca="1">IF(AW64="","",IF(AW64&lt;&gt;AW63,1,IF(AX63=misLíneas-2,0,AX63+1)))</f>
        <v/>
      </c>
      <c r="AY64" s="18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7" t="str">
        <f ca="1"/>
        <v/>
      </c>
      <c r="C65" s="18">
        <f t="shared" ca="1" si="20"/>
        <v>1</v>
      </c>
      <c r="D65" s="18" t="str">
        <f t="shared" ca="1" si="21"/>
        <v/>
      </c>
      <c r="E65" s="18" t="str" cm="1">
        <f t="array" aca="1" ref="E65" ca="1">IF(D65="","",IF(D65&lt;&gt;D64,1,IF(E64=misLíneas-2,0,E64+1)))</f>
        <v/>
      </c>
      <c r="F65" s="18" t="str" cm="1">
        <f t="array" aca="1" ref="F65" ca="1">IF(OR(E65=0,E65=""),"",INDEX(misCriticidades,D65)&amp;"-"&amp;IFERROR(MATCH(E65,miOrdenTarjeta,0),0))</f>
        <v/>
      </c>
      <c r="G65" s="17" t="str">
        <f ca="1"/>
        <v/>
      </c>
      <c r="H65" s="18">
        <f t="shared" ca="1" si="11"/>
        <v>1</v>
      </c>
      <c r="I65" s="18" t="str">
        <f t="shared" ca="1" si="22"/>
        <v/>
      </c>
      <c r="J65" s="18" t="str" cm="1">
        <f t="array" aca="1" ref="J65" ca="1">IF(I65="","",IF(I65&lt;&gt;I64,1,IF(J64=misLíneas-2,0,J64+1)))</f>
        <v/>
      </c>
      <c r="K65" s="18" t="str" cm="1">
        <f t="array" aca="1" ref="K65" ca="1">IF(OR(J65=0,J65=""),"",INDEX(misCriticidades,I65)&amp;"-"&amp;IFERROR(MATCH(J65,miOrdenTarjeta,0),0))</f>
        <v/>
      </c>
      <c r="L65" s="17" t="str">
        <f ca="1"/>
        <v/>
      </c>
      <c r="M65" s="18">
        <f t="shared" ca="1" si="12"/>
        <v>1</v>
      </c>
      <c r="N65" s="18" t="str">
        <f t="shared" ca="1" si="23"/>
        <v/>
      </c>
      <c r="O65" s="18" t="str" cm="1">
        <f t="array" aca="1" ref="O65" ca="1">IF(N65="","",IF(N65&lt;&gt;N64,1,IF(O64=misLíneas-2,0,O64+1)))</f>
        <v/>
      </c>
      <c r="P65" s="18" t="str" cm="1">
        <f t="array" aca="1" ref="P65" ca="1">IF(OR(O65=0,O65=""),"",INDEX(misCriticidades,N65)&amp;"-"&amp;IFERROR(MATCH(O65,miOrdenTarjeta,0),0))</f>
        <v/>
      </c>
      <c r="Q65" s="17" t="str">
        <f ca="1"/>
        <v/>
      </c>
      <c r="R65" s="18">
        <f t="shared" ca="1" si="13"/>
        <v>7</v>
      </c>
      <c r="S65" s="18">
        <f t="shared" ca="1" si="24"/>
        <v>24</v>
      </c>
      <c r="T65" s="18" cm="1">
        <f t="array" aca="1" ref="T65" ca="1">IF(S65="","",IF(S65&lt;&gt;S64,1,IF(T64=misLíneas-2,0,T64+1)))</f>
        <v>0</v>
      </c>
      <c r="U65" s="18" t="str" cm="1">
        <f t="array" aca="1" ref="U65" ca="1">IF(OR(T65=0,T65=""),"",INDEX(misCriticidades,S65)&amp;"-"&amp;IFERROR(MATCH(T65,miOrdenTarjeta,0),0))</f>
        <v/>
      </c>
      <c r="V65" s="17" t="str">
        <f ca="1"/>
        <v/>
      </c>
      <c r="W65" s="18">
        <f t="shared" ca="1" si="14"/>
        <v>1</v>
      </c>
      <c r="X65" s="18" t="str">
        <f t="shared" ca="1" si="25"/>
        <v/>
      </c>
      <c r="Y65" s="18" t="str" cm="1">
        <f t="array" aca="1" ref="Y65" ca="1">IF(X65="","",IF(X65&lt;&gt;X64,1,IF(Y64=misLíneas-2,0,Y64+1)))</f>
        <v/>
      </c>
      <c r="Z65" s="18" t="str" cm="1">
        <f t="array" aca="1" ref="Z65" ca="1">IF(OR(Y65=0,Y65=""),"",INDEX(misCriticidades,X65)&amp;"-"&amp;IFERROR(MATCH(Y65,miOrdenTarjeta,0),0))</f>
        <v/>
      </c>
      <c r="AA65" s="17" t="str">
        <f ca="1"/>
        <v/>
      </c>
      <c r="AB65" s="18">
        <f t="shared" ca="1" si="15"/>
        <v>1</v>
      </c>
      <c r="AC65" s="18" t="str">
        <f t="shared" ca="1" si="5"/>
        <v/>
      </c>
      <c r="AD65" s="18" t="str" cm="1">
        <f t="array" aca="1" ref="AD65" ca="1">IF(AC65="","",IF(AC65&lt;&gt;AC64,1,IF(AD64=misLíneas-2,0,AD64+1)))</f>
        <v/>
      </c>
      <c r="AE65" s="18" t="str" cm="1">
        <f t="array" aca="1" ref="AE65" ca="1">IF(OR(AD65=0,AD65=""),"",INDEX(misCriticidades,AC65)&amp;"-"&amp;IFERROR(MATCH(AD65,miOrdenTarjeta,0),0))</f>
        <v/>
      </c>
      <c r="AF65" s="17" t="str">
        <f ca="1"/>
        <v/>
      </c>
      <c r="AG65" s="18">
        <f t="shared" ca="1" si="16"/>
        <v>1</v>
      </c>
      <c r="AH65" s="18" t="str">
        <f t="shared" ca="1" si="6"/>
        <v/>
      </c>
      <c r="AI65" s="18" t="str" cm="1">
        <f t="array" aca="1" ref="AI65" ca="1">IF(AH65="","",IF(AH65&lt;&gt;AH64,1,IF(AI64=misLíneas-2,0,AI64+1)))</f>
        <v/>
      </c>
      <c r="AJ65" s="18" t="str" cm="1">
        <f t="array" aca="1" ref="AJ65" ca="1">IF(OR(AI65=0,AI65=""),"",INDEX(misCriticidades,AH65)&amp;"-"&amp;IFERROR(MATCH(AI65,miOrdenTarjeta,0),0))</f>
        <v/>
      </c>
      <c r="AK65" s="17" t="str">
        <f ca="1"/>
        <v/>
      </c>
      <c r="AL65" s="18">
        <f t="shared" ca="1" si="17"/>
        <v>1</v>
      </c>
      <c r="AM65" s="18" t="str">
        <f t="shared" ca="1" si="7"/>
        <v/>
      </c>
      <c r="AN65" s="18" t="str" cm="1">
        <f t="array" aca="1" ref="AN65" ca="1">IF(AM65="","",IF(AM65&lt;&gt;AM64,1,IF(AN64=misLíneas-2,0,AN64+1)))</f>
        <v/>
      </c>
      <c r="AO65" s="18" t="str" cm="1">
        <f t="array" aca="1" ref="AO65" ca="1">IF(OR(AN65=0,AN65=""),"",INDEX(misCriticidades,AM65)&amp;"-"&amp;IFERROR(MATCH(AN65,miOrdenTarjeta,0),0))</f>
        <v/>
      </c>
      <c r="AP65" s="17" t="str">
        <f ca="1"/>
        <v/>
      </c>
      <c r="AQ65" s="18">
        <f t="shared" ca="1" si="18"/>
        <v>1</v>
      </c>
      <c r="AR65" s="18" t="str">
        <f t="shared" ca="1" si="8"/>
        <v/>
      </c>
      <c r="AS65" s="18" t="str" cm="1">
        <f t="array" aca="1" ref="AS65" ca="1">IF(AR65="","",IF(AR65&lt;&gt;AR64,1,IF(AS64=misLíneas-2,0,AS64+1)))</f>
        <v/>
      </c>
      <c r="AT65" s="18" t="str" cm="1">
        <f t="array" aca="1" ref="AT65" ca="1">IF(OR(AS65=0,AS65=""),"",INDEX(misCriticidades,AR65)&amp;"-"&amp;IFERROR(MATCH(AS65,miOrdenTarjeta,0),0))</f>
        <v/>
      </c>
      <c r="AU65" s="17" t="str">
        <f ca="1"/>
        <v/>
      </c>
      <c r="AV65" s="18">
        <f t="shared" ca="1" si="19"/>
        <v>1</v>
      </c>
      <c r="AW65" s="18" t="str">
        <f t="shared" ca="1" si="9"/>
        <v/>
      </c>
      <c r="AX65" s="18" t="str" cm="1">
        <f t="array" aca="1" ref="AX65" ca="1">IF(AW65="","",IF(AW65&lt;&gt;AW64,1,IF(AX64=misLíneas-2,0,AX64+1)))</f>
        <v/>
      </c>
      <c r="AY65" s="18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7" t="str">
        <f ca="1"/>
        <v/>
      </c>
      <c r="C66" s="18">
        <f t="shared" ca="1" si="20"/>
        <v>1</v>
      </c>
      <c r="D66" s="18" t="str">
        <f t="shared" ca="1" si="21"/>
        <v/>
      </c>
      <c r="E66" s="18" t="str" cm="1">
        <f t="array" aca="1" ref="E66" ca="1">IF(D66="","",IF(D66&lt;&gt;D65,1,IF(E65=misLíneas-2,0,E65+1)))</f>
        <v/>
      </c>
      <c r="F66" s="18" t="str" cm="1">
        <f t="array" aca="1" ref="F66" ca="1">IF(OR(E66=0,E66=""),"",INDEX(misCriticidades,D66)&amp;"-"&amp;IFERROR(MATCH(E66,miOrdenTarjeta,0),0))</f>
        <v/>
      </c>
      <c r="G66" s="17" t="str">
        <f ca="1"/>
        <v/>
      </c>
      <c r="H66" s="18">
        <f t="shared" ca="1" si="11"/>
        <v>1</v>
      </c>
      <c r="I66" s="18" t="str">
        <f t="shared" ca="1" si="22"/>
        <v/>
      </c>
      <c r="J66" s="18" t="str" cm="1">
        <f t="array" aca="1" ref="J66" ca="1">IF(I66="","",IF(I66&lt;&gt;I65,1,IF(J65=misLíneas-2,0,J65+1)))</f>
        <v/>
      </c>
      <c r="K66" s="18" t="str" cm="1">
        <f t="array" aca="1" ref="K66" ca="1">IF(OR(J66=0,J66=""),"",INDEX(misCriticidades,I66)&amp;"-"&amp;IFERROR(MATCH(J66,miOrdenTarjeta,0),0))</f>
        <v/>
      </c>
      <c r="L66" s="17" t="str">
        <f ca="1"/>
        <v/>
      </c>
      <c r="M66" s="18">
        <f t="shared" ca="1" si="12"/>
        <v>1</v>
      </c>
      <c r="N66" s="18" t="str">
        <f t="shared" ca="1" si="23"/>
        <v/>
      </c>
      <c r="O66" s="18" t="str" cm="1">
        <f t="array" aca="1" ref="O66" ca="1">IF(N66="","",IF(N66&lt;&gt;N65,1,IF(O65=misLíneas-2,0,O65+1)))</f>
        <v/>
      </c>
      <c r="P66" s="18" t="str" cm="1">
        <f t="array" aca="1" ref="P66" ca="1">IF(OR(O66=0,O66=""),"",INDEX(misCriticidades,N66)&amp;"-"&amp;IFERROR(MATCH(O66,miOrdenTarjeta,0),0))</f>
        <v/>
      </c>
      <c r="Q66" s="17" t="str">
        <f ca="1"/>
        <v/>
      </c>
      <c r="R66" s="18">
        <f t="shared" ca="1" si="13"/>
        <v>8</v>
      </c>
      <c r="S66" s="18">
        <f t="shared" ca="1" si="24"/>
        <v>23</v>
      </c>
      <c r="T66" s="18" cm="1">
        <f t="array" aca="1" ref="T66" ca="1">IF(S66="","",IF(S66&lt;&gt;S65,1,IF(T65=misLíneas-2,0,T65+1)))</f>
        <v>1</v>
      </c>
      <c r="U66" s="18" t="str" cm="1">
        <f t="array" aca="1" ref="U66" ca="1">IF(OR(T66=0,T66=""),"",INDEX(misCriticidades,S66)&amp;"-"&amp;IFERROR(MATCH(T66,miOrdenTarjeta,0),0))</f>
        <v>1-1</v>
      </c>
      <c r="V66" s="17" t="str">
        <f ca="1"/>
        <v/>
      </c>
      <c r="W66" s="18">
        <f t="shared" ca="1" si="14"/>
        <v>1</v>
      </c>
      <c r="X66" s="18" t="str">
        <f t="shared" ca="1" si="25"/>
        <v/>
      </c>
      <c r="Y66" s="18" t="str" cm="1">
        <f t="array" aca="1" ref="Y66" ca="1">IF(X66="","",IF(X66&lt;&gt;X65,1,IF(Y65=misLíneas-2,0,Y65+1)))</f>
        <v/>
      </c>
      <c r="Z66" s="18" t="str" cm="1">
        <f t="array" aca="1" ref="Z66" ca="1">IF(OR(Y66=0,Y66=""),"",INDEX(misCriticidades,X66)&amp;"-"&amp;IFERROR(MATCH(Y66,miOrdenTarjeta,0),0))</f>
        <v/>
      </c>
      <c r="AA66" s="17" t="str">
        <f ca="1"/>
        <v/>
      </c>
      <c r="AB66" s="18">
        <f t="shared" ca="1" si="15"/>
        <v>1</v>
      </c>
      <c r="AC66" s="18" t="str">
        <f t="shared" ca="1" si="5"/>
        <v/>
      </c>
      <c r="AD66" s="18" t="str" cm="1">
        <f t="array" aca="1" ref="AD66" ca="1">IF(AC66="","",IF(AC66&lt;&gt;AC65,1,IF(AD65=misLíneas-2,0,AD65+1)))</f>
        <v/>
      </c>
      <c r="AE66" s="18" t="str" cm="1">
        <f t="array" aca="1" ref="AE66" ca="1">IF(OR(AD66=0,AD66=""),"",INDEX(misCriticidades,AC66)&amp;"-"&amp;IFERROR(MATCH(AD66,miOrdenTarjeta,0),0))</f>
        <v/>
      </c>
      <c r="AF66" s="17" t="str">
        <f ca="1"/>
        <v/>
      </c>
      <c r="AG66" s="18">
        <f t="shared" ca="1" si="16"/>
        <v>1</v>
      </c>
      <c r="AH66" s="18" t="str">
        <f t="shared" ca="1" si="6"/>
        <v/>
      </c>
      <c r="AI66" s="18" t="str" cm="1">
        <f t="array" aca="1" ref="AI66" ca="1">IF(AH66="","",IF(AH66&lt;&gt;AH65,1,IF(AI65=misLíneas-2,0,AI65+1)))</f>
        <v/>
      </c>
      <c r="AJ66" s="18" t="str" cm="1">
        <f t="array" aca="1" ref="AJ66" ca="1">IF(OR(AI66=0,AI66=""),"",INDEX(misCriticidades,AH66)&amp;"-"&amp;IFERROR(MATCH(AI66,miOrdenTarjeta,0),0))</f>
        <v/>
      </c>
      <c r="AK66" s="17" t="str">
        <f ca="1"/>
        <v/>
      </c>
      <c r="AL66" s="18">
        <f t="shared" ca="1" si="17"/>
        <v>1</v>
      </c>
      <c r="AM66" s="18" t="str">
        <f t="shared" ca="1" si="7"/>
        <v/>
      </c>
      <c r="AN66" s="18" t="str" cm="1">
        <f t="array" aca="1" ref="AN66" ca="1">IF(AM66="","",IF(AM66&lt;&gt;AM65,1,IF(AN65=misLíneas-2,0,AN65+1)))</f>
        <v/>
      </c>
      <c r="AO66" s="18" t="str" cm="1">
        <f t="array" aca="1" ref="AO66" ca="1">IF(OR(AN66=0,AN66=""),"",INDEX(misCriticidades,AM66)&amp;"-"&amp;IFERROR(MATCH(AN66,miOrdenTarjeta,0),0))</f>
        <v/>
      </c>
      <c r="AP66" s="17" t="str">
        <f ca="1"/>
        <v/>
      </c>
      <c r="AQ66" s="18">
        <f t="shared" ca="1" si="18"/>
        <v>1</v>
      </c>
      <c r="AR66" s="18" t="str">
        <f t="shared" ca="1" si="8"/>
        <v/>
      </c>
      <c r="AS66" s="18" t="str" cm="1">
        <f t="array" aca="1" ref="AS66" ca="1">IF(AR66="","",IF(AR66&lt;&gt;AR65,1,IF(AS65=misLíneas-2,0,AS65+1)))</f>
        <v/>
      </c>
      <c r="AT66" s="18" t="str" cm="1">
        <f t="array" aca="1" ref="AT66" ca="1">IF(OR(AS66=0,AS66=""),"",INDEX(misCriticidades,AR66)&amp;"-"&amp;IFERROR(MATCH(AS66,miOrdenTarjeta,0),0))</f>
        <v/>
      </c>
      <c r="AU66" s="17" t="str">
        <f ca="1"/>
        <v/>
      </c>
      <c r="AV66" s="18">
        <f t="shared" ca="1" si="19"/>
        <v>1</v>
      </c>
      <c r="AW66" s="18" t="str">
        <f t="shared" ca="1" si="9"/>
        <v/>
      </c>
      <c r="AX66" s="18" t="str" cm="1">
        <f t="array" aca="1" ref="AX66" ca="1">IF(AW66="","",IF(AW66&lt;&gt;AW65,1,IF(AX65=misLíneas-2,0,AX65+1)))</f>
        <v/>
      </c>
      <c r="AY66" s="18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7" t="str">
        <f ca="1"/>
        <v/>
      </c>
      <c r="C67" s="18">
        <f t="shared" ca="1" si="20"/>
        <v>1</v>
      </c>
      <c r="D67" s="18" t="str">
        <f t="shared" ref="D67:D98" ca="1" si="26">IF(C67&gt;C66,IFERROR(IF(F$1="v",SMALL(B$2:B$101,C67),LARGE(B$2:B$101,C67)),""),D66)</f>
        <v/>
      </c>
      <c r="E67" s="18" t="str" cm="1">
        <f t="array" aca="1" ref="E67" ca="1">IF(D67="","",IF(D67&lt;&gt;D66,1,IF(E66=misLíneas-2,0,E66+1)))</f>
        <v/>
      </c>
      <c r="F67" s="18" t="str" cm="1">
        <f t="array" aca="1" ref="F67" ca="1">IF(OR(E67=0,E67=""),"",INDEX(misCriticidades,D67)&amp;"-"&amp;IFERROR(MATCH(E67,miOrdenTarjeta,0),0))</f>
        <v/>
      </c>
      <c r="G67" s="17" t="str">
        <f ca="1"/>
        <v/>
      </c>
      <c r="H67" s="18">
        <f t="shared" ca="1" si="11"/>
        <v>1</v>
      </c>
      <c r="I67" s="18" t="str">
        <f t="shared" ref="I67:I98" ca="1" si="27">IF(H67&gt;H66,IFERROR(IF(K$1="v",SMALL(G$2:G$101,H67),LARGE(G$2:G$101,H67)),""),I66)</f>
        <v/>
      </c>
      <c r="J67" s="18" t="str" cm="1">
        <f t="array" aca="1" ref="J67" ca="1">IF(I67="","",IF(I67&lt;&gt;I66,1,IF(J66=misLíneas-2,0,J66+1)))</f>
        <v/>
      </c>
      <c r="K67" s="18" t="str" cm="1">
        <f t="array" aca="1" ref="K67" ca="1">IF(OR(J67=0,J67=""),"",INDEX(misCriticidades,I67)&amp;"-"&amp;IFERROR(MATCH(J67,miOrdenTarjeta,0),0))</f>
        <v/>
      </c>
      <c r="L67" s="17" t="str">
        <f ca="1"/>
        <v/>
      </c>
      <c r="M67" s="18">
        <f t="shared" ca="1" si="12"/>
        <v>1</v>
      </c>
      <c r="N67" s="18" t="str">
        <f t="shared" ref="N67:N98" ca="1" si="28">IF(M67&gt;M66,IFERROR(IF(P$1="v",SMALL(L$2:L$101,M67),LARGE(L$2:L$101,M67)),""),N66)</f>
        <v/>
      </c>
      <c r="O67" s="18" t="str" cm="1">
        <f t="array" aca="1" ref="O67" ca="1">IF(N67="","",IF(N67&lt;&gt;N66,1,IF(O66=misLíneas-2,0,O66+1)))</f>
        <v/>
      </c>
      <c r="P67" s="18" t="str" cm="1">
        <f t="array" aca="1" ref="P67" ca="1">IF(OR(O67=0,O67=""),"",INDEX(misCriticidades,N67)&amp;"-"&amp;IFERROR(MATCH(O67,miOrdenTarjeta,0),0))</f>
        <v/>
      </c>
      <c r="Q67" s="17" t="str">
        <f ca="1"/>
        <v/>
      </c>
      <c r="R67" s="18">
        <f t="shared" ca="1" si="13"/>
        <v>8</v>
      </c>
      <c r="S67" s="18">
        <f t="shared" ref="S67:S98" ca="1" si="29">IF(R67&gt;R66,IFERROR(IF(U$1="v",SMALL(Q$2:Q$101,R67),LARGE(Q$2:Q$101,R67)),""),S66)</f>
        <v>23</v>
      </c>
      <c r="T67" s="18" cm="1">
        <f t="array" aca="1" ref="T67" ca="1">IF(S67="","",IF(S67&lt;&gt;S66,1,IF(T66=misLíneas-2,0,T66+1)))</f>
        <v>2</v>
      </c>
      <c r="U67" s="18" t="str" cm="1">
        <f t="array" aca="1" ref="U67" ca="1">IF(OR(T67=0,T67=""),"",INDEX(misCriticidades,S67)&amp;"-"&amp;IFERROR(MATCH(T67,miOrdenTarjeta,0),0))</f>
        <v>1-2</v>
      </c>
      <c r="V67" s="17" t="str">
        <f ca="1"/>
        <v/>
      </c>
      <c r="W67" s="18">
        <f t="shared" ca="1" si="14"/>
        <v>1</v>
      </c>
      <c r="X67" s="18" t="str">
        <f t="shared" ref="X67:X98" ca="1" si="30">IF(W67&gt;W66,IFERROR(IF(Z$1="v",SMALL(V$2:V$101,W67),LARGE(V$2:V$101,W67)),""),X66)</f>
        <v/>
      </c>
      <c r="Y67" s="18" t="str" cm="1">
        <f t="array" aca="1" ref="Y67" ca="1">IF(X67="","",IF(X67&lt;&gt;X66,1,IF(Y66=misLíneas-2,0,Y66+1)))</f>
        <v/>
      </c>
      <c r="Z67" s="18" t="str" cm="1">
        <f t="array" aca="1" ref="Z67" ca="1">IF(OR(Y67=0,Y67=""),"",INDEX(misCriticidades,X67)&amp;"-"&amp;IFERROR(MATCH(Y67,miOrdenTarjeta,0),0))</f>
        <v/>
      </c>
      <c r="AA67" s="17" t="str">
        <f ca="1"/>
        <v/>
      </c>
      <c r="AB67" s="18">
        <f t="shared" ca="1" si="15"/>
        <v>1</v>
      </c>
      <c r="AC67" s="18" t="str">
        <f t="shared" ref="AC67:AC130" ca="1" si="31">IF(AB67&gt;AB66,IFERROR(IF(AE$1="v",SMALL(AA$2:AA$101,AB67),LARGE(AA$2:AA$101,AB67)),""),AC66)</f>
        <v/>
      </c>
      <c r="AD67" s="18" t="str" cm="1">
        <f t="array" aca="1" ref="AD67" ca="1">IF(AC67="","",IF(AC67&lt;&gt;AC66,1,IF(AD66=misLíneas-2,0,AD66+1)))</f>
        <v/>
      </c>
      <c r="AE67" s="18" t="str" cm="1">
        <f t="array" aca="1" ref="AE67" ca="1">IF(OR(AD67=0,AD67=""),"",INDEX(misCriticidades,AC67)&amp;"-"&amp;IFERROR(MATCH(AD67,miOrdenTarjeta,0),0))</f>
        <v/>
      </c>
      <c r="AF67" s="17" t="str">
        <f ca="1"/>
        <v/>
      </c>
      <c r="AG67" s="18">
        <f t="shared" ca="1" si="16"/>
        <v>1</v>
      </c>
      <c r="AH67" s="18" t="str">
        <f t="shared" ref="AH67:AH130" ca="1" si="32">IF(AG67&gt;AG66,IFERROR(IF(AJ$1="v",SMALL(AF$2:AF$101,AG67),LARGE(AF$2:AF$101,AG67)),""),AH66)</f>
        <v/>
      </c>
      <c r="AI67" s="18" t="str" cm="1">
        <f t="array" aca="1" ref="AI67" ca="1">IF(AH67="","",IF(AH67&lt;&gt;AH66,1,IF(AI66=misLíneas-2,0,AI66+1)))</f>
        <v/>
      </c>
      <c r="AJ67" s="18" t="str" cm="1">
        <f t="array" aca="1" ref="AJ67" ca="1">IF(OR(AI67=0,AI67=""),"",INDEX(misCriticidades,AH67)&amp;"-"&amp;IFERROR(MATCH(AI67,miOrdenTarjeta,0),0))</f>
        <v/>
      </c>
      <c r="AK67" s="17" t="str">
        <f ca="1"/>
        <v/>
      </c>
      <c r="AL67" s="18">
        <f t="shared" ca="1" si="17"/>
        <v>1</v>
      </c>
      <c r="AM67" s="18" t="str">
        <f t="shared" ref="AM67:AM130" ca="1" si="33">IF(AL67&gt;AL66,IFERROR(IF(AO$1="v",SMALL(AK$2:AK$101,AL67),LARGE(AK$2:AK$101,AL67)),""),AM66)</f>
        <v/>
      </c>
      <c r="AN67" s="18" t="str" cm="1">
        <f t="array" aca="1" ref="AN67" ca="1">IF(AM67="","",IF(AM67&lt;&gt;AM66,1,IF(AN66=misLíneas-2,0,AN66+1)))</f>
        <v/>
      </c>
      <c r="AO67" s="18" t="str" cm="1">
        <f t="array" aca="1" ref="AO67" ca="1">IF(OR(AN67=0,AN67=""),"",INDEX(misCriticidades,AM67)&amp;"-"&amp;IFERROR(MATCH(AN67,miOrdenTarjeta,0),0))</f>
        <v/>
      </c>
      <c r="AP67" s="17" t="str">
        <f ca="1"/>
        <v/>
      </c>
      <c r="AQ67" s="18">
        <f t="shared" ca="1" si="18"/>
        <v>1</v>
      </c>
      <c r="AR67" s="18" t="str">
        <f t="shared" ref="AR67:AR130" ca="1" si="34">IF(AQ67&gt;AQ66,IFERROR(IF(AT$1="v",SMALL(AP$2:AP$101,AQ67),LARGE(AP$2:AP$101,AQ67)),""),AR66)</f>
        <v/>
      </c>
      <c r="AS67" s="18" t="str" cm="1">
        <f t="array" aca="1" ref="AS67" ca="1">IF(AR67="","",IF(AR67&lt;&gt;AR66,1,IF(AS66=misLíneas-2,0,AS66+1)))</f>
        <v/>
      </c>
      <c r="AT67" s="18" t="str" cm="1">
        <f t="array" aca="1" ref="AT67" ca="1">IF(OR(AS67=0,AS67=""),"",INDEX(misCriticidades,AR67)&amp;"-"&amp;IFERROR(MATCH(AS67,miOrdenTarjeta,0),0))</f>
        <v/>
      </c>
      <c r="AU67" s="17" t="str">
        <f ca="1"/>
        <v/>
      </c>
      <c r="AV67" s="18">
        <f t="shared" ca="1" si="19"/>
        <v>1</v>
      </c>
      <c r="AW67" s="18" t="str">
        <f t="shared" ref="AW67:AW130" ca="1" si="35">IF(AV67&gt;AV66,IFERROR(IF(AY$1="v",SMALL(AU$2:AU$101,AV67),LARGE(AU$2:AU$101,AV67)),""),AW66)</f>
        <v/>
      </c>
      <c r="AX67" s="18" t="str" cm="1">
        <f t="array" aca="1" ref="AX67" ca="1">IF(AW67="","",IF(AW67&lt;&gt;AW66,1,IF(AX66=misLíneas-2,0,AX66+1)))</f>
        <v/>
      </c>
      <c r="AY67" s="18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7" t="str">
        <f ca="1"/>
        <v/>
      </c>
      <c r="C68" s="18">
        <f t="shared" ca="1" si="20"/>
        <v>1</v>
      </c>
      <c r="D68" s="18" t="str">
        <f t="shared" ca="1" si="26"/>
        <v/>
      </c>
      <c r="E68" s="18" t="str" cm="1">
        <f t="array" aca="1" ref="E68" ca="1">IF(D68="","",IF(D68&lt;&gt;D67,1,IF(E67=misLíneas-2,0,E67+1)))</f>
        <v/>
      </c>
      <c r="F68" s="18" t="str" cm="1">
        <f t="array" aca="1" ref="F68" ca="1">IF(OR(E68=0,E68=""),"",INDEX(misCriticidades,D68)&amp;"-"&amp;IFERROR(MATCH(E68,miOrdenTarjeta,0),0))</f>
        <v/>
      </c>
      <c r="G68" s="17" t="str">
        <f ca="1"/>
        <v/>
      </c>
      <c r="H68" s="18">
        <f t="shared" ref="H68:H131" ca="1" si="36">H67--(J67=0)</f>
        <v>1</v>
      </c>
      <c r="I68" s="18" t="str">
        <f t="shared" ca="1" si="27"/>
        <v/>
      </c>
      <c r="J68" s="18" t="str" cm="1">
        <f t="array" aca="1" ref="J68" ca="1">IF(I68="","",IF(I68&lt;&gt;I67,1,IF(J67=misLíneas-2,0,J67+1)))</f>
        <v/>
      </c>
      <c r="K68" s="18" t="str" cm="1">
        <f t="array" aca="1" ref="K68" ca="1">IF(OR(J68=0,J68=""),"",INDEX(misCriticidades,I68)&amp;"-"&amp;IFERROR(MATCH(J68,miOrdenTarjeta,0),0))</f>
        <v/>
      </c>
      <c r="L68" s="17" t="str">
        <f ca="1"/>
        <v/>
      </c>
      <c r="M68" s="18">
        <f t="shared" ref="M68:M131" ca="1" si="37">M67--(O67=0)</f>
        <v>1</v>
      </c>
      <c r="N68" s="18" t="str">
        <f t="shared" ca="1" si="28"/>
        <v/>
      </c>
      <c r="O68" s="18" t="str" cm="1">
        <f t="array" aca="1" ref="O68" ca="1">IF(N68="","",IF(N68&lt;&gt;N67,1,IF(O67=misLíneas-2,0,O67+1)))</f>
        <v/>
      </c>
      <c r="P68" s="18" t="str" cm="1">
        <f t="array" aca="1" ref="P68" ca="1">IF(OR(O68=0,O68=""),"",INDEX(misCriticidades,N68)&amp;"-"&amp;IFERROR(MATCH(O68,miOrdenTarjeta,0),0))</f>
        <v/>
      </c>
      <c r="Q68" s="17" t="str">
        <f ca="1"/>
        <v/>
      </c>
      <c r="R68" s="18">
        <f t="shared" ref="R68:R131" ca="1" si="38">R67--(T67=0)</f>
        <v>8</v>
      </c>
      <c r="S68" s="18">
        <f t="shared" ca="1" si="29"/>
        <v>23</v>
      </c>
      <c r="T68" s="18" cm="1">
        <f t="array" aca="1" ref="T68" ca="1">IF(S68="","",IF(S68&lt;&gt;S67,1,IF(T67=misLíneas-2,0,T67+1)))</f>
        <v>3</v>
      </c>
      <c r="U68" s="18" t="str" cm="1">
        <f t="array" aca="1" ref="U68" ca="1">IF(OR(T68=0,T68=""),"",INDEX(misCriticidades,S68)&amp;"-"&amp;IFERROR(MATCH(T68,miOrdenTarjeta,0),0))</f>
        <v>1-3</v>
      </c>
      <c r="V68" s="17" t="str">
        <f ca="1"/>
        <v/>
      </c>
      <c r="W68" s="18">
        <f t="shared" ref="W68:W131" ca="1" si="39">W67--(Y67=0)</f>
        <v>1</v>
      </c>
      <c r="X68" s="18" t="str">
        <f t="shared" ca="1" si="30"/>
        <v/>
      </c>
      <c r="Y68" s="18" t="str" cm="1">
        <f t="array" aca="1" ref="Y68" ca="1">IF(X68="","",IF(X68&lt;&gt;X67,1,IF(Y67=misLíneas-2,0,Y67+1)))</f>
        <v/>
      </c>
      <c r="Z68" s="18" t="str" cm="1">
        <f t="array" aca="1" ref="Z68" ca="1">IF(OR(Y68=0,Y68=""),"",INDEX(misCriticidades,X68)&amp;"-"&amp;IFERROR(MATCH(Y68,miOrdenTarjeta,0),0))</f>
        <v/>
      </c>
      <c r="AA68" s="17" t="str">
        <f ca="1"/>
        <v/>
      </c>
      <c r="AB68" s="18">
        <f t="shared" ref="AB68:AB131" ca="1" si="40">AB67--(AD67=0)</f>
        <v>1</v>
      </c>
      <c r="AC68" s="18" t="str">
        <f t="shared" ca="1" si="31"/>
        <v/>
      </c>
      <c r="AD68" s="18" t="str" cm="1">
        <f t="array" aca="1" ref="AD68" ca="1">IF(AC68="","",IF(AC68&lt;&gt;AC67,1,IF(AD67=misLíneas-2,0,AD67+1)))</f>
        <v/>
      </c>
      <c r="AE68" s="18" t="str" cm="1">
        <f t="array" aca="1" ref="AE68" ca="1">IF(OR(AD68=0,AD68=""),"",INDEX(misCriticidades,AC68)&amp;"-"&amp;IFERROR(MATCH(AD68,miOrdenTarjeta,0),0))</f>
        <v/>
      </c>
      <c r="AF68" s="17" t="str">
        <f ca="1"/>
        <v/>
      </c>
      <c r="AG68" s="18">
        <f t="shared" ref="AG68:AG131" ca="1" si="41">AG67--(AI67=0)</f>
        <v>1</v>
      </c>
      <c r="AH68" s="18" t="str">
        <f t="shared" ca="1" si="32"/>
        <v/>
      </c>
      <c r="AI68" s="18" t="str" cm="1">
        <f t="array" aca="1" ref="AI68" ca="1">IF(AH68="","",IF(AH68&lt;&gt;AH67,1,IF(AI67=misLíneas-2,0,AI67+1)))</f>
        <v/>
      </c>
      <c r="AJ68" s="18" t="str" cm="1">
        <f t="array" aca="1" ref="AJ68" ca="1">IF(OR(AI68=0,AI68=""),"",INDEX(misCriticidades,AH68)&amp;"-"&amp;IFERROR(MATCH(AI68,miOrdenTarjeta,0),0))</f>
        <v/>
      </c>
      <c r="AK68" s="17" t="str">
        <f ca="1"/>
        <v/>
      </c>
      <c r="AL68" s="18">
        <f t="shared" ref="AL68:AL131" ca="1" si="42">AL67--(AN67=0)</f>
        <v>1</v>
      </c>
      <c r="AM68" s="18" t="str">
        <f t="shared" ca="1" si="33"/>
        <v/>
      </c>
      <c r="AN68" s="18" t="str" cm="1">
        <f t="array" aca="1" ref="AN68" ca="1">IF(AM68="","",IF(AM68&lt;&gt;AM67,1,IF(AN67=misLíneas-2,0,AN67+1)))</f>
        <v/>
      </c>
      <c r="AO68" s="18" t="str" cm="1">
        <f t="array" aca="1" ref="AO68" ca="1">IF(OR(AN68=0,AN68=""),"",INDEX(misCriticidades,AM68)&amp;"-"&amp;IFERROR(MATCH(AN68,miOrdenTarjeta,0),0))</f>
        <v/>
      </c>
      <c r="AP68" s="17" t="str">
        <f ca="1"/>
        <v/>
      </c>
      <c r="AQ68" s="18">
        <f t="shared" ref="AQ68:AQ131" ca="1" si="43">AQ67--(AS67=0)</f>
        <v>1</v>
      </c>
      <c r="AR68" s="18" t="str">
        <f t="shared" ca="1" si="34"/>
        <v/>
      </c>
      <c r="AS68" s="18" t="str" cm="1">
        <f t="array" aca="1" ref="AS68" ca="1">IF(AR68="","",IF(AR68&lt;&gt;AR67,1,IF(AS67=misLíneas-2,0,AS67+1)))</f>
        <v/>
      </c>
      <c r="AT68" s="18" t="str" cm="1">
        <f t="array" aca="1" ref="AT68" ca="1">IF(OR(AS68=0,AS68=""),"",INDEX(misCriticidades,AR68)&amp;"-"&amp;IFERROR(MATCH(AS68,miOrdenTarjeta,0),0))</f>
        <v/>
      </c>
      <c r="AU68" s="17" t="str">
        <f ca="1"/>
        <v/>
      </c>
      <c r="AV68" s="18">
        <f t="shared" ref="AV68:AV131" ca="1" si="44">AV67--(AX67=0)</f>
        <v>1</v>
      </c>
      <c r="AW68" s="18" t="str">
        <f t="shared" ca="1" si="35"/>
        <v/>
      </c>
      <c r="AX68" s="18" t="str" cm="1">
        <f t="array" aca="1" ref="AX68" ca="1">IF(AW68="","",IF(AW68&lt;&gt;AW67,1,IF(AX67=misLíneas-2,0,AX67+1)))</f>
        <v/>
      </c>
      <c r="AY68" s="18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7" t="str">
        <f ca="1"/>
        <v/>
      </c>
      <c r="C69" s="18">
        <f t="shared" ca="1" si="20"/>
        <v>1</v>
      </c>
      <c r="D69" s="18" t="str">
        <f t="shared" ca="1" si="26"/>
        <v/>
      </c>
      <c r="E69" s="18" t="str" cm="1">
        <f t="array" aca="1" ref="E69" ca="1">IF(D69="","",IF(D69&lt;&gt;D68,1,IF(E68=misLíneas-2,0,E68+1)))</f>
        <v/>
      </c>
      <c r="F69" s="18" t="str" cm="1">
        <f t="array" aca="1" ref="F69" ca="1">IF(OR(E69=0,E69=""),"",INDEX(misCriticidades,D69)&amp;"-"&amp;IFERROR(MATCH(E69,miOrdenTarjeta,0),0))</f>
        <v/>
      </c>
      <c r="G69" s="17" t="str">
        <f ca="1"/>
        <v/>
      </c>
      <c r="H69" s="18">
        <f t="shared" ca="1" si="36"/>
        <v>1</v>
      </c>
      <c r="I69" s="18" t="str">
        <f t="shared" ca="1" si="27"/>
        <v/>
      </c>
      <c r="J69" s="18" t="str" cm="1">
        <f t="array" aca="1" ref="J69" ca="1">IF(I69="","",IF(I69&lt;&gt;I68,1,IF(J68=misLíneas-2,0,J68+1)))</f>
        <v/>
      </c>
      <c r="K69" s="18" t="str" cm="1">
        <f t="array" aca="1" ref="K69" ca="1">IF(OR(J69=0,J69=""),"",INDEX(misCriticidades,I69)&amp;"-"&amp;IFERROR(MATCH(J69,miOrdenTarjeta,0),0))</f>
        <v/>
      </c>
      <c r="L69" s="17" t="str">
        <f ca="1"/>
        <v/>
      </c>
      <c r="M69" s="18">
        <f t="shared" ca="1" si="37"/>
        <v>1</v>
      </c>
      <c r="N69" s="18" t="str">
        <f t="shared" ca="1" si="28"/>
        <v/>
      </c>
      <c r="O69" s="18" t="str" cm="1">
        <f t="array" aca="1" ref="O69" ca="1">IF(N69="","",IF(N69&lt;&gt;N68,1,IF(O68=misLíneas-2,0,O68+1)))</f>
        <v/>
      </c>
      <c r="P69" s="18" t="str" cm="1">
        <f t="array" aca="1" ref="P69" ca="1">IF(OR(O69=0,O69=""),"",INDEX(misCriticidades,N69)&amp;"-"&amp;IFERROR(MATCH(O69,miOrdenTarjeta,0),0))</f>
        <v/>
      </c>
      <c r="Q69" s="17" t="str">
        <f ca="1"/>
        <v/>
      </c>
      <c r="R69" s="18">
        <f t="shared" ca="1" si="38"/>
        <v>8</v>
      </c>
      <c r="S69" s="18">
        <f t="shared" ca="1" si="29"/>
        <v>23</v>
      </c>
      <c r="T69" s="18" cm="1">
        <f t="array" aca="1" ref="T69" ca="1">IF(S69="","",IF(S69&lt;&gt;S68,1,IF(T68=misLíneas-2,0,T68+1)))</f>
        <v>4</v>
      </c>
      <c r="U69" s="18" t="str" cm="1">
        <f t="array" aca="1" ref="U69" ca="1">IF(OR(T69=0,T69=""),"",INDEX(misCriticidades,S69)&amp;"-"&amp;IFERROR(MATCH(T69,miOrdenTarjeta,0),0))</f>
        <v>1-4</v>
      </c>
      <c r="V69" s="17" t="str">
        <f ca="1"/>
        <v/>
      </c>
      <c r="W69" s="18">
        <f t="shared" ca="1" si="39"/>
        <v>1</v>
      </c>
      <c r="X69" s="18" t="str">
        <f t="shared" ca="1" si="30"/>
        <v/>
      </c>
      <c r="Y69" s="18" t="str" cm="1">
        <f t="array" aca="1" ref="Y69" ca="1">IF(X69="","",IF(X69&lt;&gt;X68,1,IF(Y68=misLíneas-2,0,Y68+1)))</f>
        <v/>
      </c>
      <c r="Z69" s="18" t="str" cm="1">
        <f t="array" aca="1" ref="Z69" ca="1">IF(OR(Y69=0,Y69=""),"",INDEX(misCriticidades,X69)&amp;"-"&amp;IFERROR(MATCH(Y69,miOrdenTarjeta,0),0))</f>
        <v/>
      </c>
      <c r="AA69" s="17" t="str">
        <f ca="1"/>
        <v/>
      </c>
      <c r="AB69" s="18">
        <f t="shared" ca="1" si="40"/>
        <v>1</v>
      </c>
      <c r="AC69" s="18" t="str">
        <f t="shared" ca="1" si="31"/>
        <v/>
      </c>
      <c r="AD69" s="18" t="str" cm="1">
        <f t="array" aca="1" ref="AD69" ca="1">IF(AC69="","",IF(AC69&lt;&gt;AC68,1,IF(AD68=misLíneas-2,0,AD68+1)))</f>
        <v/>
      </c>
      <c r="AE69" s="18" t="str" cm="1">
        <f t="array" aca="1" ref="AE69" ca="1">IF(OR(AD69=0,AD69=""),"",INDEX(misCriticidades,AC69)&amp;"-"&amp;IFERROR(MATCH(AD69,miOrdenTarjeta,0),0))</f>
        <v/>
      </c>
      <c r="AF69" s="17" t="str">
        <f ca="1"/>
        <v/>
      </c>
      <c r="AG69" s="18">
        <f t="shared" ca="1" si="41"/>
        <v>1</v>
      </c>
      <c r="AH69" s="18" t="str">
        <f t="shared" ca="1" si="32"/>
        <v/>
      </c>
      <c r="AI69" s="18" t="str" cm="1">
        <f t="array" aca="1" ref="AI69" ca="1">IF(AH69="","",IF(AH69&lt;&gt;AH68,1,IF(AI68=misLíneas-2,0,AI68+1)))</f>
        <v/>
      </c>
      <c r="AJ69" s="18" t="str" cm="1">
        <f t="array" aca="1" ref="AJ69" ca="1">IF(OR(AI69=0,AI69=""),"",INDEX(misCriticidades,AH69)&amp;"-"&amp;IFERROR(MATCH(AI69,miOrdenTarjeta,0),0))</f>
        <v/>
      </c>
      <c r="AK69" s="17" t="str">
        <f ca="1"/>
        <v/>
      </c>
      <c r="AL69" s="18">
        <f t="shared" ca="1" si="42"/>
        <v>1</v>
      </c>
      <c r="AM69" s="18" t="str">
        <f t="shared" ca="1" si="33"/>
        <v/>
      </c>
      <c r="AN69" s="18" t="str" cm="1">
        <f t="array" aca="1" ref="AN69" ca="1">IF(AM69="","",IF(AM69&lt;&gt;AM68,1,IF(AN68=misLíneas-2,0,AN68+1)))</f>
        <v/>
      </c>
      <c r="AO69" s="18" t="str" cm="1">
        <f t="array" aca="1" ref="AO69" ca="1">IF(OR(AN69=0,AN69=""),"",INDEX(misCriticidades,AM69)&amp;"-"&amp;IFERROR(MATCH(AN69,miOrdenTarjeta,0),0))</f>
        <v/>
      </c>
      <c r="AP69" s="17" t="str">
        <f ca="1"/>
        <v/>
      </c>
      <c r="AQ69" s="18">
        <f t="shared" ca="1" si="43"/>
        <v>1</v>
      </c>
      <c r="AR69" s="18" t="str">
        <f t="shared" ca="1" si="34"/>
        <v/>
      </c>
      <c r="AS69" s="18" t="str" cm="1">
        <f t="array" aca="1" ref="AS69" ca="1">IF(AR69="","",IF(AR69&lt;&gt;AR68,1,IF(AS68=misLíneas-2,0,AS68+1)))</f>
        <v/>
      </c>
      <c r="AT69" s="18" t="str" cm="1">
        <f t="array" aca="1" ref="AT69" ca="1">IF(OR(AS69=0,AS69=""),"",INDEX(misCriticidades,AR69)&amp;"-"&amp;IFERROR(MATCH(AS69,miOrdenTarjeta,0),0))</f>
        <v/>
      </c>
      <c r="AU69" s="17" t="str">
        <f ca="1"/>
        <v/>
      </c>
      <c r="AV69" s="18">
        <f t="shared" ca="1" si="44"/>
        <v>1</v>
      </c>
      <c r="AW69" s="18" t="str">
        <f t="shared" ca="1" si="35"/>
        <v/>
      </c>
      <c r="AX69" s="18" t="str" cm="1">
        <f t="array" aca="1" ref="AX69" ca="1">IF(AW69="","",IF(AW69&lt;&gt;AW68,1,IF(AX68=misLíneas-2,0,AX68+1)))</f>
        <v/>
      </c>
      <c r="AY69" s="18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7" t="str">
        <f ca="1"/>
        <v/>
      </c>
      <c r="C70" s="18">
        <f t="shared" ca="1" si="20"/>
        <v>1</v>
      </c>
      <c r="D70" s="18" t="str">
        <f t="shared" ca="1" si="26"/>
        <v/>
      </c>
      <c r="E70" s="18" t="str" cm="1">
        <f t="array" aca="1" ref="E70" ca="1">IF(D70="","",IF(D70&lt;&gt;D69,1,IF(E69=misLíneas-2,0,E69+1)))</f>
        <v/>
      </c>
      <c r="F70" s="18" t="str" cm="1">
        <f t="array" aca="1" ref="F70" ca="1">IF(OR(E70=0,E70=""),"",INDEX(misCriticidades,D70)&amp;"-"&amp;IFERROR(MATCH(E70,miOrdenTarjeta,0),0))</f>
        <v/>
      </c>
      <c r="G70" s="17" t="str">
        <f ca="1"/>
        <v/>
      </c>
      <c r="H70" s="18">
        <f t="shared" ca="1" si="36"/>
        <v>1</v>
      </c>
      <c r="I70" s="18" t="str">
        <f t="shared" ca="1" si="27"/>
        <v/>
      </c>
      <c r="J70" s="18" t="str" cm="1">
        <f t="array" aca="1" ref="J70" ca="1">IF(I70="","",IF(I70&lt;&gt;I69,1,IF(J69=misLíneas-2,0,J69+1)))</f>
        <v/>
      </c>
      <c r="K70" s="18" t="str" cm="1">
        <f t="array" aca="1" ref="K70" ca="1">IF(OR(J70=0,J70=""),"",INDEX(misCriticidades,I70)&amp;"-"&amp;IFERROR(MATCH(J70,miOrdenTarjeta,0),0))</f>
        <v/>
      </c>
      <c r="L70" s="17" t="str">
        <f ca="1"/>
        <v/>
      </c>
      <c r="M70" s="18">
        <f t="shared" ca="1" si="37"/>
        <v>1</v>
      </c>
      <c r="N70" s="18" t="str">
        <f t="shared" ca="1" si="28"/>
        <v/>
      </c>
      <c r="O70" s="18" t="str" cm="1">
        <f t="array" aca="1" ref="O70" ca="1">IF(N70="","",IF(N70&lt;&gt;N69,1,IF(O69=misLíneas-2,0,O69+1)))</f>
        <v/>
      </c>
      <c r="P70" s="18" t="str" cm="1">
        <f t="array" aca="1" ref="P70" ca="1">IF(OR(O70=0,O70=""),"",INDEX(misCriticidades,N70)&amp;"-"&amp;IFERROR(MATCH(O70,miOrdenTarjeta,0),0))</f>
        <v/>
      </c>
      <c r="Q70" s="17" t="str">
        <f ca="1"/>
        <v/>
      </c>
      <c r="R70" s="18">
        <f t="shared" ca="1" si="38"/>
        <v>8</v>
      </c>
      <c r="S70" s="18">
        <f t="shared" ca="1" si="29"/>
        <v>23</v>
      </c>
      <c r="T70" s="18" cm="1">
        <f t="array" aca="1" ref="T70" ca="1">IF(S70="","",IF(S70&lt;&gt;S69,1,IF(T69=misLíneas-2,0,T69+1)))</f>
        <v>5</v>
      </c>
      <c r="U70" s="18" t="str" cm="1">
        <f t="array" aca="1" ref="U70" ca="1">IF(OR(T70=0,T70=""),"",INDEX(misCriticidades,S70)&amp;"-"&amp;IFERROR(MATCH(T70,miOrdenTarjeta,0),0))</f>
        <v>1-5</v>
      </c>
      <c r="V70" s="17" t="str">
        <f ca="1"/>
        <v/>
      </c>
      <c r="W70" s="18">
        <f t="shared" ca="1" si="39"/>
        <v>1</v>
      </c>
      <c r="X70" s="18" t="str">
        <f t="shared" ca="1" si="30"/>
        <v/>
      </c>
      <c r="Y70" s="18" t="str" cm="1">
        <f t="array" aca="1" ref="Y70" ca="1">IF(X70="","",IF(X70&lt;&gt;X69,1,IF(Y69=misLíneas-2,0,Y69+1)))</f>
        <v/>
      </c>
      <c r="Z70" s="18" t="str" cm="1">
        <f t="array" aca="1" ref="Z70" ca="1">IF(OR(Y70=0,Y70=""),"",INDEX(misCriticidades,X70)&amp;"-"&amp;IFERROR(MATCH(Y70,miOrdenTarjeta,0),0))</f>
        <v/>
      </c>
      <c r="AA70" s="17" t="str">
        <f ca="1"/>
        <v/>
      </c>
      <c r="AB70" s="18">
        <f t="shared" ca="1" si="40"/>
        <v>1</v>
      </c>
      <c r="AC70" s="18" t="str">
        <f t="shared" ca="1" si="31"/>
        <v/>
      </c>
      <c r="AD70" s="18" t="str" cm="1">
        <f t="array" aca="1" ref="AD70" ca="1">IF(AC70="","",IF(AC70&lt;&gt;AC69,1,IF(AD69=misLíneas-2,0,AD69+1)))</f>
        <v/>
      </c>
      <c r="AE70" s="18" t="str" cm="1">
        <f t="array" aca="1" ref="AE70" ca="1">IF(OR(AD70=0,AD70=""),"",INDEX(misCriticidades,AC70)&amp;"-"&amp;IFERROR(MATCH(AD70,miOrdenTarjeta,0),0))</f>
        <v/>
      </c>
      <c r="AF70" s="17" t="str">
        <f ca="1"/>
        <v/>
      </c>
      <c r="AG70" s="18">
        <f t="shared" ca="1" si="41"/>
        <v>1</v>
      </c>
      <c r="AH70" s="18" t="str">
        <f t="shared" ca="1" si="32"/>
        <v/>
      </c>
      <c r="AI70" s="18" t="str" cm="1">
        <f t="array" aca="1" ref="AI70" ca="1">IF(AH70="","",IF(AH70&lt;&gt;AH69,1,IF(AI69=misLíneas-2,0,AI69+1)))</f>
        <v/>
      </c>
      <c r="AJ70" s="18" t="str" cm="1">
        <f t="array" aca="1" ref="AJ70" ca="1">IF(OR(AI70=0,AI70=""),"",INDEX(misCriticidades,AH70)&amp;"-"&amp;IFERROR(MATCH(AI70,miOrdenTarjeta,0),0))</f>
        <v/>
      </c>
      <c r="AK70" s="17" t="str">
        <f ca="1"/>
        <v/>
      </c>
      <c r="AL70" s="18">
        <f t="shared" ca="1" si="42"/>
        <v>1</v>
      </c>
      <c r="AM70" s="18" t="str">
        <f t="shared" ca="1" si="33"/>
        <v/>
      </c>
      <c r="AN70" s="18" t="str" cm="1">
        <f t="array" aca="1" ref="AN70" ca="1">IF(AM70="","",IF(AM70&lt;&gt;AM69,1,IF(AN69=misLíneas-2,0,AN69+1)))</f>
        <v/>
      </c>
      <c r="AO70" s="18" t="str" cm="1">
        <f t="array" aca="1" ref="AO70" ca="1">IF(OR(AN70=0,AN70=""),"",INDEX(misCriticidades,AM70)&amp;"-"&amp;IFERROR(MATCH(AN70,miOrdenTarjeta,0),0))</f>
        <v/>
      </c>
      <c r="AP70" s="17" t="str">
        <f ca="1"/>
        <v/>
      </c>
      <c r="AQ70" s="18">
        <f t="shared" ca="1" si="43"/>
        <v>1</v>
      </c>
      <c r="AR70" s="18" t="str">
        <f t="shared" ca="1" si="34"/>
        <v/>
      </c>
      <c r="AS70" s="18" t="str" cm="1">
        <f t="array" aca="1" ref="AS70" ca="1">IF(AR70="","",IF(AR70&lt;&gt;AR69,1,IF(AS69=misLíneas-2,0,AS69+1)))</f>
        <v/>
      </c>
      <c r="AT70" s="18" t="str" cm="1">
        <f t="array" aca="1" ref="AT70" ca="1">IF(OR(AS70=0,AS70=""),"",INDEX(misCriticidades,AR70)&amp;"-"&amp;IFERROR(MATCH(AS70,miOrdenTarjeta,0),0))</f>
        <v/>
      </c>
      <c r="AU70" s="17" t="str">
        <f ca="1"/>
        <v/>
      </c>
      <c r="AV70" s="18">
        <f t="shared" ca="1" si="44"/>
        <v>1</v>
      </c>
      <c r="AW70" s="18" t="str">
        <f t="shared" ca="1" si="35"/>
        <v/>
      </c>
      <c r="AX70" s="18" t="str" cm="1">
        <f t="array" aca="1" ref="AX70" ca="1">IF(AW70="","",IF(AW70&lt;&gt;AW69,1,IF(AX69=misLíneas-2,0,AX69+1)))</f>
        <v/>
      </c>
      <c r="AY70" s="18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7" t="str">
        <f ca="1"/>
        <v/>
      </c>
      <c r="C71" s="18">
        <f t="shared" ca="1" si="20"/>
        <v>1</v>
      </c>
      <c r="D71" s="18" t="str">
        <f t="shared" ca="1" si="26"/>
        <v/>
      </c>
      <c r="E71" s="18" t="str" cm="1">
        <f t="array" aca="1" ref="E71" ca="1">IF(D71="","",IF(D71&lt;&gt;D70,1,IF(E70=misLíneas-2,0,E70+1)))</f>
        <v/>
      </c>
      <c r="F71" s="18" t="str" cm="1">
        <f t="array" aca="1" ref="F71" ca="1">IF(OR(E71=0,E71=""),"",INDEX(misCriticidades,D71)&amp;"-"&amp;IFERROR(MATCH(E71,miOrdenTarjeta,0),0))</f>
        <v/>
      </c>
      <c r="G71" s="17" t="str">
        <f ca="1"/>
        <v/>
      </c>
      <c r="H71" s="18">
        <f t="shared" ca="1" si="36"/>
        <v>1</v>
      </c>
      <c r="I71" s="18" t="str">
        <f t="shared" ca="1" si="27"/>
        <v/>
      </c>
      <c r="J71" s="18" t="str" cm="1">
        <f t="array" aca="1" ref="J71" ca="1">IF(I71="","",IF(I71&lt;&gt;I70,1,IF(J70=misLíneas-2,0,J70+1)))</f>
        <v/>
      </c>
      <c r="K71" s="18" t="str" cm="1">
        <f t="array" aca="1" ref="K71" ca="1">IF(OR(J71=0,J71=""),"",INDEX(misCriticidades,I71)&amp;"-"&amp;IFERROR(MATCH(J71,miOrdenTarjeta,0),0))</f>
        <v/>
      </c>
      <c r="L71" s="17" t="str">
        <f ca="1"/>
        <v/>
      </c>
      <c r="M71" s="18">
        <f t="shared" ca="1" si="37"/>
        <v>1</v>
      </c>
      <c r="N71" s="18" t="str">
        <f t="shared" ca="1" si="28"/>
        <v/>
      </c>
      <c r="O71" s="18" t="str" cm="1">
        <f t="array" aca="1" ref="O71" ca="1">IF(N71="","",IF(N71&lt;&gt;N70,1,IF(O70=misLíneas-2,0,O70+1)))</f>
        <v/>
      </c>
      <c r="P71" s="18" t="str" cm="1">
        <f t="array" aca="1" ref="P71" ca="1">IF(OR(O71=0,O71=""),"",INDEX(misCriticidades,N71)&amp;"-"&amp;IFERROR(MATCH(O71,miOrdenTarjeta,0),0))</f>
        <v/>
      </c>
      <c r="Q71" s="17" t="str">
        <f ca="1"/>
        <v/>
      </c>
      <c r="R71" s="18">
        <f t="shared" ca="1" si="38"/>
        <v>8</v>
      </c>
      <c r="S71" s="18">
        <f t="shared" ca="1" si="29"/>
        <v>23</v>
      </c>
      <c r="T71" s="18" cm="1">
        <f t="array" aca="1" ref="T71" ca="1">IF(S71="","",IF(S71&lt;&gt;S70,1,IF(T70=misLíneas-2,0,T70+1)))</f>
        <v>6</v>
      </c>
      <c r="U71" s="18" t="str" cm="1">
        <f t="array" aca="1" ref="U71" ca="1">IF(OR(T71=0,T71=""),"",INDEX(misCriticidades,S71)&amp;"-"&amp;IFERROR(MATCH(T71,miOrdenTarjeta,0),0))</f>
        <v>1-6</v>
      </c>
      <c r="V71" s="17" t="str">
        <f ca="1"/>
        <v/>
      </c>
      <c r="W71" s="18">
        <f t="shared" ca="1" si="39"/>
        <v>1</v>
      </c>
      <c r="X71" s="18" t="str">
        <f t="shared" ca="1" si="30"/>
        <v/>
      </c>
      <c r="Y71" s="18" t="str" cm="1">
        <f t="array" aca="1" ref="Y71" ca="1">IF(X71="","",IF(X71&lt;&gt;X70,1,IF(Y70=misLíneas-2,0,Y70+1)))</f>
        <v/>
      </c>
      <c r="Z71" s="18" t="str" cm="1">
        <f t="array" aca="1" ref="Z71" ca="1">IF(OR(Y71=0,Y71=""),"",INDEX(misCriticidades,X71)&amp;"-"&amp;IFERROR(MATCH(Y71,miOrdenTarjeta,0),0))</f>
        <v/>
      </c>
      <c r="AA71" s="17" t="str">
        <f ca="1"/>
        <v/>
      </c>
      <c r="AB71" s="18">
        <f t="shared" ca="1" si="40"/>
        <v>1</v>
      </c>
      <c r="AC71" s="18" t="str">
        <f t="shared" ca="1" si="31"/>
        <v/>
      </c>
      <c r="AD71" s="18" t="str" cm="1">
        <f t="array" aca="1" ref="AD71" ca="1">IF(AC71="","",IF(AC71&lt;&gt;AC70,1,IF(AD70=misLíneas-2,0,AD70+1)))</f>
        <v/>
      </c>
      <c r="AE71" s="18" t="str" cm="1">
        <f t="array" aca="1" ref="AE71" ca="1">IF(OR(AD71=0,AD71=""),"",INDEX(misCriticidades,AC71)&amp;"-"&amp;IFERROR(MATCH(AD71,miOrdenTarjeta,0),0))</f>
        <v/>
      </c>
      <c r="AF71" s="17" t="str">
        <f ca="1"/>
        <v/>
      </c>
      <c r="AG71" s="18">
        <f t="shared" ca="1" si="41"/>
        <v>1</v>
      </c>
      <c r="AH71" s="18" t="str">
        <f t="shared" ca="1" si="32"/>
        <v/>
      </c>
      <c r="AI71" s="18" t="str" cm="1">
        <f t="array" aca="1" ref="AI71" ca="1">IF(AH71="","",IF(AH71&lt;&gt;AH70,1,IF(AI70=misLíneas-2,0,AI70+1)))</f>
        <v/>
      </c>
      <c r="AJ71" s="18" t="str" cm="1">
        <f t="array" aca="1" ref="AJ71" ca="1">IF(OR(AI71=0,AI71=""),"",INDEX(misCriticidades,AH71)&amp;"-"&amp;IFERROR(MATCH(AI71,miOrdenTarjeta,0),0))</f>
        <v/>
      </c>
      <c r="AK71" s="17" t="str">
        <f ca="1"/>
        <v/>
      </c>
      <c r="AL71" s="18">
        <f t="shared" ca="1" si="42"/>
        <v>1</v>
      </c>
      <c r="AM71" s="18" t="str">
        <f t="shared" ca="1" si="33"/>
        <v/>
      </c>
      <c r="AN71" s="18" t="str" cm="1">
        <f t="array" aca="1" ref="AN71" ca="1">IF(AM71="","",IF(AM71&lt;&gt;AM70,1,IF(AN70=misLíneas-2,0,AN70+1)))</f>
        <v/>
      </c>
      <c r="AO71" s="18" t="str" cm="1">
        <f t="array" aca="1" ref="AO71" ca="1">IF(OR(AN71=0,AN71=""),"",INDEX(misCriticidades,AM71)&amp;"-"&amp;IFERROR(MATCH(AN71,miOrdenTarjeta,0),0))</f>
        <v/>
      </c>
      <c r="AP71" s="17" t="str">
        <f ca="1"/>
        <v/>
      </c>
      <c r="AQ71" s="18">
        <f t="shared" ca="1" si="43"/>
        <v>1</v>
      </c>
      <c r="AR71" s="18" t="str">
        <f t="shared" ca="1" si="34"/>
        <v/>
      </c>
      <c r="AS71" s="18" t="str" cm="1">
        <f t="array" aca="1" ref="AS71" ca="1">IF(AR71="","",IF(AR71&lt;&gt;AR70,1,IF(AS70=misLíneas-2,0,AS70+1)))</f>
        <v/>
      </c>
      <c r="AT71" s="18" t="str" cm="1">
        <f t="array" aca="1" ref="AT71" ca="1">IF(OR(AS71=0,AS71=""),"",INDEX(misCriticidades,AR71)&amp;"-"&amp;IFERROR(MATCH(AS71,miOrdenTarjeta,0),0))</f>
        <v/>
      </c>
      <c r="AU71" s="17" t="str">
        <f ca="1"/>
        <v/>
      </c>
      <c r="AV71" s="18">
        <f t="shared" ca="1" si="44"/>
        <v>1</v>
      </c>
      <c r="AW71" s="18" t="str">
        <f t="shared" ca="1" si="35"/>
        <v/>
      </c>
      <c r="AX71" s="18" t="str" cm="1">
        <f t="array" aca="1" ref="AX71" ca="1">IF(AW71="","",IF(AW71&lt;&gt;AW70,1,IF(AX70=misLíneas-2,0,AX70+1)))</f>
        <v/>
      </c>
      <c r="AY71" s="18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7" t="str">
        <f ca="1"/>
        <v/>
      </c>
      <c r="C72" s="18">
        <f t="shared" ca="1" si="20"/>
        <v>1</v>
      </c>
      <c r="D72" s="18" t="str">
        <f t="shared" ca="1" si="26"/>
        <v/>
      </c>
      <c r="E72" s="18" t="str" cm="1">
        <f t="array" aca="1" ref="E72" ca="1">IF(D72="","",IF(D72&lt;&gt;D71,1,IF(E71=misLíneas-2,0,E71+1)))</f>
        <v/>
      </c>
      <c r="F72" s="18" t="str" cm="1">
        <f t="array" aca="1" ref="F72" ca="1">IF(OR(E72=0,E72=""),"",INDEX(misCriticidades,D72)&amp;"-"&amp;IFERROR(MATCH(E72,miOrdenTarjeta,0),0))</f>
        <v/>
      </c>
      <c r="G72" s="17" t="str">
        <f ca="1"/>
        <v/>
      </c>
      <c r="H72" s="18">
        <f t="shared" ca="1" si="36"/>
        <v>1</v>
      </c>
      <c r="I72" s="18" t="str">
        <f t="shared" ca="1" si="27"/>
        <v/>
      </c>
      <c r="J72" s="18" t="str" cm="1">
        <f t="array" aca="1" ref="J72" ca="1">IF(I72="","",IF(I72&lt;&gt;I71,1,IF(J71=misLíneas-2,0,J71+1)))</f>
        <v/>
      </c>
      <c r="K72" s="18" t="str" cm="1">
        <f t="array" aca="1" ref="K72" ca="1">IF(OR(J72=0,J72=""),"",INDEX(misCriticidades,I72)&amp;"-"&amp;IFERROR(MATCH(J72,miOrdenTarjeta,0),0))</f>
        <v/>
      </c>
      <c r="L72" s="17" t="str">
        <f ca="1"/>
        <v/>
      </c>
      <c r="M72" s="18">
        <f t="shared" ca="1" si="37"/>
        <v>1</v>
      </c>
      <c r="N72" s="18" t="str">
        <f t="shared" ca="1" si="28"/>
        <v/>
      </c>
      <c r="O72" s="18" t="str" cm="1">
        <f t="array" aca="1" ref="O72" ca="1">IF(N72="","",IF(N72&lt;&gt;N71,1,IF(O71=misLíneas-2,0,O71+1)))</f>
        <v/>
      </c>
      <c r="P72" s="18" t="str" cm="1">
        <f t="array" aca="1" ref="P72" ca="1">IF(OR(O72=0,O72=""),"",INDEX(misCriticidades,N72)&amp;"-"&amp;IFERROR(MATCH(O72,miOrdenTarjeta,0),0))</f>
        <v/>
      </c>
      <c r="Q72" s="17" t="str">
        <f ca="1"/>
        <v/>
      </c>
      <c r="R72" s="18">
        <f t="shared" ca="1" si="38"/>
        <v>8</v>
      </c>
      <c r="S72" s="18">
        <f t="shared" ca="1" si="29"/>
        <v>23</v>
      </c>
      <c r="T72" s="18" cm="1">
        <f t="array" aca="1" ref="T72" ca="1">IF(S72="","",IF(S72&lt;&gt;S71,1,IF(T71=misLíneas-2,0,T71+1)))</f>
        <v>7</v>
      </c>
      <c r="U72" s="18" t="str" cm="1">
        <f t="array" aca="1" ref="U72" ca="1">IF(OR(T72=0,T72=""),"",INDEX(misCriticidades,S72)&amp;"-"&amp;IFERROR(MATCH(T72,miOrdenTarjeta,0),0))</f>
        <v>1-7</v>
      </c>
      <c r="V72" s="17" t="str">
        <f ca="1"/>
        <v/>
      </c>
      <c r="W72" s="18">
        <f t="shared" ca="1" si="39"/>
        <v>1</v>
      </c>
      <c r="X72" s="18" t="str">
        <f t="shared" ca="1" si="30"/>
        <v/>
      </c>
      <c r="Y72" s="18" t="str" cm="1">
        <f t="array" aca="1" ref="Y72" ca="1">IF(X72="","",IF(X72&lt;&gt;X71,1,IF(Y71=misLíneas-2,0,Y71+1)))</f>
        <v/>
      </c>
      <c r="Z72" s="18" t="str" cm="1">
        <f t="array" aca="1" ref="Z72" ca="1">IF(OR(Y72=0,Y72=""),"",INDEX(misCriticidades,X72)&amp;"-"&amp;IFERROR(MATCH(Y72,miOrdenTarjeta,0),0))</f>
        <v/>
      </c>
      <c r="AA72" s="17" t="str">
        <f ca="1"/>
        <v/>
      </c>
      <c r="AB72" s="18">
        <f t="shared" ca="1" si="40"/>
        <v>1</v>
      </c>
      <c r="AC72" s="18" t="str">
        <f t="shared" ca="1" si="31"/>
        <v/>
      </c>
      <c r="AD72" s="18" t="str" cm="1">
        <f t="array" aca="1" ref="AD72" ca="1">IF(AC72="","",IF(AC72&lt;&gt;AC71,1,IF(AD71=misLíneas-2,0,AD71+1)))</f>
        <v/>
      </c>
      <c r="AE72" s="18" t="str" cm="1">
        <f t="array" aca="1" ref="AE72" ca="1">IF(OR(AD72=0,AD72=""),"",INDEX(misCriticidades,AC72)&amp;"-"&amp;IFERROR(MATCH(AD72,miOrdenTarjeta,0),0))</f>
        <v/>
      </c>
      <c r="AF72" s="17" t="str">
        <f ca="1"/>
        <v/>
      </c>
      <c r="AG72" s="18">
        <f t="shared" ca="1" si="41"/>
        <v>1</v>
      </c>
      <c r="AH72" s="18" t="str">
        <f t="shared" ca="1" si="32"/>
        <v/>
      </c>
      <c r="AI72" s="18" t="str" cm="1">
        <f t="array" aca="1" ref="AI72" ca="1">IF(AH72="","",IF(AH72&lt;&gt;AH71,1,IF(AI71=misLíneas-2,0,AI71+1)))</f>
        <v/>
      </c>
      <c r="AJ72" s="18" t="str" cm="1">
        <f t="array" aca="1" ref="AJ72" ca="1">IF(OR(AI72=0,AI72=""),"",INDEX(misCriticidades,AH72)&amp;"-"&amp;IFERROR(MATCH(AI72,miOrdenTarjeta,0),0))</f>
        <v/>
      </c>
      <c r="AK72" s="17" t="str">
        <f ca="1"/>
        <v/>
      </c>
      <c r="AL72" s="18">
        <f t="shared" ca="1" si="42"/>
        <v>1</v>
      </c>
      <c r="AM72" s="18" t="str">
        <f t="shared" ca="1" si="33"/>
        <v/>
      </c>
      <c r="AN72" s="18" t="str" cm="1">
        <f t="array" aca="1" ref="AN72" ca="1">IF(AM72="","",IF(AM72&lt;&gt;AM71,1,IF(AN71=misLíneas-2,0,AN71+1)))</f>
        <v/>
      </c>
      <c r="AO72" s="18" t="str" cm="1">
        <f t="array" aca="1" ref="AO72" ca="1">IF(OR(AN72=0,AN72=""),"",INDEX(misCriticidades,AM72)&amp;"-"&amp;IFERROR(MATCH(AN72,miOrdenTarjeta,0),0))</f>
        <v/>
      </c>
      <c r="AP72" s="17" t="str">
        <f ca="1"/>
        <v/>
      </c>
      <c r="AQ72" s="18">
        <f t="shared" ca="1" si="43"/>
        <v>1</v>
      </c>
      <c r="AR72" s="18" t="str">
        <f t="shared" ca="1" si="34"/>
        <v/>
      </c>
      <c r="AS72" s="18" t="str" cm="1">
        <f t="array" aca="1" ref="AS72" ca="1">IF(AR72="","",IF(AR72&lt;&gt;AR71,1,IF(AS71=misLíneas-2,0,AS71+1)))</f>
        <v/>
      </c>
      <c r="AT72" s="18" t="str" cm="1">
        <f t="array" aca="1" ref="AT72" ca="1">IF(OR(AS72=0,AS72=""),"",INDEX(misCriticidades,AR72)&amp;"-"&amp;IFERROR(MATCH(AS72,miOrdenTarjeta,0),0))</f>
        <v/>
      </c>
      <c r="AU72" s="17" t="str">
        <f ca="1"/>
        <v/>
      </c>
      <c r="AV72" s="18">
        <f t="shared" ca="1" si="44"/>
        <v>1</v>
      </c>
      <c r="AW72" s="18" t="str">
        <f t="shared" ca="1" si="35"/>
        <v/>
      </c>
      <c r="AX72" s="18" t="str" cm="1">
        <f t="array" aca="1" ref="AX72" ca="1">IF(AW72="","",IF(AW72&lt;&gt;AW71,1,IF(AX71=misLíneas-2,0,AX71+1)))</f>
        <v/>
      </c>
      <c r="AY72" s="18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7" t="str">
        <f ca="1"/>
        <v/>
      </c>
      <c r="C73" s="18">
        <f t="shared" ca="1" si="20"/>
        <v>1</v>
      </c>
      <c r="D73" s="18" t="str">
        <f t="shared" ca="1" si="26"/>
        <v/>
      </c>
      <c r="E73" s="18" t="str" cm="1">
        <f t="array" aca="1" ref="E73" ca="1">IF(D73="","",IF(D73&lt;&gt;D72,1,IF(E72=misLíneas-2,0,E72+1)))</f>
        <v/>
      </c>
      <c r="F73" s="18" t="str" cm="1">
        <f t="array" aca="1" ref="F73" ca="1">IF(OR(E73=0,E73=""),"",INDEX(misCriticidades,D73)&amp;"-"&amp;IFERROR(MATCH(E73,miOrdenTarjeta,0),0))</f>
        <v/>
      </c>
      <c r="G73" s="17" t="str">
        <f ca="1"/>
        <v/>
      </c>
      <c r="H73" s="18">
        <f t="shared" ca="1" si="36"/>
        <v>1</v>
      </c>
      <c r="I73" s="18" t="str">
        <f t="shared" ca="1" si="27"/>
        <v/>
      </c>
      <c r="J73" s="18" t="str" cm="1">
        <f t="array" aca="1" ref="J73" ca="1">IF(I73="","",IF(I73&lt;&gt;I72,1,IF(J72=misLíneas-2,0,J72+1)))</f>
        <v/>
      </c>
      <c r="K73" s="18" t="str" cm="1">
        <f t="array" aca="1" ref="K73" ca="1">IF(OR(J73=0,J73=""),"",INDEX(misCriticidades,I73)&amp;"-"&amp;IFERROR(MATCH(J73,miOrdenTarjeta,0),0))</f>
        <v/>
      </c>
      <c r="L73" s="17" t="str">
        <f ca="1"/>
        <v/>
      </c>
      <c r="M73" s="18">
        <f t="shared" ca="1" si="37"/>
        <v>1</v>
      </c>
      <c r="N73" s="18" t="str">
        <f t="shared" ca="1" si="28"/>
        <v/>
      </c>
      <c r="O73" s="18" t="str" cm="1">
        <f t="array" aca="1" ref="O73" ca="1">IF(N73="","",IF(N73&lt;&gt;N72,1,IF(O72=misLíneas-2,0,O72+1)))</f>
        <v/>
      </c>
      <c r="P73" s="18" t="str" cm="1">
        <f t="array" aca="1" ref="P73" ca="1">IF(OR(O73=0,O73=""),"",INDEX(misCriticidades,N73)&amp;"-"&amp;IFERROR(MATCH(O73,miOrdenTarjeta,0),0))</f>
        <v/>
      </c>
      <c r="Q73" s="17" t="str">
        <f ca="1"/>
        <v/>
      </c>
      <c r="R73" s="18">
        <f t="shared" ca="1" si="38"/>
        <v>8</v>
      </c>
      <c r="S73" s="18">
        <f t="shared" ca="1" si="29"/>
        <v>23</v>
      </c>
      <c r="T73" s="18" cm="1">
        <f t="array" aca="1" ref="T73" ca="1">IF(S73="","",IF(S73&lt;&gt;S72,1,IF(T72=misLíneas-2,0,T72+1)))</f>
        <v>8</v>
      </c>
      <c r="U73" s="18" t="str" cm="1">
        <f t="array" aca="1" ref="U73" ca="1">IF(OR(T73=0,T73=""),"",INDEX(misCriticidades,S73)&amp;"-"&amp;IFERROR(MATCH(T73,miOrdenTarjeta,0),0))</f>
        <v>1-8</v>
      </c>
      <c r="V73" s="17" t="str">
        <f ca="1"/>
        <v/>
      </c>
      <c r="W73" s="18">
        <f t="shared" ca="1" si="39"/>
        <v>1</v>
      </c>
      <c r="X73" s="18" t="str">
        <f t="shared" ca="1" si="30"/>
        <v/>
      </c>
      <c r="Y73" s="18" t="str" cm="1">
        <f t="array" aca="1" ref="Y73" ca="1">IF(X73="","",IF(X73&lt;&gt;X72,1,IF(Y72=misLíneas-2,0,Y72+1)))</f>
        <v/>
      </c>
      <c r="Z73" s="18" t="str" cm="1">
        <f t="array" aca="1" ref="Z73" ca="1">IF(OR(Y73=0,Y73=""),"",INDEX(misCriticidades,X73)&amp;"-"&amp;IFERROR(MATCH(Y73,miOrdenTarjeta,0),0))</f>
        <v/>
      </c>
      <c r="AA73" s="17" t="str">
        <f ca="1"/>
        <v/>
      </c>
      <c r="AB73" s="18">
        <f t="shared" ca="1" si="40"/>
        <v>1</v>
      </c>
      <c r="AC73" s="18" t="str">
        <f t="shared" ca="1" si="31"/>
        <v/>
      </c>
      <c r="AD73" s="18" t="str" cm="1">
        <f t="array" aca="1" ref="AD73" ca="1">IF(AC73="","",IF(AC73&lt;&gt;AC72,1,IF(AD72=misLíneas-2,0,AD72+1)))</f>
        <v/>
      </c>
      <c r="AE73" s="18" t="str" cm="1">
        <f t="array" aca="1" ref="AE73" ca="1">IF(OR(AD73=0,AD73=""),"",INDEX(misCriticidades,AC73)&amp;"-"&amp;IFERROR(MATCH(AD73,miOrdenTarjeta,0),0))</f>
        <v/>
      </c>
      <c r="AF73" s="17" t="str">
        <f ca="1"/>
        <v/>
      </c>
      <c r="AG73" s="18">
        <f t="shared" ca="1" si="41"/>
        <v>1</v>
      </c>
      <c r="AH73" s="18" t="str">
        <f t="shared" ca="1" si="32"/>
        <v/>
      </c>
      <c r="AI73" s="18" t="str" cm="1">
        <f t="array" aca="1" ref="AI73" ca="1">IF(AH73="","",IF(AH73&lt;&gt;AH72,1,IF(AI72=misLíneas-2,0,AI72+1)))</f>
        <v/>
      </c>
      <c r="AJ73" s="18" t="str" cm="1">
        <f t="array" aca="1" ref="AJ73" ca="1">IF(OR(AI73=0,AI73=""),"",INDEX(misCriticidades,AH73)&amp;"-"&amp;IFERROR(MATCH(AI73,miOrdenTarjeta,0),0))</f>
        <v/>
      </c>
      <c r="AK73" s="17" t="str">
        <f ca="1"/>
        <v/>
      </c>
      <c r="AL73" s="18">
        <f t="shared" ca="1" si="42"/>
        <v>1</v>
      </c>
      <c r="AM73" s="18" t="str">
        <f t="shared" ca="1" si="33"/>
        <v/>
      </c>
      <c r="AN73" s="18" t="str" cm="1">
        <f t="array" aca="1" ref="AN73" ca="1">IF(AM73="","",IF(AM73&lt;&gt;AM72,1,IF(AN72=misLíneas-2,0,AN72+1)))</f>
        <v/>
      </c>
      <c r="AO73" s="18" t="str" cm="1">
        <f t="array" aca="1" ref="AO73" ca="1">IF(OR(AN73=0,AN73=""),"",INDEX(misCriticidades,AM73)&amp;"-"&amp;IFERROR(MATCH(AN73,miOrdenTarjeta,0),0))</f>
        <v/>
      </c>
      <c r="AP73" s="17" t="str">
        <f ca="1"/>
        <v/>
      </c>
      <c r="AQ73" s="18">
        <f t="shared" ca="1" si="43"/>
        <v>1</v>
      </c>
      <c r="AR73" s="18" t="str">
        <f t="shared" ca="1" si="34"/>
        <v/>
      </c>
      <c r="AS73" s="18" t="str" cm="1">
        <f t="array" aca="1" ref="AS73" ca="1">IF(AR73="","",IF(AR73&lt;&gt;AR72,1,IF(AS72=misLíneas-2,0,AS72+1)))</f>
        <v/>
      </c>
      <c r="AT73" s="18" t="str" cm="1">
        <f t="array" aca="1" ref="AT73" ca="1">IF(OR(AS73=0,AS73=""),"",INDEX(misCriticidades,AR73)&amp;"-"&amp;IFERROR(MATCH(AS73,miOrdenTarjeta,0),0))</f>
        <v/>
      </c>
      <c r="AU73" s="17" t="str">
        <f ca="1"/>
        <v/>
      </c>
      <c r="AV73" s="18">
        <f t="shared" ca="1" si="44"/>
        <v>1</v>
      </c>
      <c r="AW73" s="18" t="str">
        <f t="shared" ca="1" si="35"/>
        <v/>
      </c>
      <c r="AX73" s="18" t="str" cm="1">
        <f t="array" aca="1" ref="AX73" ca="1">IF(AW73="","",IF(AW73&lt;&gt;AW72,1,IF(AX72=misLíneas-2,0,AX72+1)))</f>
        <v/>
      </c>
      <c r="AY73" s="18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7" t="str">
        <f ca="1"/>
        <v/>
      </c>
      <c r="C74" s="18">
        <f t="shared" ca="1" si="20"/>
        <v>1</v>
      </c>
      <c r="D74" s="18" t="str">
        <f t="shared" ca="1" si="26"/>
        <v/>
      </c>
      <c r="E74" s="18" t="str" cm="1">
        <f t="array" aca="1" ref="E74" ca="1">IF(D74="","",IF(D74&lt;&gt;D73,1,IF(E73=misLíneas-2,0,E73+1)))</f>
        <v/>
      </c>
      <c r="F74" s="18" t="str" cm="1">
        <f t="array" aca="1" ref="F74" ca="1">IF(OR(E74=0,E74=""),"",INDEX(misCriticidades,D74)&amp;"-"&amp;IFERROR(MATCH(E74,miOrdenTarjeta,0),0))</f>
        <v/>
      </c>
      <c r="G74" s="17" t="str">
        <f ca="1"/>
        <v/>
      </c>
      <c r="H74" s="18">
        <f t="shared" ca="1" si="36"/>
        <v>1</v>
      </c>
      <c r="I74" s="18" t="str">
        <f t="shared" ca="1" si="27"/>
        <v/>
      </c>
      <c r="J74" s="18" t="str" cm="1">
        <f t="array" aca="1" ref="J74" ca="1">IF(I74="","",IF(I74&lt;&gt;I73,1,IF(J73=misLíneas-2,0,J73+1)))</f>
        <v/>
      </c>
      <c r="K74" s="18" t="str" cm="1">
        <f t="array" aca="1" ref="K74" ca="1">IF(OR(J74=0,J74=""),"",INDEX(misCriticidades,I74)&amp;"-"&amp;IFERROR(MATCH(J74,miOrdenTarjeta,0),0))</f>
        <v/>
      </c>
      <c r="L74" s="17" t="str">
        <f ca="1"/>
        <v/>
      </c>
      <c r="M74" s="18">
        <f t="shared" ca="1" si="37"/>
        <v>1</v>
      </c>
      <c r="N74" s="18" t="str">
        <f t="shared" ca="1" si="28"/>
        <v/>
      </c>
      <c r="O74" s="18" t="str" cm="1">
        <f t="array" aca="1" ref="O74" ca="1">IF(N74="","",IF(N74&lt;&gt;N73,1,IF(O73=misLíneas-2,0,O73+1)))</f>
        <v/>
      </c>
      <c r="P74" s="18" t="str" cm="1">
        <f t="array" aca="1" ref="P74" ca="1">IF(OR(O74=0,O74=""),"",INDEX(misCriticidades,N74)&amp;"-"&amp;IFERROR(MATCH(O74,miOrdenTarjeta,0),0))</f>
        <v/>
      </c>
      <c r="Q74" s="17" t="str">
        <f ca="1"/>
        <v/>
      </c>
      <c r="R74" s="18">
        <f t="shared" ca="1" si="38"/>
        <v>8</v>
      </c>
      <c r="S74" s="18">
        <f t="shared" ca="1" si="29"/>
        <v>23</v>
      </c>
      <c r="T74" s="18" cm="1">
        <f t="array" aca="1" ref="T74" ca="1">IF(S74="","",IF(S74&lt;&gt;S73,1,IF(T73=misLíneas-2,0,T73+1)))</f>
        <v>0</v>
      </c>
      <c r="U74" s="18" t="str" cm="1">
        <f t="array" aca="1" ref="U74" ca="1">IF(OR(T74=0,T74=""),"",INDEX(misCriticidades,S74)&amp;"-"&amp;IFERROR(MATCH(T74,miOrdenTarjeta,0),0))</f>
        <v/>
      </c>
      <c r="V74" s="17" t="str">
        <f ca="1"/>
        <v/>
      </c>
      <c r="W74" s="18">
        <f t="shared" ca="1" si="39"/>
        <v>1</v>
      </c>
      <c r="X74" s="18" t="str">
        <f t="shared" ca="1" si="30"/>
        <v/>
      </c>
      <c r="Y74" s="18" t="str" cm="1">
        <f t="array" aca="1" ref="Y74" ca="1">IF(X74="","",IF(X74&lt;&gt;X73,1,IF(Y73=misLíneas-2,0,Y73+1)))</f>
        <v/>
      </c>
      <c r="Z74" s="18" t="str" cm="1">
        <f t="array" aca="1" ref="Z74" ca="1">IF(OR(Y74=0,Y74=""),"",INDEX(misCriticidades,X74)&amp;"-"&amp;IFERROR(MATCH(Y74,miOrdenTarjeta,0),0))</f>
        <v/>
      </c>
      <c r="AA74" s="17" t="str">
        <f ca="1"/>
        <v/>
      </c>
      <c r="AB74" s="18">
        <f t="shared" ca="1" si="40"/>
        <v>1</v>
      </c>
      <c r="AC74" s="18" t="str">
        <f t="shared" ca="1" si="31"/>
        <v/>
      </c>
      <c r="AD74" s="18" t="str" cm="1">
        <f t="array" aca="1" ref="AD74" ca="1">IF(AC74="","",IF(AC74&lt;&gt;AC73,1,IF(AD73=misLíneas-2,0,AD73+1)))</f>
        <v/>
      </c>
      <c r="AE74" s="18" t="str" cm="1">
        <f t="array" aca="1" ref="AE74" ca="1">IF(OR(AD74=0,AD74=""),"",INDEX(misCriticidades,AC74)&amp;"-"&amp;IFERROR(MATCH(AD74,miOrdenTarjeta,0),0))</f>
        <v/>
      </c>
      <c r="AF74" s="17" t="str">
        <f ca="1"/>
        <v/>
      </c>
      <c r="AG74" s="18">
        <f t="shared" ca="1" si="41"/>
        <v>1</v>
      </c>
      <c r="AH74" s="18" t="str">
        <f t="shared" ca="1" si="32"/>
        <v/>
      </c>
      <c r="AI74" s="18" t="str" cm="1">
        <f t="array" aca="1" ref="AI74" ca="1">IF(AH74="","",IF(AH74&lt;&gt;AH73,1,IF(AI73=misLíneas-2,0,AI73+1)))</f>
        <v/>
      </c>
      <c r="AJ74" s="18" t="str" cm="1">
        <f t="array" aca="1" ref="AJ74" ca="1">IF(OR(AI74=0,AI74=""),"",INDEX(misCriticidades,AH74)&amp;"-"&amp;IFERROR(MATCH(AI74,miOrdenTarjeta,0),0))</f>
        <v/>
      </c>
      <c r="AK74" s="17" t="str">
        <f ca="1"/>
        <v/>
      </c>
      <c r="AL74" s="18">
        <f t="shared" ca="1" si="42"/>
        <v>1</v>
      </c>
      <c r="AM74" s="18" t="str">
        <f t="shared" ca="1" si="33"/>
        <v/>
      </c>
      <c r="AN74" s="18" t="str" cm="1">
        <f t="array" aca="1" ref="AN74" ca="1">IF(AM74="","",IF(AM74&lt;&gt;AM73,1,IF(AN73=misLíneas-2,0,AN73+1)))</f>
        <v/>
      </c>
      <c r="AO74" s="18" t="str" cm="1">
        <f t="array" aca="1" ref="AO74" ca="1">IF(OR(AN74=0,AN74=""),"",INDEX(misCriticidades,AM74)&amp;"-"&amp;IFERROR(MATCH(AN74,miOrdenTarjeta,0),0))</f>
        <v/>
      </c>
      <c r="AP74" s="17" t="str">
        <f ca="1"/>
        <v/>
      </c>
      <c r="AQ74" s="18">
        <f t="shared" ca="1" si="43"/>
        <v>1</v>
      </c>
      <c r="AR74" s="18" t="str">
        <f t="shared" ca="1" si="34"/>
        <v/>
      </c>
      <c r="AS74" s="18" t="str" cm="1">
        <f t="array" aca="1" ref="AS74" ca="1">IF(AR74="","",IF(AR74&lt;&gt;AR73,1,IF(AS73=misLíneas-2,0,AS73+1)))</f>
        <v/>
      </c>
      <c r="AT74" s="18" t="str" cm="1">
        <f t="array" aca="1" ref="AT74" ca="1">IF(OR(AS74=0,AS74=""),"",INDEX(misCriticidades,AR74)&amp;"-"&amp;IFERROR(MATCH(AS74,miOrdenTarjeta,0),0))</f>
        <v/>
      </c>
      <c r="AU74" s="17" t="str">
        <f ca="1"/>
        <v/>
      </c>
      <c r="AV74" s="18">
        <f t="shared" ca="1" si="44"/>
        <v>1</v>
      </c>
      <c r="AW74" s="18" t="str">
        <f t="shared" ca="1" si="35"/>
        <v/>
      </c>
      <c r="AX74" s="18" t="str" cm="1">
        <f t="array" aca="1" ref="AX74" ca="1">IF(AW74="","",IF(AW74&lt;&gt;AW73,1,IF(AX73=misLíneas-2,0,AX73+1)))</f>
        <v/>
      </c>
      <c r="AY74" s="18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7" t="str">
        <f ca="1"/>
        <v/>
      </c>
      <c r="C75" s="18">
        <f t="shared" ref="C75:C138" ca="1" si="45">C74--(E74=0)</f>
        <v>1</v>
      </c>
      <c r="D75" s="18" t="str">
        <f t="shared" ca="1" si="26"/>
        <v/>
      </c>
      <c r="E75" s="18" t="str" cm="1">
        <f t="array" aca="1" ref="E75" ca="1">IF(D75="","",IF(D75&lt;&gt;D74,1,IF(E74=misLíneas-2,0,E74+1)))</f>
        <v/>
      </c>
      <c r="F75" s="18" t="str" cm="1">
        <f t="array" aca="1" ref="F75" ca="1">IF(OR(E75=0,E75=""),"",INDEX(misCriticidades,D75)&amp;"-"&amp;IFERROR(MATCH(E75,miOrdenTarjeta,0),0))</f>
        <v/>
      </c>
      <c r="G75" s="17" t="str">
        <f ca="1"/>
        <v/>
      </c>
      <c r="H75" s="18">
        <f t="shared" ca="1" si="36"/>
        <v>1</v>
      </c>
      <c r="I75" s="18" t="str">
        <f t="shared" ca="1" si="27"/>
        <v/>
      </c>
      <c r="J75" s="18" t="str" cm="1">
        <f t="array" aca="1" ref="J75" ca="1">IF(I75="","",IF(I75&lt;&gt;I74,1,IF(J74=misLíneas-2,0,J74+1)))</f>
        <v/>
      </c>
      <c r="K75" s="18" t="str" cm="1">
        <f t="array" aca="1" ref="K75" ca="1">IF(OR(J75=0,J75=""),"",INDEX(misCriticidades,I75)&amp;"-"&amp;IFERROR(MATCH(J75,miOrdenTarjeta,0),0))</f>
        <v/>
      </c>
      <c r="L75" s="17" t="str">
        <f ca="1"/>
        <v/>
      </c>
      <c r="M75" s="18">
        <f t="shared" ca="1" si="37"/>
        <v>1</v>
      </c>
      <c r="N75" s="18" t="str">
        <f t="shared" ca="1" si="28"/>
        <v/>
      </c>
      <c r="O75" s="18" t="str" cm="1">
        <f t="array" aca="1" ref="O75" ca="1">IF(N75="","",IF(N75&lt;&gt;N74,1,IF(O74=misLíneas-2,0,O74+1)))</f>
        <v/>
      </c>
      <c r="P75" s="18" t="str" cm="1">
        <f t="array" aca="1" ref="P75" ca="1">IF(OR(O75=0,O75=""),"",INDEX(misCriticidades,N75)&amp;"-"&amp;IFERROR(MATCH(O75,miOrdenTarjeta,0),0))</f>
        <v/>
      </c>
      <c r="Q75" s="17" t="str">
        <f ca="1"/>
        <v/>
      </c>
      <c r="R75" s="18">
        <f t="shared" ca="1" si="38"/>
        <v>9</v>
      </c>
      <c r="S75" s="18">
        <f t="shared" ca="1" si="29"/>
        <v>22</v>
      </c>
      <c r="T75" s="18" cm="1">
        <f t="array" aca="1" ref="T75" ca="1">IF(S75="","",IF(S75&lt;&gt;S74,1,IF(T74=misLíneas-2,0,T74+1)))</f>
        <v>1</v>
      </c>
      <c r="U75" s="18" t="str" cm="1">
        <f t="array" aca="1" ref="U75" ca="1">IF(OR(T75=0,T75=""),"",INDEX(misCriticidades,S75)&amp;"-"&amp;IFERROR(MATCH(T75,miOrdenTarjeta,0),0))</f>
        <v>2-1</v>
      </c>
      <c r="V75" s="17" t="str">
        <f ca="1"/>
        <v/>
      </c>
      <c r="W75" s="18">
        <f t="shared" ca="1" si="39"/>
        <v>1</v>
      </c>
      <c r="X75" s="18" t="str">
        <f t="shared" ca="1" si="30"/>
        <v/>
      </c>
      <c r="Y75" s="18" t="str" cm="1">
        <f t="array" aca="1" ref="Y75" ca="1">IF(X75="","",IF(X75&lt;&gt;X74,1,IF(Y74=misLíneas-2,0,Y74+1)))</f>
        <v/>
      </c>
      <c r="Z75" s="18" t="str" cm="1">
        <f t="array" aca="1" ref="Z75" ca="1">IF(OR(Y75=0,Y75=""),"",INDEX(misCriticidades,X75)&amp;"-"&amp;IFERROR(MATCH(Y75,miOrdenTarjeta,0),0))</f>
        <v/>
      </c>
      <c r="AA75" s="17" t="str">
        <f ca="1"/>
        <v/>
      </c>
      <c r="AB75" s="18">
        <f t="shared" ca="1" si="40"/>
        <v>1</v>
      </c>
      <c r="AC75" s="18" t="str">
        <f t="shared" ca="1" si="31"/>
        <v/>
      </c>
      <c r="AD75" s="18" t="str" cm="1">
        <f t="array" aca="1" ref="AD75" ca="1">IF(AC75="","",IF(AC75&lt;&gt;AC74,1,IF(AD74=misLíneas-2,0,AD74+1)))</f>
        <v/>
      </c>
      <c r="AE75" s="18" t="str" cm="1">
        <f t="array" aca="1" ref="AE75" ca="1">IF(OR(AD75=0,AD75=""),"",INDEX(misCriticidades,AC75)&amp;"-"&amp;IFERROR(MATCH(AD75,miOrdenTarjeta,0),0))</f>
        <v/>
      </c>
      <c r="AF75" s="17" t="str">
        <f ca="1"/>
        <v/>
      </c>
      <c r="AG75" s="18">
        <f t="shared" ca="1" si="41"/>
        <v>1</v>
      </c>
      <c r="AH75" s="18" t="str">
        <f t="shared" ca="1" si="32"/>
        <v/>
      </c>
      <c r="AI75" s="18" t="str" cm="1">
        <f t="array" aca="1" ref="AI75" ca="1">IF(AH75="","",IF(AH75&lt;&gt;AH74,1,IF(AI74=misLíneas-2,0,AI74+1)))</f>
        <v/>
      </c>
      <c r="AJ75" s="18" t="str" cm="1">
        <f t="array" aca="1" ref="AJ75" ca="1">IF(OR(AI75=0,AI75=""),"",INDEX(misCriticidades,AH75)&amp;"-"&amp;IFERROR(MATCH(AI75,miOrdenTarjeta,0),0))</f>
        <v/>
      </c>
      <c r="AK75" s="17" t="str">
        <f ca="1"/>
        <v/>
      </c>
      <c r="AL75" s="18">
        <f t="shared" ca="1" si="42"/>
        <v>1</v>
      </c>
      <c r="AM75" s="18" t="str">
        <f t="shared" ca="1" si="33"/>
        <v/>
      </c>
      <c r="AN75" s="18" t="str" cm="1">
        <f t="array" aca="1" ref="AN75" ca="1">IF(AM75="","",IF(AM75&lt;&gt;AM74,1,IF(AN74=misLíneas-2,0,AN74+1)))</f>
        <v/>
      </c>
      <c r="AO75" s="18" t="str" cm="1">
        <f t="array" aca="1" ref="AO75" ca="1">IF(OR(AN75=0,AN75=""),"",INDEX(misCriticidades,AM75)&amp;"-"&amp;IFERROR(MATCH(AN75,miOrdenTarjeta,0),0))</f>
        <v/>
      </c>
      <c r="AP75" s="17" t="str">
        <f ca="1"/>
        <v/>
      </c>
      <c r="AQ75" s="18">
        <f t="shared" ca="1" si="43"/>
        <v>1</v>
      </c>
      <c r="AR75" s="18" t="str">
        <f t="shared" ca="1" si="34"/>
        <v/>
      </c>
      <c r="AS75" s="18" t="str" cm="1">
        <f t="array" aca="1" ref="AS75" ca="1">IF(AR75="","",IF(AR75&lt;&gt;AR74,1,IF(AS74=misLíneas-2,0,AS74+1)))</f>
        <v/>
      </c>
      <c r="AT75" s="18" t="str" cm="1">
        <f t="array" aca="1" ref="AT75" ca="1">IF(OR(AS75=0,AS75=""),"",INDEX(misCriticidades,AR75)&amp;"-"&amp;IFERROR(MATCH(AS75,miOrdenTarjeta,0),0))</f>
        <v/>
      </c>
      <c r="AU75" s="17" t="str">
        <f ca="1"/>
        <v/>
      </c>
      <c r="AV75" s="18">
        <f t="shared" ca="1" si="44"/>
        <v>1</v>
      </c>
      <c r="AW75" s="18" t="str">
        <f t="shared" ca="1" si="35"/>
        <v/>
      </c>
      <c r="AX75" s="18" t="str" cm="1">
        <f t="array" aca="1" ref="AX75" ca="1">IF(AW75="","",IF(AW75&lt;&gt;AW74,1,IF(AX74=misLíneas-2,0,AX74+1)))</f>
        <v/>
      </c>
      <c r="AY75" s="18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7" t="str">
        <f ca="1"/>
        <v/>
      </c>
      <c r="C76" s="18">
        <f t="shared" ca="1" si="45"/>
        <v>1</v>
      </c>
      <c r="D76" s="18" t="str">
        <f t="shared" ca="1" si="26"/>
        <v/>
      </c>
      <c r="E76" s="18" t="str" cm="1">
        <f t="array" aca="1" ref="E76" ca="1">IF(D76="","",IF(D76&lt;&gt;D75,1,IF(E75=misLíneas-2,0,E75+1)))</f>
        <v/>
      </c>
      <c r="F76" s="18" t="str" cm="1">
        <f t="array" aca="1" ref="F76" ca="1">IF(OR(E76=0,E76=""),"",INDEX(misCriticidades,D76)&amp;"-"&amp;IFERROR(MATCH(E76,miOrdenTarjeta,0),0))</f>
        <v/>
      </c>
      <c r="G76" s="17" t="str">
        <f ca="1"/>
        <v/>
      </c>
      <c r="H76" s="18">
        <f t="shared" ca="1" si="36"/>
        <v>1</v>
      </c>
      <c r="I76" s="18" t="str">
        <f t="shared" ca="1" si="27"/>
        <v/>
      </c>
      <c r="J76" s="18" t="str" cm="1">
        <f t="array" aca="1" ref="J76" ca="1">IF(I76="","",IF(I76&lt;&gt;I75,1,IF(J75=misLíneas-2,0,J75+1)))</f>
        <v/>
      </c>
      <c r="K76" s="18" t="str" cm="1">
        <f t="array" aca="1" ref="K76" ca="1">IF(OR(J76=0,J76=""),"",INDEX(misCriticidades,I76)&amp;"-"&amp;IFERROR(MATCH(J76,miOrdenTarjeta,0),0))</f>
        <v/>
      </c>
      <c r="L76" s="17" t="str">
        <f ca="1"/>
        <v/>
      </c>
      <c r="M76" s="18">
        <f t="shared" ca="1" si="37"/>
        <v>1</v>
      </c>
      <c r="N76" s="18" t="str">
        <f t="shared" ca="1" si="28"/>
        <v/>
      </c>
      <c r="O76" s="18" t="str" cm="1">
        <f t="array" aca="1" ref="O76" ca="1">IF(N76="","",IF(N76&lt;&gt;N75,1,IF(O75=misLíneas-2,0,O75+1)))</f>
        <v/>
      </c>
      <c r="P76" s="18" t="str" cm="1">
        <f t="array" aca="1" ref="P76" ca="1">IF(OR(O76=0,O76=""),"",INDEX(misCriticidades,N76)&amp;"-"&amp;IFERROR(MATCH(O76,miOrdenTarjeta,0),0))</f>
        <v/>
      </c>
      <c r="Q76" s="17" t="str">
        <f ca="1"/>
        <v/>
      </c>
      <c r="R76" s="18">
        <f t="shared" ca="1" si="38"/>
        <v>9</v>
      </c>
      <c r="S76" s="18">
        <f t="shared" ca="1" si="29"/>
        <v>22</v>
      </c>
      <c r="T76" s="18" cm="1">
        <f t="array" aca="1" ref="T76" ca="1">IF(S76="","",IF(S76&lt;&gt;S75,1,IF(T75=misLíneas-2,0,T75+1)))</f>
        <v>2</v>
      </c>
      <c r="U76" s="18" t="str" cm="1">
        <f t="array" aca="1" ref="U76" ca="1">IF(OR(T76=0,T76=""),"",INDEX(misCriticidades,S76)&amp;"-"&amp;IFERROR(MATCH(T76,miOrdenTarjeta,0),0))</f>
        <v>2-2</v>
      </c>
      <c r="V76" s="17" t="str">
        <f ca="1"/>
        <v/>
      </c>
      <c r="W76" s="18">
        <f t="shared" ca="1" si="39"/>
        <v>1</v>
      </c>
      <c r="X76" s="18" t="str">
        <f t="shared" ca="1" si="30"/>
        <v/>
      </c>
      <c r="Y76" s="18" t="str" cm="1">
        <f t="array" aca="1" ref="Y76" ca="1">IF(X76="","",IF(X76&lt;&gt;X75,1,IF(Y75=misLíneas-2,0,Y75+1)))</f>
        <v/>
      </c>
      <c r="Z76" s="18" t="str" cm="1">
        <f t="array" aca="1" ref="Z76" ca="1">IF(OR(Y76=0,Y76=""),"",INDEX(misCriticidades,X76)&amp;"-"&amp;IFERROR(MATCH(Y76,miOrdenTarjeta,0),0))</f>
        <v/>
      </c>
      <c r="AA76" s="17" t="str">
        <f ca="1"/>
        <v/>
      </c>
      <c r="AB76" s="18">
        <f t="shared" ca="1" si="40"/>
        <v>1</v>
      </c>
      <c r="AC76" s="18" t="str">
        <f t="shared" ca="1" si="31"/>
        <v/>
      </c>
      <c r="AD76" s="18" t="str" cm="1">
        <f t="array" aca="1" ref="AD76" ca="1">IF(AC76="","",IF(AC76&lt;&gt;AC75,1,IF(AD75=misLíneas-2,0,AD75+1)))</f>
        <v/>
      </c>
      <c r="AE76" s="18" t="str" cm="1">
        <f t="array" aca="1" ref="AE76" ca="1">IF(OR(AD76=0,AD76=""),"",INDEX(misCriticidades,AC76)&amp;"-"&amp;IFERROR(MATCH(AD76,miOrdenTarjeta,0),0))</f>
        <v/>
      </c>
      <c r="AF76" s="17" t="str">
        <f ca="1"/>
        <v/>
      </c>
      <c r="AG76" s="18">
        <f t="shared" ca="1" si="41"/>
        <v>1</v>
      </c>
      <c r="AH76" s="18" t="str">
        <f t="shared" ca="1" si="32"/>
        <v/>
      </c>
      <c r="AI76" s="18" t="str" cm="1">
        <f t="array" aca="1" ref="AI76" ca="1">IF(AH76="","",IF(AH76&lt;&gt;AH75,1,IF(AI75=misLíneas-2,0,AI75+1)))</f>
        <v/>
      </c>
      <c r="AJ76" s="18" t="str" cm="1">
        <f t="array" aca="1" ref="AJ76" ca="1">IF(OR(AI76=0,AI76=""),"",INDEX(misCriticidades,AH76)&amp;"-"&amp;IFERROR(MATCH(AI76,miOrdenTarjeta,0),0))</f>
        <v/>
      </c>
      <c r="AK76" s="17" t="str">
        <f ca="1"/>
        <v/>
      </c>
      <c r="AL76" s="18">
        <f t="shared" ca="1" si="42"/>
        <v>1</v>
      </c>
      <c r="AM76" s="18" t="str">
        <f t="shared" ca="1" si="33"/>
        <v/>
      </c>
      <c r="AN76" s="18" t="str" cm="1">
        <f t="array" aca="1" ref="AN76" ca="1">IF(AM76="","",IF(AM76&lt;&gt;AM75,1,IF(AN75=misLíneas-2,0,AN75+1)))</f>
        <v/>
      </c>
      <c r="AO76" s="18" t="str" cm="1">
        <f t="array" aca="1" ref="AO76" ca="1">IF(OR(AN76=0,AN76=""),"",INDEX(misCriticidades,AM76)&amp;"-"&amp;IFERROR(MATCH(AN76,miOrdenTarjeta,0),0))</f>
        <v/>
      </c>
      <c r="AP76" s="17" t="str">
        <f ca="1"/>
        <v/>
      </c>
      <c r="AQ76" s="18">
        <f t="shared" ca="1" si="43"/>
        <v>1</v>
      </c>
      <c r="AR76" s="18" t="str">
        <f t="shared" ca="1" si="34"/>
        <v/>
      </c>
      <c r="AS76" s="18" t="str" cm="1">
        <f t="array" aca="1" ref="AS76" ca="1">IF(AR76="","",IF(AR76&lt;&gt;AR75,1,IF(AS75=misLíneas-2,0,AS75+1)))</f>
        <v/>
      </c>
      <c r="AT76" s="18" t="str" cm="1">
        <f t="array" aca="1" ref="AT76" ca="1">IF(OR(AS76=0,AS76=""),"",INDEX(misCriticidades,AR76)&amp;"-"&amp;IFERROR(MATCH(AS76,miOrdenTarjeta,0),0))</f>
        <v/>
      </c>
      <c r="AU76" s="17" t="str">
        <f ca="1"/>
        <v/>
      </c>
      <c r="AV76" s="18">
        <f t="shared" ca="1" si="44"/>
        <v>1</v>
      </c>
      <c r="AW76" s="18" t="str">
        <f t="shared" ca="1" si="35"/>
        <v/>
      </c>
      <c r="AX76" s="18" t="str" cm="1">
        <f t="array" aca="1" ref="AX76" ca="1">IF(AW76="","",IF(AW76&lt;&gt;AW75,1,IF(AX75=misLíneas-2,0,AX75+1)))</f>
        <v/>
      </c>
      <c r="AY76" s="18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7" t="str">
        <f ca="1"/>
        <v/>
      </c>
      <c r="C77" s="18">
        <f t="shared" ca="1" si="45"/>
        <v>1</v>
      </c>
      <c r="D77" s="18" t="str">
        <f t="shared" ca="1" si="26"/>
        <v/>
      </c>
      <c r="E77" s="18" t="str" cm="1">
        <f t="array" aca="1" ref="E77" ca="1">IF(D77="","",IF(D77&lt;&gt;D76,1,IF(E76=misLíneas-2,0,E76+1)))</f>
        <v/>
      </c>
      <c r="F77" s="18" t="str" cm="1">
        <f t="array" aca="1" ref="F77" ca="1">IF(OR(E77=0,E77=""),"",INDEX(misCriticidades,D77)&amp;"-"&amp;IFERROR(MATCH(E77,miOrdenTarjeta,0),0))</f>
        <v/>
      </c>
      <c r="G77" s="17" t="str">
        <f ca="1"/>
        <v/>
      </c>
      <c r="H77" s="18">
        <f t="shared" ca="1" si="36"/>
        <v>1</v>
      </c>
      <c r="I77" s="18" t="str">
        <f t="shared" ca="1" si="27"/>
        <v/>
      </c>
      <c r="J77" s="18" t="str" cm="1">
        <f t="array" aca="1" ref="J77" ca="1">IF(I77="","",IF(I77&lt;&gt;I76,1,IF(J76=misLíneas-2,0,J76+1)))</f>
        <v/>
      </c>
      <c r="K77" s="18" t="str" cm="1">
        <f t="array" aca="1" ref="K77" ca="1">IF(OR(J77=0,J77=""),"",INDEX(misCriticidades,I77)&amp;"-"&amp;IFERROR(MATCH(J77,miOrdenTarjeta,0),0))</f>
        <v/>
      </c>
      <c r="L77" s="17" t="str">
        <f ca="1"/>
        <v/>
      </c>
      <c r="M77" s="18">
        <f t="shared" ca="1" si="37"/>
        <v>1</v>
      </c>
      <c r="N77" s="18" t="str">
        <f t="shared" ca="1" si="28"/>
        <v/>
      </c>
      <c r="O77" s="18" t="str" cm="1">
        <f t="array" aca="1" ref="O77" ca="1">IF(N77="","",IF(N77&lt;&gt;N76,1,IF(O76=misLíneas-2,0,O76+1)))</f>
        <v/>
      </c>
      <c r="P77" s="18" t="str" cm="1">
        <f t="array" aca="1" ref="P77" ca="1">IF(OR(O77=0,O77=""),"",INDEX(misCriticidades,N77)&amp;"-"&amp;IFERROR(MATCH(O77,miOrdenTarjeta,0),0))</f>
        <v/>
      </c>
      <c r="Q77" s="17" t="str">
        <f ca="1"/>
        <v/>
      </c>
      <c r="R77" s="18">
        <f t="shared" ca="1" si="38"/>
        <v>9</v>
      </c>
      <c r="S77" s="18">
        <f t="shared" ca="1" si="29"/>
        <v>22</v>
      </c>
      <c r="T77" s="18" cm="1">
        <f t="array" aca="1" ref="T77" ca="1">IF(S77="","",IF(S77&lt;&gt;S76,1,IF(T76=misLíneas-2,0,T76+1)))</f>
        <v>3</v>
      </c>
      <c r="U77" s="18" t="str" cm="1">
        <f t="array" aca="1" ref="U77" ca="1">IF(OR(T77=0,T77=""),"",INDEX(misCriticidades,S77)&amp;"-"&amp;IFERROR(MATCH(T77,miOrdenTarjeta,0),0))</f>
        <v>2-3</v>
      </c>
      <c r="V77" s="17" t="str">
        <f ca="1"/>
        <v/>
      </c>
      <c r="W77" s="18">
        <f t="shared" ca="1" si="39"/>
        <v>1</v>
      </c>
      <c r="X77" s="18" t="str">
        <f t="shared" ca="1" si="30"/>
        <v/>
      </c>
      <c r="Y77" s="18" t="str" cm="1">
        <f t="array" aca="1" ref="Y77" ca="1">IF(X77="","",IF(X77&lt;&gt;X76,1,IF(Y76=misLíneas-2,0,Y76+1)))</f>
        <v/>
      </c>
      <c r="Z77" s="18" t="str" cm="1">
        <f t="array" aca="1" ref="Z77" ca="1">IF(OR(Y77=0,Y77=""),"",INDEX(misCriticidades,X77)&amp;"-"&amp;IFERROR(MATCH(Y77,miOrdenTarjeta,0),0))</f>
        <v/>
      </c>
      <c r="AA77" s="17" t="str">
        <f ca="1"/>
        <v/>
      </c>
      <c r="AB77" s="18">
        <f t="shared" ca="1" si="40"/>
        <v>1</v>
      </c>
      <c r="AC77" s="18" t="str">
        <f t="shared" ca="1" si="31"/>
        <v/>
      </c>
      <c r="AD77" s="18" t="str" cm="1">
        <f t="array" aca="1" ref="AD77" ca="1">IF(AC77="","",IF(AC77&lt;&gt;AC76,1,IF(AD76=misLíneas-2,0,AD76+1)))</f>
        <v/>
      </c>
      <c r="AE77" s="18" t="str" cm="1">
        <f t="array" aca="1" ref="AE77" ca="1">IF(OR(AD77=0,AD77=""),"",INDEX(misCriticidades,AC77)&amp;"-"&amp;IFERROR(MATCH(AD77,miOrdenTarjeta,0),0))</f>
        <v/>
      </c>
      <c r="AF77" s="17" t="str">
        <f ca="1"/>
        <v/>
      </c>
      <c r="AG77" s="18">
        <f t="shared" ca="1" si="41"/>
        <v>1</v>
      </c>
      <c r="AH77" s="18" t="str">
        <f t="shared" ca="1" si="32"/>
        <v/>
      </c>
      <c r="AI77" s="18" t="str" cm="1">
        <f t="array" aca="1" ref="AI77" ca="1">IF(AH77="","",IF(AH77&lt;&gt;AH76,1,IF(AI76=misLíneas-2,0,AI76+1)))</f>
        <v/>
      </c>
      <c r="AJ77" s="18" t="str" cm="1">
        <f t="array" aca="1" ref="AJ77" ca="1">IF(OR(AI77=0,AI77=""),"",INDEX(misCriticidades,AH77)&amp;"-"&amp;IFERROR(MATCH(AI77,miOrdenTarjeta,0),0))</f>
        <v/>
      </c>
      <c r="AK77" s="17" t="str">
        <f ca="1"/>
        <v/>
      </c>
      <c r="AL77" s="18">
        <f t="shared" ca="1" si="42"/>
        <v>1</v>
      </c>
      <c r="AM77" s="18" t="str">
        <f t="shared" ca="1" si="33"/>
        <v/>
      </c>
      <c r="AN77" s="18" t="str" cm="1">
        <f t="array" aca="1" ref="AN77" ca="1">IF(AM77="","",IF(AM77&lt;&gt;AM76,1,IF(AN76=misLíneas-2,0,AN76+1)))</f>
        <v/>
      </c>
      <c r="AO77" s="18" t="str" cm="1">
        <f t="array" aca="1" ref="AO77" ca="1">IF(OR(AN77=0,AN77=""),"",INDEX(misCriticidades,AM77)&amp;"-"&amp;IFERROR(MATCH(AN77,miOrdenTarjeta,0),0))</f>
        <v/>
      </c>
      <c r="AP77" s="17" t="str">
        <f ca="1"/>
        <v/>
      </c>
      <c r="AQ77" s="18">
        <f t="shared" ca="1" si="43"/>
        <v>1</v>
      </c>
      <c r="AR77" s="18" t="str">
        <f t="shared" ca="1" si="34"/>
        <v/>
      </c>
      <c r="AS77" s="18" t="str" cm="1">
        <f t="array" aca="1" ref="AS77" ca="1">IF(AR77="","",IF(AR77&lt;&gt;AR76,1,IF(AS76=misLíneas-2,0,AS76+1)))</f>
        <v/>
      </c>
      <c r="AT77" s="18" t="str" cm="1">
        <f t="array" aca="1" ref="AT77" ca="1">IF(OR(AS77=0,AS77=""),"",INDEX(misCriticidades,AR77)&amp;"-"&amp;IFERROR(MATCH(AS77,miOrdenTarjeta,0),0))</f>
        <v/>
      </c>
      <c r="AU77" s="17" t="str">
        <f ca="1"/>
        <v/>
      </c>
      <c r="AV77" s="18">
        <f t="shared" ca="1" si="44"/>
        <v>1</v>
      </c>
      <c r="AW77" s="18" t="str">
        <f t="shared" ca="1" si="35"/>
        <v/>
      </c>
      <c r="AX77" s="18" t="str" cm="1">
        <f t="array" aca="1" ref="AX77" ca="1">IF(AW77="","",IF(AW77&lt;&gt;AW76,1,IF(AX76=misLíneas-2,0,AX76+1)))</f>
        <v/>
      </c>
      <c r="AY77" s="18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7" t="str">
        <f ca="1"/>
        <v/>
      </c>
      <c r="C78" s="18">
        <f t="shared" ca="1" si="45"/>
        <v>1</v>
      </c>
      <c r="D78" s="18" t="str">
        <f t="shared" ca="1" si="26"/>
        <v/>
      </c>
      <c r="E78" s="18" t="str" cm="1">
        <f t="array" aca="1" ref="E78" ca="1">IF(D78="","",IF(D78&lt;&gt;D77,1,IF(E77=misLíneas-2,0,E77+1)))</f>
        <v/>
      </c>
      <c r="F78" s="18" t="str" cm="1">
        <f t="array" aca="1" ref="F78" ca="1">IF(OR(E78=0,E78=""),"",INDEX(misCriticidades,D78)&amp;"-"&amp;IFERROR(MATCH(E78,miOrdenTarjeta,0),0))</f>
        <v/>
      </c>
      <c r="G78" s="17" t="str">
        <f ca="1"/>
        <v/>
      </c>
      <c r="H78" s="18">
        <f t="shared" ca="1" si="36"/>
        <v>1</v>
      </c>
      <c r="I78" s="18" t="str">
        <f t="shared" ca="1" si="27"/>
        <v/>
      </c>
      <c r="J78" s="18" t="str" cm="1">
        <f t="array" aca="1" ref="J78" ca="1">IF(I78="","",IF(I78&lt;&gt;I77,1,IF(J77=misLíneas-2,0,J77+1)))</f>
        <v/>
      </c>
      <c r="K78" s="18" t="str" cm="1">
        <f t="array" aca="1" ref="K78" ca="1">IF(OR(J78=0,J78=""),"",INDEX(misCriticidades,I78)&amp;"-"&amp;IFERROR(MATCH(J78,miOrdenTarjeta,0),0))</f>
        <v/>
      </c>
      <c r="L78" s="17" t="str">
        <f ca="1"/>
        <v/>
      </c>
      <c r="M78" s="18">
        <f t="shared" ca="1" si="37"/>
        <v>1</v>
      </c>
      <c r="N78" s="18" t="str">
        <f t="shared" ca="1" si="28"/>
        <v/>
      </c>
      <c r="O78" s="18" t="str" cm="1">
        <f t="array" aca="1" ref="O78" ca="1">IF(N78="","",IF(N78&lt;&gt;N77,1,IF(O77=misLíneas-2,0,O77+1)))</f>
        <v/>
      </c>
      <c r="P78" s="18" t="str" cm="1">
        <f t="array" aca="1" ref="P78" ca="1">IF(OR(O78=0,O78=""),"",INDEX(misCriticidades,N78)&amp;"-"&amp;IFERROR(MATCH(O78,miOrdenTarjeta,0),0))</f>
        <v/>
      </c>
      <c r="Q78" s="17" t="str">
        <f ca="1"/>
        <v/>
      </c>
      <c r="R78" s="18">
        <f t="shared" ca="1" si="38"/>
        <v>9</v>
      </c>
      <c r="S78" s="18">
        <f t="shared" ca="1" si="29"/>
        <v>22</v>
      </c>
      <c r="T78" s="18" cm="1">
        <f t="array" aca="1" ref="T78" ca="1">IF(S78="","",IF(S78&lt;&gt;S77,1,IF(T77=misLíneas-2,0,T77+1)))</f>
        <v>4</v>
      </c>
      <c r="U78" s="18" t="str" cm="1">
        <f t="array" aca="1" ref="U78" ca="1">IF(OR(T78=0,T78=""),"",INDEX(misCriticidades,S78)&amp;"-"&amp;IFERROR(MATCH(T78,miOrdenTarjeta,0),0))</f>
        <v>2-4</v>
      </c>
      <c r="V78" s="17" t="str">
        <f ca="1"/>
        <v/>
      </c>
      <c r="W78" s="18">
        <f t="shared" ca="1" si="39"/>
        <v>1</v>
      </c>
      <c r="X78" s="18" t="str">
        <f t="shared" ca="1" si="30"/>
        <v/>
      </c>
      <c r="Y78" s="18" t="str" cm="1">
        <f t="array" aca="1" ref="Y78" ca="1">IF(X78="","",IF(X78&lt;&gt;X77,1,IF(Y77=misLíneas-2,0,Y77+1)))</f>
        <v/>
      </c>
      <c r="Z78" s="18" t="str" cm="1">
        <f t="array" aca="1" ref="Z78" ca="1">IF(OR(Y78=0,Y78=""),"",INDEX(misCriticidades,X78)&amp;"-"&amp;IFERROR(MATCH(Y78,miOrdenTarjeta,0),0))</f>
        <v/>
      </c>
      <c r="AA78" s="17" t="str">
        <f ca="1"/>
        <v/>
      </c>
      <c r="AB78" s="18">
        <f t="shared" ca="1" si="40"/>
        <v>1</v>
      </c>
      <c r="AC78" s="18" t="str">
        <f t="shared" ca="1" si="31"/>
        <v/>
      </c>
      <c r="AD78" s="18" t="str" cm="1">
        <f t="array" aca="1" ref="AD78" ca="1">IF(AC78="","",IF(AC78&lt;&gt;AC77,1,IF(AD77=misLíneas-2,0,AD77+1)))</f>
        <v/>
      </c>
      <c r="AE78" s="18" t="str" cm="1">
        <f t="array" aca="1" ref="AE78" ca="1">IF(OR(AD78=0,AD78=""),"",INDEX(misCriticidades,AC78)&amp;"-"&amp;IFERROR(MATCH(AD78,miOrdenTarjeta,0),0))</f>
        <v/>
      </c>
      <c r="AF78" s="17" t="str">
        <f ca="1"/>
        <v/>
      </c>
      <c r="AG78" s="18">
        <f t="shared" ca="1" si="41"/>
        <v>1</v>
      </c>
      <c r="AH78" s="18" t="str">
        <f t="shared" ca="1" si="32"/>
        <v/>
      </c>
      <c r="AI78" s="18" t="str" cm="1">
        <f t="array" aca="1" ref="AI78" ca="1">IF(AH78="","",IF(AH78&lt;&gt;AH77,1,IF(AI77=misLíneas-2,0,AI77+1)))</f>
        <v/>
      </c>
      <c r="AJ78" s="18" t="str" cm="1">
        <f t="array" aca="1" ref="AJ78" ca="1">IF(OR(AI78=0,AI78=""),"",INDEX(misCriticidades,AH78)&amp;"-"&amp;IFERROR(MATCH(AI78,miOrdenTarjeta,0),0))</f>
        <v/>
      </c>
      <c r="AK78" s="17" t="str">
        <f ca="1"/>
        <v/>
      </c>
      <c r="AL78" s="18">
        <f t="shared" ca="1" si="42"/>
        <v>1</v>
      </c>
      <c r="AM78" s="18" t="str">
        <f t="shared" ca="1" si="33"/>
        <v/>
      </c>
      <c r="AN78" s="18" t="str" cm="1">
        <f t="array" aca="1" ref="AN78" ca="1">IF(AM78="","",IF(AM78&lt;&gt;AM77,1,IF(AN77=misLíneas-2,0,AN77+1)))</f>
        <v/>
      </c>
      <c r="AO78" s="18" t="str" cm="1">
        <f t="array" aca="1" ref="AO78" ca="1">IF(OR(AN78=0,AN78=""),"",INDEX(misCriticidades,AM78)&amp;"-"&amp;IFERROR(MATCH(AN78,miOrdenTarjeta,0),0))</f>
        <v/>
      </c>
      <c r="AP78" s="17" t="str">
        <f ca="1"/>
        <v/>
      </c>
      <c r="AQ78" s="18">
        <f t="shared" ca="1" si="43"/>
        <v>1</v>
      </c>
      <c r="AR78" s="18" t="str">
        <f t="shared" ca="1" si="34"/>
        <v/>
      </c>
      <c r="AS78" s="18" t="str" cm="1">
        <f t="array" aca="1" ref="AS78" ca="1">IF(AR78="","",IF(AR78&lt;&gt;AR77,1,IF(AS77=misLíneas-2,0,AS77+1)))</f>
        <v/>
      </c>
      <c r="AT78" s="18" t="str" cm="1">
        <f t="array" aca="1" ref="AT78" ca="1">IF(OR(AS78=0,AS78=""),"",INDEX(misCriticidades,AR78)&amp;"-"&amp;IFERROR(MATCH(AS78,miOrdenTarjeta,0),0))</f>
        <v/>
      </c>
      <c r="AU78" s="17" t="str">
        <f ca="1"/>
        <v/>
      </c>
      <c r="AV78" s="18">
        <f t="shared" ca="1" si="44"/>
        <v>1</v>
      </c>
      <c r="AW78" s="18" t="str">
        <f t="shared" ca="1" si="35"/>
        <v/>
      </c>
      <c r="AX78" s="18" t="str" cm="1">
        <f t="array" aca="1" ref="AX78" ca="1">IF(AW78="","",IF(AW78&lt;&gt;AW77,1,IF(AX77=misLíneas-2,0,AX77+1)))</f>
        <v/>
      </c>
      <c r="AY78" s="18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7" t="str">
        <f ca="1"/>
        <v/>
      </c>
      <c r="C79" s="18">
        <f t="shared" ca="1" si="45"/>
        <v>1</v>
      </c>
      <c r="D79" s="18" t="str">
        <f t="shared" ca="1" si="26"/>
        <v/>
      </c>
      <c r="E79" s="18" t="str" cm="1">
        <f t="array" aca="1" ref="E79" ca="1">IF(D79="","",IF(D79&lt;&gt;D78,1,IF(E78=misLíneas-2,0,E78+1)))</f>
        <v/>
      </c>
      <c r="F79" s="18" t="str" cm="1">
        <f t="array" aca="1" ref="F79" ca="1">IF(OR(E79=0,E79=""),"",INDEX(misCriticidades,D79)&amp;"-"&amp;IFERROR(MATCH(E79,miOrdenTarjeta,0),0))</f>
        <v/>
      </c>
      <c r="G79" s="17" t="str">
        <f ca="1"/>
        <v/>
      </c>
      <c r="H79" s="18">
        <f t="shared" ca="1" si="36"/>
        <v>1</v>
      </c>
      <c r="I79" s="18" t="str">
        <f t="shared" ca="1" si="27"/>
        <v/>
      </c>
      <c r="J79" s="18" t="str" cm="1">
        <f t="array" aca="1" ref="J79" ca="1">IF(I79="","",IF(I79&lt;&gt;I78,1,IF(J78=misLíneas-2,0,J78+1)))</f>
        <v/>
      </c>
      <c r="K79" s="18" t="str" cm="1">
        <f t="array" aca="1" ref="K79" ca="1">IF(OR(J79=0,J79=""),"",INDEX(misCriticidades,I79)&amp;"-"&amp;IFERROR(MATCH(J79,miOrdenTarjeta,0),0))</f>
        <v/>
      </c>
      <c r="L79" s="17" t="str">
        <f ca="1"/>
        <v/>
      </c>
      <c r="M79" s="18">
        <f t="shared" ca="1" si="37"/>
        <v>1</v>
      </c>
      <c r="N79" s="18" t="str">
        <f t="shared" ca="1" si="28"/>
        <v/>
      </c>
      <c r="O79" s="18" t="str" cm="1">
        <f t="array" aca="1" ref="O79" ca="1">IF(N79="","",IF(N79&lt;&gt;N78,1,IF(O78=misLíneas-2,0,O78+1)))</f>
        <v/>
      </c>
      <c r="P79" s="18" t="str" cm="1">
        <f t="array" aca="1" ref="P79" ca="1">IF(OR(O79=0,O79=""),"",INDEX(misCriticidades,N79)&amp;"-"&amp;IFERROR(MATCH(O79,miOrdenTarjeta,0),0))</f>
        <v/>
      </c>
      <c r="Q79" s="17" t="str">
        <f ca="1"/>
        <v/>
      </c>
      <c r="R79" s="18">
        <f t="shared" ca="1" si="38"/>
        <v>9</v>
      </c>
      <c r="S79" s="18">
        <f t="shared" ca="1" si="29"/>
        <v>22</v>
      </c>
      <c r="T79" s="18" cm="1">
        <f t="array" aca="1" ref="T79" ca="1">IF(S79="","",IF(S79&lt;&gt;S78,1,IF(T78=misLíneas-2,0,T78+1)))</f>
        <v>5</v>
      </c>
      <c r="U79" s="18" t="str" cm="1">
        <f t="array" aca="1" ref="U79" ca="1">IF(OR(T79=0,T79=""),"",INDEX(misCriticidades,S79)&amp;"-"&amp;IFERROR(MATCH(T79,miOrdenTarjeta,0),0))</f>
        <v>2-5</v>
      </c>
      <c r="V79" s="17" t="str">
        <f ca="1"/>
        <v/>
      </c>
      <c r="W79" s="18">
        <f t="shared" ca="1" si="39"/>
        <v>1</v>
      </c>
      <c r="X79" s="18" t="str">
        <f t="shared" ca="1" si="30"/>
        <v/>
      </c>
      <c r="Y79" s="18" t="str" cm="1">
        <f t="array" aca="1" ref="Y79" ca="1">IF(X79="","",IF(X79&lt;&gt;X78,1,IF(Y78=misLíneas-2,0,Y78+1)))</f>
        <v/>
      </c>
      <c r="Z79" s="18" t="str" cm="1">
        <f t="array" aca="1" ref="Z79" ca="1">IF(OR(Y79=0,Y79=""),"",INDEX(misCriticidades,X79)&amp;"-"&amp;IFERROR(MATCH(Y79,miOrdenTarjeta,0),0))</f>
        <v/>
      </c>
      <c r="AA79" s="17" t="str">
        <f ca="1"/>
        <v/>
      </c>
      <c r="AB79" s="18">
        <f t="shared" ca="1" si="40"/>
        <v>1</v>
      </c>
      <c r="AC79" s="18" t="str">
        <f t="shared" ca="1" si="31"/>
        <v/>
      </c>
      <c r="AD79" s="18" t="str" cm="1">
        <f t="array" aca="1" ref="AD79" ca="1">IF(AC79="","",IF(AC79&lt;&gt;AC78,1,IF(AD78=misLíneas-2,0,AD78+1)))</f>
        <v/>
      </c>
      <c r="AE79" s="18" t="str" cm="1">
        <f t="array" aca="1" ref="AE79" ca="1">IF(OR(AD79=0,AD79=""),"",INDEX(misCriticidades,AC79)&amp;"-"&amp;IFERROR(MATCH(AD79,miOrdenTarjeta,0),0))</f>
        <v/>
      </c>
      <c r="AF79" s="17" t="str">
        <f ca="1"/>
        <v/>
      </c>
      <c r="AG79" s="18">
        <f t="shared" ca="1" si="41"/>
        <v>1</v>
      </c>
      <c r="AH79" s="18" t="str">
        <f t="shared" ca="1" si="32"/>
        <v/>
      </c>
      <c r="AI79" s="18" t="str" cm="1">
        <f t="array" aca="1" ref="AI79" ca="1">IF(AH79="","",IF(AH79&lt;&gt;AH78,1,IF(AI78=misLíneas-2,0,AI78+1)))</f>
        <v/>
      </c>
      <c r="AJ79" s="18" t="str" cm="1">
        <f t="array" aca="1" ref="AJ79" ca="1">IF(OR(AI79=0,AI79=""),"",INDEX(misCriticidades,AH79)&amp;"-"&amp;IFERROR(MATCH(AI79,miOrdenTarjeta,0),0))</f>
        <v/>
      </c>
      <c r="AK79" s="17" t="str">
        <f ca="1"/>
        <v/>
      </c>
      <c r="AL79" s="18">
        <f t="shared" ca="1" si="42"/>
        <v>1</v>
      </c>
      <c r="AM79" s="18" t="str">
        <f t="shared" ca="1" si="33"/>
        <v/>
      </c>
      <c r="AN79" s="18" t="str" cm="1">
        <f t="array" aca="1" ref="AN79" ca="1">IF(AM79="","",IF(AM79&lt;&gt;AM78,1,IF(AN78=misLíneas-2,0,AN78+1)))</f>
        <v/>
      </c>
      <c r="AO79" s="18" t="str" cm="1">
        <f t="array" aca="1" ref="AO79" ca="1">IF(OR(AN79=0,AN79=""),"",INDEX(misCriticidades,AM79)&amp;"-"&amp;IFERROR(MATCH(AN79,miOrdenTarjeta,0),0))</f>
        <v/>
      </c>
      <c r="AP79" s="17" t="str">
        <f ca="1"/>
        <v/>
      </c>
      <c r="AQ79" s="18">
        <f t="shared" ca="1" si="43"/>
        <v>1</v>
      </c>
      <c r="AR79" s="18" t="str">
        <f t="shared" ca="1" si="34"/>
        <v/>
      </c>
      <c r="AS79" s="18" t="str" cm="1">
        <f t="array" aca="1" ref="AS79" ca="1">IF(AR79="","",IF(AR79&lt;&gt;AR78,1,IF(AS78=misLíneas-2,0,AS78+1)))</f>
        <v/>
      </c>
      <c r="AT79" s="18" t="str" cm="1">
        <f t="array" aca="1" ref="AT79" ca="1">IF(OR(AS79=0,AS79=""),"",INDEX(misCriticidades,AR79)&amp;"-"&amp;IFERROR(MATCH(AS79,miOrdenTarjeta,0),0))</f>
        <v/>
      </c>
      <c r="AU79" s="17" t="str">
        <f ca="1"/>
        <v/>
      </c>
      <c r="AV79" s="18">
        <f t="shared" ca="1" si="44"/>
        <v>1</v>
      </c>
      <c r="AW79" s="18" t="str">
        <f t="shared" ca="1" si="35"/>
        <v/>
      </c>
      <c r="AX79" s="18" t="str" cm="1">
        <f t="array" aca="1" ref="AX79" ca="1">IF(AW79="","",IF(AW79&lt;&gt;AW78,1,IF(AX78=misLíneas-2,0,AX78+1)))</f>
        <v/>
      </c>
      <c r="AY79" s="18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7" t="str">
        <f ca="1"/>
        <v/>
      </c>
      <c r="C80" s="18">
        <f t="shared" ca="1" si="45"/>
        <v>1</v>
      </c>
      <c r="D80" s="18" t="str">
        <f t="shared" ca="1" si="26"/>
        <v/>
      </c>
      <c r="E80" s="18" t="str" cm="1">
        <f t="array" aca="1" ref="E80" ca="1">IF(D80="","",IF(D80&lt;&gt;D79,1,IF(E79=misLíneas-2,0,E79+1)))</f>
        <v/>
      </c>
      <c r="F80" s="18" t="str" cm="1">
        <f t="array" aca="1" ref="F80" ca="1">IF(OR(E80=0,E80=""),"",INDEX(misCriticidades,D80)&amp;"-"&amp;IFERROR(MATCH(E80,miOrdenTarjeta,0),0))</f>
        <v/>
      </c>
      <c r="G80" s="17" t="str">
        <f ca="1"/>
        <v/>
      </c>
      <c r="H80" s="18">
        <f t="shared" ca="1" si="36"/>
        <v>1</v>
      </c>
      <c r="I80" s="18" t="str">
        <f t="shared" ca="1" si="27"/>
        <v/>
      </c>
      <c r="J80" s="18" t="str" cm="1">
        <f t="array" aca="1" ref="J80" ca="1">IF(I80="","",IF(I80&lt;&gt;I79,1,IF(J79=misLíneas-2,0,J79+1)))</f>
        <v/>
      </c>
      <c r="K80" s="18" t="str" cm="1">
        <f t="array" aca="1" ref="K80" ca="1">IF(OR(J80=0,J80=""),"",INDEX(misCriticidades,I80)&amp;"-"&amp;IFERROR(MATCH(J80,miOrdenTarjeta,0),0))</f>
        <v/>
      </c>
      <c r="L80" s="17" t="str">
        <f ca="1"/>
        <v/>
      </c>
      <c r="M80" s="18">
        <f t="shared" ca="1" si="37"/>
        <v>1</v>
      </c>
      <c r="N80" s="18" t="str">
        <f t="shared" ca="1" si="28"/>
        <v/>
      </c>
      <c r="O80" s="18" t="str" cm="1">
        <f t="array" aca="1" ref="O80" ca="1">IF(N80="","",IF(N80&lt;&gt;N79,1,IF(O79=misLíneas-2,0,O79+1)))</f>
        <v/>
      </c>
      <c r="P80" s="18" t="str" cm="1">
        <f t="array" aca="1" ref="P80" ca="1">IF(OR(O80=0,O80=""),"",INDEX(misCriticidades,N80)&amp;"-"&amp;IFERROR(MATCH(O80,miOrdenTarjeta,0),0))</f>
        <v/>
      </c>
      <c r="Q80" s="17" t="str">
        <f ca="1"/>
        <v/>
      </c>
      <c r="R80" s="18">
        <f t="shared" ca="1" si="38"/>
        <v>9</v>
      </c>
      <c r="S80" s="18">
        <f t="shared" ca="1" si="29"/>
        <v>22</v>
      </c>
      <c r="T80" s="18" cm="1">
        <f t="array" aca="1" ref="T80" ca="1">IF(S80="","",IF(S80&lt;&gt;S79,1,IF(T79=misLíneas-2,0,T79+1)))</f>
        <v>6</v>
      </c>
      <c r="U80" s="18" t="str" cm="1">
        <f t="array" aca="1" ref="U80" ca="1">IF(OR(T80=0,T80=""),"",INDEX(misCriticidades,S80)&amp;"-"&amp;IFERROR(MATCH(T80,miOrdenTarjeta,0),0))</f>
        <v>2-6</v>
      </c>
      <c r="V80" s="17" t="str">
        <f ca="1"/>
        <v/>
      </c>
      <c r="W80" s="18">
        <f t="shared" ca="1" si="39"/>
        <v>1</v>
      </c>
      <c r="X80" s="18" t="str">
        <f t="shared" ca="1" si="30"/>
        <v/>
      </c>
      <c r="Y80" s="18" t="str" cm="1">
        <f t="array" aca="1" ref="Y80" ca="1">IF(X80="","",IF(X80&lt;&gt;X79,1,IF(Y79=misLíneas-2,0,Y79+1)))</f>
        <v/>
      </c>
      <c r="Z80" s="18" t="str" cm="1">
        <f t="array" aca="1" ref="Z80" ca="1">IF(OR(Y80=0,Y80=""),"",INDEX(misCriticidades,X80)&amp;"-"&amp;IFERROR(MATCH(Y80,miOrdenTarjeta,0),0))</f>
        <v/>
      </c>
      <c r="AA80" s="17" t="str">
        <f ca="1"/>
        <v/>
      </c>
      <c r="AB80" s="18">
        <f t="shared" ca="1" si="40"/>
        <v>1</v>
      </c>
      <c r="AC80" s="18" t="str">
        <f t="shared" ca="1" si="31"/>
        <v/>
      </c>
      <c r="AD80" s="18" t="str" cm="1">
        <f t="array" aca="1" ref="AD80" ca="1">IF(AC80="","",IF(AC80&lt;&gt;AC79,1,IF(AD79=misLíneas-2,0,AD79+1)))</f>
        <v/>
      </c>
      <c r="AE80" s="18" t="str" cm="1">
        <f t="array" aca="1" ref="AE80" ca="1">IF(OR(AD80=0,AD80=""),"",INDEX(misCriticidades,AC80)&amp;"-"&amp;IFERROR(MATCH(AD80,miOrdenTarjeta,0),0))</f>
        <v/>
      </c>
      <c r="AF80" s="17" t="str">
        <f ca="1"/>
        <v/>
      </c>
      <c r="AG80" s="18">
        <f t="shared" ca="1" si="41"/>
        <v>1</v>
      </c>
      <c r="AH80" s="18" t="str">
        <f t="shared" ca="1" si="32"/>
        <v/>
      </c>
      <c r="AI80" s="18" t="str" cm="1">
        <f t="array" aca="1" ref="AI80" ca="1">IF(AH80="","",IF(AH80&lt;&gt;AH79,1,IF(AI79=misLíneas-2,0,AI79+1)))</f>
        <v/>
      </c>
      <c r="AJ80" s="18" t="str" cm="1">
        <f t="array" aca="1" ref="AJ80" ca="1">IF(OR(AI80=0,AI80=""),"",INDEX(misCriticidades,AH80)&amp;"-"&amp;IFERROR(MATCH(AI80,miOrdenTarjeta,0),0))</f>
        <v/>
      </c>
      <c r="AK80" s="17" t="str">
        <f ca="1"/>
        <v/>
      </c>
      <c r="AL80" s="18">
        <f t="shared" ca="1" si="42"/>
        <v>1</v>
      </c>
      <c r="AM80" s="18" t="str">
        <f t="shared" ca="1" si="33"/>
        <v/>
      </c>
      <c r="AN80" s="18" t="str" cm="1">
        <f t="array" aca="1" ref="AN80" ca="1">IF(AM80="","",IF(AM80&lt;&gt;AM79,1,IF(AN79=misLíneas-2,0,AN79+1)))</f>
        <v/>
      </c>
      <c r="AO80" s="18" t="str" cm="1">
        <f t="array" aca="1" ref="AO80" ca="1">IF(OR(AN80=0,AN80=""),"",INDEX(misCriticidades,AM80)&amp;"-"&amp;IFERROR(MATCH(AN80,miOrdenTarjeta,0),0))</f>
        <v/>
      </c>
      <c r="AP80" s="17" t="str">
        <f ca="1"/>
        <v/>
      </c>
      <c r="AQ80" s="18">
        <f t="shared" ca="1" si="43"/>
        <v>1</v>
      </c>
      <c r="AR80" s="18" t="str">
        <f t="shared" ca="1" si="34"/>
        <v/>
      </c>
      <c r="AS80" s="18" t="str" cm="1">
        <f t="array" aca="1" ref="AS80" ca="1">IF(AR80="","",IF(AR80&lt;&gt;AR79,1,IF(AS79=misLíneas-2,0,AS79+1)))</f>
        <v/>
      </c>
      <c r="AT80" s="18" t="str" cm="1">
        <f t="array" aca="1" ref="AT80" ca="1">IF(OR(AS80=0,AS80=""),"",INDEX(misCriticidades,AR80)&amp;"-"&amp;IFERROR(MATCH(AS80,miOrdenTarjeta,0),0))</f>
        <v/>
      </c>
      <c r="AU80" s="17" t="str">
        <f ca="1"/>
        <v/>
      </c>
      <c r="AV80" s="18">
        <f t="shared" ca="1" si="44"/>
        <v>1</v>
      </c>
      <c r="AW80" s="18" t="str">
        <f t="shared" ca="1" si="35"/>
        <v/>
      </c>
      <c r="AX80" s="18" t="str" cm="1">
        <f t="array" aca="1" ref="AX80" ca="1">IF(AW80="","",IF(AW80&lt;&gt;AW79,1,IF(AX79=misLíneas-2,0,AX79+1)))</f>
        <v/>
      </c>
      <c r="AY80" s="18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7" t="str">
        <f ca="1"/>
        <v/>
      </c>
      <c r="C81" s="18">
        <f t="shared" ca="1" si="45"/>
        <v>1</v>
      </c>
      <c r="D81" s="18" t="str">
        <f t="shared" ca="1" si="26"/>
        <v/>
      </c>
      <c r="E81" s="18" t="str" cm="1">
        <f t="array" aca="1" ref="E81" ca="1">IF(D81="","",IF(D81&lt;&gt;D80,1,IF(E80=misLíneas-2,0,E80+1)))</f>
        <v/>
      </c>
      <c r="F81" s="18" t="str" cm="1">
        <f t="array" aca="1" ref="F81" ca="1">IF(OR(E81=0,E81=""),"",INDEX(misCriticidades,D81)&amp;"-"&amp;IFERROR(MATCH(E81,miOrdenTarjeta,0),0))</f>
        <v/>
      </c>
      <c r="G81" s="17" t="str">
        <f ca="1"/>
        <v/>
      </c>
      <c r="H81" s="18">
        <f t="shared" ca="1" si="36"/>
        <v>1</v>
      </c>
      <c r="I81" s="18" t="str">
        <f t="shared" ca="1" si="27"/>
        <v/>
      </c>
      <c r="J81" s="18" t="str" cm="1">
        <f t="array" aca="1" ref="J81" ca="1">IF(I81="","",IF(I81&lt;&gt;I80,1,IF(J80=misLíneas-2,0,J80+1)))</f>
        <v/>
      </c>
      <c r="K81" s="18" t="str" cm="1">
        <f t="array" aca="1" ref="K81" ca="1">IF(OR(J81=0,J81=""),"",INDEX(misCriticidades,I81)&amp;"-"&amp;IFERROR(MATCH(J81,miOrdenTarjeta,0),0))</f>
        <v/>
      </c>
      <c r="L81" s="17" t="str">
        <f ca="1"/>
        <v/>
      </c>
      <c r="M81" s="18">
        <f t="shared" ca="1" si="37"/>
        <v>1</v>
      </c>
      <c r="N81" s="18" t="str">
        <f t="shared" ca="1" si="28"/>
        <v/>
      </c>
      <c r="O81" s="18" t="str" cm="1">
        <f t="array" aca="1" ref="O81" ca="1">IF(N81="","",IF(N81&lt;&gt;N80,1,IF(O80=misLíneas-2,0,O80+1)))</f>
        <v/>
      </c>
      <c r="P81" s="18" t="str" cm="1">
        <f t="array" aca="1" ref="P81" ca="1">IF(OR(O81=0,O81=""),"",INDEX(misCriticidades,N81)&amp;"-"&amp;IFERROR(MATCH(O81,miOrdenTarjeta,0),0))</f>
        <v/>
      </c>
      <c r="Q81" s="17" t="str">
        <f ca="1"/>
        <v/>
      </c>
      <c r="R81" s="18">
        <f t="shared" ca="1" si="38"/>
        <v>9</v>
      </c>
      <c r="S81" s="18">
        <f t="shared" ca="1" si="29"/>
        <v>22</v>
      </c>
      <c r="T81" s="18" cm="1">
        <f t="array" aca="1" ref="T81" ca="1">IF(S81="","",IF(S81&lt;&gt;S80,1,IF(T80=misLíneas-2,0,T80+1)))</f>
        <v>7</v>
      </c>
      <c r="U81" s="18" t="str" cm="1">
        <f t="array" aca="1" ref="U81" ca="1">IF(OR(T81=0,T81=""),"",INDEX(misCriticidades,S81)&amp;"-"&amp;IFERROR(MATCH(T81,miOrdenTarjeta,0),0))</f>
        <v>2-7</v>
      </c>
      <c r="V81" s="17" t="str">
        <f ca="1"/>
        <v/>
      </c>
      <c r="W81" s="18">
        <f t="shared" ca="1" si="39"/>
        <v>1</v>
      </c>
      <c r="X81" s="18" t="str">
        <f t="shared" ca="1" si="30"/>
        <v/>
      </c>
      <c r="Y81" s="18" t="str" cm="1">
        <f t="array" aca="1" ref="Y81" ca="1">IF(X81="","",IF(X81&lt;&gt;X80,1,IF(Y80=misLíneas-2,0,Y80+1)))</f>
        <v/>
      </c>
      <c r="Z81" s="18" t="str" cm="1">
        <f t="array" aca="1" ref="Z81" ca="1">IF(OR(Y81=0,Y81=""),"",INDEX(misCriticidades,X81)&amp;"-"&amp;IFERROR(MATCH(Y81,miOrdenTarjeta,0),0))</f>
        <v/>
      </c>
      <c r="AA81" s="17" t="str">
        <f ca="1"/>
        <v/>
      </c>
      <c r="AB81" s="18">
        <f t="shared" ca="1" si="40"/>
        <v>1</v>
      </c>
      <c r="AC81" s="18" t="str">
        <f t="shared" ca="1" si="31"/>
        <v/>
      </c>
      <c r="AD81" s="18" t="str" cm="1">
        <f t="array" aca="1" ref="AD81" ca="1">IF(AC81="","",IF(AC81&lt;&gt;AC80,1,IF(AD80=misLíneas-2,0,AD80+1)))</f>
        <v/>
      </c>
      <c r="AE81" s="18" t="str" cm="1">
        <f t="array" aca="1" ref="AE81" ca="1">IF(OR(AD81=0,AD81=""),"",INDEX(misCriticidades,AC81)&amp;"-"&amp;IFERROR(MATCH(AD81,miOrdenTarjeta,0),0))</f>
        <v/>
      </c>
      <c r="AF81" s="17" t="str">
        <f ca="1"/>
        <v/>
      </c>
      <c r="AG81" s="18">
        <f t="shared" ca="1" si="41"/>
        <v>1</v>
      </c>
      <c r="AH81" s="18" t="str">
        <f t="shared" ca="1" si="32"/>
        <v/>
      </c>
      <c r="AI81" s="18" t="str" cm="1">
        <f t="array" aca="1" ref="AI81" ca="1">IF(AH81="","",IF(AH81&lt;&gt;AH80,1,IF(AI80=misLíneas-2,0,AI80+1)))</f>
        <v/>
      </c>
      <c r="AJ81" s="18" t="str" cm="1">
        <f t="array" aca="1" ref="AJ81" ca="1">IF(OR(AI81=0,AI81=""),"",INDEX(misCriticidades,AH81)&amp;"-"&amp;IFERROR(MATCH(AI81,miOrdenTarjeta,0),0))</f>
        <v/>
      </c>
      <c r="AK81" s="17" t="str">
        <f ca="1"/>
        <v/>
      </c>
      <c r="AL81" s="18">
        <f t="shared" ca="1" si="42"/>
        <v>1</v>
      </c>
      <c r="AM81" s="18" t="str">
        <f t="shared" ca="1" si="33"/>
        <v/>
      </c>
      <c r="AN81" s="18" t="str" cm="1">
        <f t="array" aca="1" ref="AN81" ca="1">IF(AM81="","",IF(AM81&lt;&gt;AM80,1,IF(AN80=misLíneas-2,0,AN80+1)))</f>
        <v/>
      </c>
      <c r="AO81" s="18" t="str" cm="1">
        <f t="array" aca="1" ref="AO81" ca="1">IF(OR(AN81=0,AN81=""),"",INDEX(misCriticidades,AM81)&amp;"-"&amp;IFERROR(MATCH(AN81,miOrdenTarjeta,0),0))</f>
        <v/>
      </c>
      <c r="AP81" s="17" t="str">
        <f ca="1"/>
        <v/>
      </c>
      <c r="AQ81" s="18">
        <f t="shared" ca="1" si="43"/>
        <v>1</v>
      </c>
      <c r="AR81" s="18" t="str">
        <f t="shared" ca="1" si="34"/>
        <v/>
      </c>
      <c r="AS81" s="18" t="str" cm="1">
        <f t="array" aca="1" ref="AS81" ca="1">IF(AR81="","",IF(AR81&lt;&gt;AR80,1,IF(AS80=misLíneas-2,0,AS80+1)))</f>
        <v/>
      </c>
      <c r="AT81" s="18" t="str" cm="1">
        <f t="array" aca="1" ref="AT81" ca="1">IF(OR(AS81=0,AS81=""),"",INDEX(misCriticidades,AR81)&amp;"-"&amp;IFERROR(MATCH(AS81,miOrdenTarjeta,0),0))</f>
        <v/>
      </c>
      <c r="AU81" s="17" t="str">
        <f ca="1"/>
        <v/>
      </c>
      <c r="AV81" s="18">
        <f t="shared" ca="1" si="44"/>
        <v>1</v>
      </c>
      <c r="AW81" s="18" t="str">
        <f t="shared" ca="1" si="35"/>
        <v/>
      </c>
      <c r="AX81" s="18" t="str" cm="1">
        <f t="array" aca="1" ref="AX81" ca="1">IF(AW81="","",IF(AW81&lt;&gt;AW80,1,IF(AX80=misLíneas-2,0,AX80+1)))</f>
        <v/>
      </c>
      <c r="AY81" s="18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7" t="str">
        <f ca="1"/>
        <v/>
      </c>
      <c r="C82" s="18">
        <f t="shared" ca="1" si="45"/>
        <v>1</v>
      </c>
      <c r="D82" s="18" t="str">
        <f t="shared" ca="1" si="26"/>
        <v/>
      </c>
      <c r="E82" s="18" t="str" cm="1">
        <f t="array" aca="1" ref="E82" ca="1">IF(D82="","",IF(D82&lt;&gt;D81,1,IF(E81=misLíneas-2,0,E81+1)))</f>
        <v/>
      </c>
      <c r="F82" s="18" t="str" cm="1">
        <f t="array" aca="1" ref="F82" ca="1">IF(OR(E82=0,E82=""),"",INDEX(misCriticidades,D82)&amp;"-"&amp;IFERROR(MATCH(E82,miOrdenTarjeta,0),0))</f>
        <v/>
      </c>
      <c r="G82" s="17" t="str">
        <f ca="1"/>
        <v/>
      </c>
      <c r="H82" s="18">
        <f t="shared" ca="1" si="36"/>
        <v>1</v>
      </c>
      <c r="I82" s="18" t="str">
        <f t="shared" ca="1" si="27"/>
        <v/>
      </c>
      <c r="J82" s="18" t="str" cm="1">
        <f t="array" aca="1" ref="J82" ca="1">IF(I82="","",IF(I82&lt;&gt;I81,1,IF(J81=misLíneas-2,0,J81+1)))</f>
        <v/>
      </c>
      <c r="K82" s="18" t="str" cm="1">
        <f t="array" aca="1" ref="K82" ca="1">IF(OR(J82=0,J82=""),"",INDEX(misCriticidades,I82)&amp;"-"&amp;IFERROR(MATCH(J82,miOrdenTarjeta,0),0))</f>
        <v/>
      </c>
      <c r="L82" s="17" t="str">
        <f ca="1"/>
        <v/>
      </c>
      <c r="M82" s="18">
        <f t="shared" ca="1" si="37"/>
        <v>1</v>
      </c>
      <c r="N82" s="18" t="str">
        <f t="shared" ca="1" si="28"/>
        <v/>
      </c>
      <c r="O82" s="18" t="str" cm="1">
        <f t="array" aca="1" ref="O82" ca="1">IF(N82="","",IF(N82&lt;&gt;N81,1,IF(O81=misLíneas-2,0,O81+1)))</f>
        <v/>
      </c>
      <c r="P82" s="18" t="str" cm="1">
        <f t="array" aca="1" ref="P82" ca="1">IF(OR(O82=0,O82=""),"",INDEX(misCriticidades,N82)&amp;"-"&amp;IFERROR(MATCH(O82,miOrdenTarjeta,0),0))</f>
        <v/>
      </c>
      <c r="Q82" s="17" t="str">
        <f ca="1"/>
        <v/>
      </c>
      <c r="R82" s="18">
        <f t="shared" ca="1" si="38"/>
        <v>9</v>
      </c>
      <c r="S82" s="18">
        <f t="shared" ca="1" si="29"/>
        <v>22</v>
      </c>
      <c r="T82" s="18" cm="1">
        <f t="array" aca="1" ref="T82" ca="1">IF(S82="","",IF(S82&lt;&gt;S81,1,IF(T81=misLíneas-2,0,T81+1)))</f>
        <v>8</v>
      </c>
      <c r="U82" s="18" t="str" cm="1">
        <f t="array" aca="1" ref="U82" ca="1">IF(OR(T82=0,T82=""),"",INDEX(misCriticidades,S82)&amp;"-"&amp;IFERROR(MATCH(T82,miOrdenTarjeta,0),0))</f>
        <v>2-8</v>
      </c>
      <c r="V82" s="17" t="str">
        <f ca="1"/>
        <v/>
      </c>
      <c r="W82" s="18">
        <f t="shared" ca="1" si="39"/>
        <v>1</v>
      </c>
      <c r="X82" s="18" t="str">
        <f t="shared" ca="1" si="30"/>
        <v/>
      </c>
      <c r="Y82" s="18" t="str" cm="1">
        <f t="array" aca="1" ref="Y82" ca="1">IF(X82="","",IF(X82&lt;&gt;X81,1,IF(Y81=misLíneas-2,0,Y81+1)))</f>
        <v/>
      </c>
      <c r="Z82" s="18" t="str" cm="1">
        <f t="array" aca="1" ref="Z82" ca="1">IF(OR(Y82=0,Y82=""),"",INDEX(misCriticidades,X82)&amp;"-"&amp;IFERROR(MATCH(Y82,miOrdenTarjeta,0),0))</f>
        <v/>
      </c>
      <c r="AA82" s="17" t="str">
        <f ca="1"/>
        <v/>
      </c>
      <c r="AB82" s="18">
        <f t="shared" ca="1" si="40"/>
        <v>1</v>
      </c>
      <c r="AC82" s="18" t="str">
        <f t="shared" ca="1" si="31"/>
        <v/>
      </c>
      <c r="AD82" s="18" t="str" cm="1">
        <f t="array" aca="1" ref="AD82" ca="1">IF(AC82="","",IF(AC82&lt;&gt;AC81,1,IF(AD81=misLíneas-2,0,AD81+1)))</f>
        <v/>
      </c>
      <c r="AE82" s="18" t="str" cm="1">
        <f t="array" aca="1" ref="AE82" ca="1">IF(OR(AD82=0,AD82=""),"",INDEX(misCriticidades,AC82)&amp;"-"&amp;IFERROR(MATCH(AD82,miOrdenTarjeta,0),0))</f>
        <v/>
      </c>
      <c r="AF82" s="17" t="str">
        <f ca="1"/>
        <v/>
      </c>
      <c r="AG82" s="18">
        <f t="shared" ca="1" si="41"/>
        <v>1</v>
      </c>
      <c r="AH82" s="18" t="str">
        <f t="shared" ca="1" si="32"/>
        <v/>
      </c>
      <c r="AI82" s="18" t="str" cm="1">
        <f t="array" aca="1" ref="AI82" ca="1">IF(AH82="","",IF(AH82&lt;&gt;AH81,1,IF(AI81=misLíneas-2,0,AI81+1)))</f>
        <v/>
      </c>
      <c r="AJ82" s="18" t="str" cm="1">
        <f t="array" aca="1" ref="AJ82" ca="1">IF(OR(AI82=0,AI82=""),"",INDEX(misCriticidades,AH82)&amp;"-"&amp;IFERROR(MATCH(AI82,miOrdenTarjeta,0),0))</f>
        <v/>
      </c>
      <c r="AK82" s="17" t="str">
        <f ca="1"/>
        <v/>
      </c>
      <c r="AL82" s="18">
        <f t="shared" ca="1" si="42"/>
        <v>1</v>
      </c>
      <c r="AM82" s="18" t="str">
        <f t="shared" ca="1" si="33"/>
        <v/>
      </c>
      <c r="AN82" s="18" t="str" cm="1">
        <f t="array" aca="1" ref="AN82" ca="1">IF(AM82="","",IF(AM82&lt;&gt;AM81,1,IF(AN81=misLíneas-2,0,AN81+1)))</f>
        <v/>
      </c>
      <c r="AO82" s="18" t="str" cm="1">
        <f t="array" aca="1" ref="AO82" ca="1">IF(OR(AN82=0,AN82=""),"",INDEX(misCriticidades,AM82)&amp;"-"&amp;IFERROR(MATCH(AN82,miOrdenTarjeta,0),0))</f>
        <v/>
      </c>
      <c r="AP82" s="17" t="str">
        <f ca="1"/>
        <v/>
      </c>
      <c r="AQ82" s="18">
        <f t="shared" ca="1" si="43"/>
        <v>1</v>
      </c>
      <c r="AR82" s="18" t="str">
        <f t="shared" ca="1" si="34"/>
        <v/>
      </c>
      <c r="AS82" s="18" t="str" cm="1">
        <f t="array" aca="1" ref="AS82" ca="1">IF(AR82="","",IF(AR82&lt;&gt;AR81,1,IF(AS81=misLíneas-2,0,AS81+1)))</f>
        <v/>
      </c>
      <c r="AT82" s="18" t="str" cm="1">
        <f t="array" aca="1" ref="AT82" ca="1">IF(OR(AS82=0,AS82=""),"",INDEX(misCriticidades,AR82)&amp;"-"&amp;IFERROR(MATCH(AS82,miOrdenTarjeta,0),0))</f>
        <v/>
      </c>
      <c r="AU82" s="17" t="str">
        <f ca="1"/>
        <v/>
      </c>
      <c r="AV82" s="18">
        <f t="shared" ca="1" si="44"/>
        <v>1</v>
      </c>
      <c r="AW82" s="18" t="str">
        <f t="shared" ca="1" si="35"/>
        <v/>
      </c>
      <c r="AX82" s="18" t="str" cm="1">
        <f t="array" aca="1" ref="AX82" ca="1">IF(AW82="","",IF(AW82&lt;&gt;AW81,1,IF(AX81=misLíneas-2,0,AX81+1)))</f>
        <v/>
      </c>
      <c r="AY82" s="18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7" t="str">
        <f ca="1"/>
        <v/>
      </c>
      <c r="C83" s="18">
        <f t="shared" ca="1" si="45"/>
        <v>1</v>
      </c>
      <c r="D83" s="18" t="str">
        <f t="shared" ca="1" si="26"/>
        <v/>
      </c>
      <c r="E83" s="18" t="str" cm="1">
        <f t="array" aca="1" ref="E83" ca="1">IF(D83="","",IF(D83&lt;&gt;D82,1,IF(E82=misLíneas-2,0,E82+1)))</f>
        <v/>
      </c>
      <c r="F83" s="18" t="str" cm="1">
        <f t="array" aca="1" ref="F83" ca="1">IF(OR(E83=0,E83=""),"",INDEX(misCriticidades,D83)&amp;"-"&amp;IFERROR(MATCH(E83,miOrdenTarjeta,0),0))</f>
        <v/>
      </c>
      <c r="G83" s="17" t="str">
        <f ca="1"/>
        <v/>
      </c>
      <c r="H83" s="18">
        <f t="shared" ca="1" si="36"/>
        <v>1</v>
      </c>
      <c r="I83" s="18" t="str">
        <f t="shared" ca="1" si="27"/>
        <v/>
      </c>
      <c r="J83" s="18" t="str" cm="1">
        <f t="array" aca="1" ref="J83" ca="1">IF(I83="","",IF(I83&lt;&gt;I82,1,IF(J82=misLíneas-2,0,J82+1)))</f>
        <v/>
      </c>
      <c r="K83" s="18" t="str" cm="1">
        <f t="array" aca="1" ref="K83" ca="1">IF(OR(J83=0,J83=""),"",INDEX(misCriticidades,I83)&amp;"-"&amp;IFERROR(MATCH(J83,miOrdenTarjeta,0),0))</f>
        <v/>
      </c>
      <c r="L83" s="17" t="str">
        <f ca="1"/>
        <v/>
      </c>
      <c r="M83" s="18">
        <f t="shared" ca="1" si="37"/>
        <v>1</v>
      </c>
      <c r="N83" s="18" t="str">
        <f t="shared" ca="1" si="28"/>
        <v/>
      </c>
      <c r="O83" s="18" t="str" cm="1">
        <f t="array" aca="1" ref="O83" ca="1">IF(N83="","",IF(N83&lt;&gt;N82,1,IF(O82=misLíneas-2,0,O82+1)))</f>
        <v/>
      </c>
      <c r="P83" s="18" t="str" cm="1">
        <f t="array" aca="1" ref="P83" ca="1">IF(OR(O83=0,O83=""),"",INDEX(misCriticidades,N83)&amp;"-"&amp;IFERROR(MATCH(O83,miOrdenTarjeta,0),0))</f>
        <v/>
      </c>
      <c r="Q83" s="17" t="str">
        <f ca="1"/>
        <v/>
      </c>
      <c r="R83" s="18">
        <f t="shared" ca="1" si="38"/>
        <v>9</v>
      </c>
      <c r="S83" s="18">
        <f t="shared" ca="1" si="29"/>
        <v>22</v>
      </c>
      <c r="T83" s="18" cm="1">
        <f t="array" aca="1" ref="T83" ca="1">IF(S83="","",IF(S83&lt;&gt;S82,1,IF(T82=misLíneas-2,0,T82+1)))</f>
        <v>0</v>
      </c>
      <c r="U83" s="18" t="str" cm="1">
        <f t="array" aca="1" ref="U83" ca="1">IF(OR(T83=0,T83=""),"",INDEX(misCriticidades,S83)&amp;"-"&amp;IFERROR(MATCH(T83,miOrdenTarjeta,0),0))</f>
        <v/>
      </c>
      <c r="V83" s="17" t="str">
        <f ca="1"/>
        <v/>
      </c>
      <c r="W83" s="18">
        <f t="shared" ca="1" si="39"/>
        <v>1</v>
      </c>
      <c r="X83" s="18" t="str">
        <f t="shared" ca="1" si="30"/>
        <v/>
      </c>
      <c r="Y83" s="18" t="str" cm="1">
        <f t="array" aca="1" ref="Y83" ca="1">IF(X83="","",IF(X83&lt;&gt;X82,1,IF(Y82=misLíneas-2,0,Y82+1)))</f>
        <v/>
      </c>
      <c r="Z83" s="18" t="str" cm="1">
        <f t="array" aca="1" ref="Z83" ca="1">IF(OR(Y83=0,Y83=""),"",INDEX(misCriticidades,X83)&amp;"-"&amp;IFERROR(MATCH(Y83,miOrdenTarjeta,0),0))</f>
        <v/>
      </c>
      <c r="AA83" s="17" t="str">
        <f ca="1"/>
        <v/>
      </c>
      <c r="AB83" s="18">
        <f t="shared" ca="1" si="40"/>
        <v>1</v>
      </c>
      <c r="AC83" s="18" t="str">
        <f t="shared" ca="1" si="31"/>
        <v/>
      </c>
      <c r="AD83" s="18" t="str" cm="1">
        <f t="array" aca="1" ref="AD83" ca="1">IF(AC83="","",IF(AC83&lt;&gt;AC82,1,IF(AD82=misLíneas-2,0,AD82+1)))</f>
        <v/>
      </c>
      <c r="AE83" s="18" t="str" cm="1">
        <f t="array" aca="1" ref="AE83" ca="1">IF(OR(AD83=0,AD83=""),"",INDEX(misCriticidades,AC83)&amp;"-"&amp;IFERROR(MATCH(AD83,miOrdenTarjeta,0),0))</f>
        <v/>
      </c>
      <c r="AF83" s="17" t="str">
        <f ca="1"/>
        <v/>
      </c>
      <c r="AG83" s="18">
        <f t="shared" ca="1" si="41"/>
        <v>1</v>
      </c>
      <c r="AH83" s="18" t="str">
        <f t="shared" ca="1" si="32"/>
        <v/>
      </c>
      <c r="AI83" s="18" t="str" cm="1">
        <f t="array" aca="1" ref="AI83" ca="1">IF(AH83="","",IF(AH83&lt;&gt;AH82,1,IF(AI82=misLíneas-2,0,AI82+1)))</f>
        <v/>
      </c>
      <c r="AJ83" s="18" t="str" cm="1">
        <f t="array" aca="1" ref="AJ83" ca="1">IF(OR(AI83=0,AI83=""),"",INDEX(misCriticidades,AH83)&amp;"-"&amp;IFERROR(MATCH(AI83,miOrdenTarjeta,0),0))</f>
        <v/>
      </c>
      <c r="AK83" s="17" t="str">
        <f ca="1"/>
        <v/>
      </c>
      <c r="AL83" s="18">
        <f t="shared" ca="1" si="42"/>
        <v>1</v>
      </c>
      <c r="AM83" s="18" t="str">
        <f t="shared" ca="1" si="33"/>
        <v/>
      </c>
      <c r="AN83" s="18" t="str" cm="1">
        <f t="array" aca="1" ref="AN83" ca="1">IF(AM83="","",IF(AM83&lt;&gt;AM82,1,IF(AN82=misLíneas-2,0,AN82+1)))</f>
        <v/>
      </c>
      <c r="AO83" s="18" t="str" cm="1">
        <f t="array" aca="1" ref="AO83" ca="1">IF(OR(AN83=0,AN83=""),"",INDEX(misCriticidades,AM83)&amp;"-"&amp;IFERROR(MATCH(AN83,miOrdenTarjeta,0),0))</f>
        <v/>
      </c>
      <c r="AP83" s="17" t="str">
        <f ca="1"/>
        <v/>
      </c>
      <c r="AQ83" s="18">
        <f t="shared" ca="1" si="43"/>
        <v>1</v>
      </c>
      <c r="AR83" s="18" t="str">
        <f t="shared" ca="1" si="34"/>
        <v/>
      </c>
      <c r="AS83" s="18" t="str" cm="1">
        <f t="array" aca="1" ref="AS83" ca="1">IF(AR83="","",IF(AR83&lt;&gt;AR82,1,IF(AS82=misLíneas-2,0,AS82+1)))</f>
        <v/>
      </c>
      <c r="AT83" s="18" t="str" cm="1">
        <f t="array" aca="1" ref="AT83" ca="1">IF(OR(AS83=0,AS83=""),"",INDEX(misCriticidades,AR83)&amp;"-"&amp;IFERROR(MATCH(AS83,miOrdenTarjeta,0),0))</f>
        <v/>
      </c>
      <c r="AU83" s="17" t="str">
        <f ca="1"/>
        <v/>
      </c>
      <c r="AV83" s="18">
        <f t="shared" ca="1" si="44"/>
        <v>1</v>
      </c>
      <c r="AW83" s="18" t="str">
        <f t="shared" ca="1" si="35"/>
        <v/>
      </c>
      <c r="AX83" s="18" t="str" cm="1">
        <f t="array" aca="1" ref="AX83" ca="1">IF(AW83="","",IF(AW83&lt;&gt;AW82,1,IF(AX82=misLíneas-2,0,AX82+1)))</f>
        <v/>
      </c>
      <c r="AY83" s="18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7" t="str">
        <f ca="1"/>
        <v/>
      </c>
      <c r="C84" s="18">
        <f t="shared" ca="1" si="45"/>
        <v>1</v>
      </c>
      <c r="D84" s="18" t="str">
        <f t="shared" ca="1" si="26"/>
        <v/>
      </c>
      <c r="E84" s="18" t="str" cm="1">
        <f t="array" aca="1" ref="E84" ca="1">IF(D84="","",IF(D84&lt;&gt;D83,1,IF(E83=misLíneas-2,0,E83+1)))</f>
        <v/>
      </c>
      <c r="F84" s="18" t="str" cm="1">
        <f t="array" aca="1" ref="F84" ca="1">IF(OR(E84=0,E84=""),"",INDEX(misCriticidades,D84)&amp;"-"&amp;IFERROR(MATCH(E84,miOrdenTarjeta,0),0))</f>
        <v/>
      </c>
      <c r="G84" s="17" t="str">
        <f ca="1"/>
        <v/>
      </c>
      <c r="H84" s="18">
        <f t="shared" ca="1" si="36"/>
        <v>1</v>
      </c>
      <c r="I84" s="18" t="str">
        <f t="shared" ca="1" si="27"/>
        <v/>
      </c>
      <c r="J84" s="18" t="str" cm="1">
        <f t="array" aca="1" ref="J84" ca="1">IF(I84="","",IF(I84&lt;&gt;I83,1,IF(J83=misLíneas-2,0,J83+1)))</f>
        <v/>
      </c>
      <c r="K84" s="18" t="str" cm="1">
        <f t="array" aca="1" ref="K84" ca="1">IF(OR(J84=0,J84=""),"",INDEX(misCriticidades,I84)&amp;"-"&amp;IFERROR(MATCH(J84,miOrdenTarjeta,0),0))</f>
        <v/>
      </c>
      <c r="L84" s="17" t="str">
        <f ca="1"/>
        <v/>
      </c>
      <c r="M84" s="18">
        <f t="shared" ca="1" si="37"/>
        <v>1</v>
      </c>
      <c r="N84" s="18" t="str">
        <f t="shared" ca="1" si="28"/>
        <v/>
      </c>
      <c r="O84" s="18" t="str" cm="1">
        <f t="array" aca="1" ref="O84" ca="1">IF(N84="","",IF(N84&lt;&gt;N83,1,IF(O83=misLíneas-2,0,O83+1)))</f>
        <v/>
      </c>
      <c r="P84" s="18" t="str" cm="1">
        <f t="array" aca="1" ref="P84" ca="1">IF(OR(O84=0,O84=""),"",INDEX(misCriticidades,N84)&amp;"-"&amp;IFERROR(MATCH(O84,miOrdenTarjeta,0),0))</f>
        <v/>
      </c>
      <c r="Q84" s="17" t="str">
        <f ca="1"/>
        <v/>
      </c>
      <c r="R84" s="18">
        <f t="shared" ca="1" si="38"/>
        <v>10</v>
      </c>
      <c r="S84" s="18">
        <f t="shared" ca="1" si="29"/>
        <v>21</v>
      </c>
      <c r="T84" s="18" cm="1">
        <f t="array" aca="1" ref="T84" ca="1">IF(S84="","",IF(S84&lt;&gt;S83,1,IF(T83=misLíneas-2,0,T83+1)))</f>
        <v>1</v>
      </c>
      <c r="U84" s="18" t="str" cm="1">
        <f t="array" aca="1" ref="U84" ca="1">IF(OR(T84=0,T84=""),"",INDEX(misCriticidades,S84)&amp;"-"&amp;IFERROR(MATCH(T84,miOrdenTarjeta,0),0))</f>
        <v>2-1</v>
      </c>
      <c r="V84" s="17" t="str">
        <f ca="1"/>
        <v/>
      </c>
      <c r="W84" s="18">
        <f t="shared" ca="1" si="39"/>
        <v>1</v>
      </c>
      <c r="X84" s="18" t="str">
        <f t="shared" ca="1" si="30"/>
        <v/>
      </c>
      <c r="Y84" s="18" t="str" cm="1">
        <f t="array" aca="1" ref="Y84" ca="1">IF(X84="","",IF(X84&lt;&gt;X83,1,IF(Y83=misLíneas-2,0,Y83+1)))</f>
        <v/>
      </c>
      <c r="Z84" s="18" t="str" cm="1">
        <f t="array" aca="1" ref="Z84" ca="1">IF(OR(Y84=0,Y84=""),"",INDEX(misCriticidades,X84)&amp;"-"&amp;IFERROR(MATCH(Y84,miOrdenTarjeta,0),0))</f>
        <v/>
      </c>
      <c r="AA84" s="17" t="str">
        <f ca="1"/>
        <v/>
      </c>
      <c r="AB84" s="18">
        <f t="shared" ca="1" si="40"/>
        <v>1</v>
      </c>
      <c r="AC84" s="18" t="str">
        <f t="shared" ca="1" si="31"/>
        <v/>
      </c>
      <c r="AD84" s="18" t="str" cm="1">
        <f t="array" aca="1" ref="AD84" ca="1">IF(AC84="","",IF(AC84&lt;&gt;AC83,1,IF(AD83=misLíneas-2,0,AD83+1)))</f>
        <v/>
      </c>
      <c r="AE84" s="18" t="str" cm="1">
        <f t="array" aca="1" ref="AE84" ca="1">IF(OR(AD84=0,AD84=""),"",INDEX(misCriticidades,AC84)&amp;"-"&amp;IFERROR(MATCH(AD84,miOrdenTarjeta,0),0))</f>
        <v/>
      </c>
      <c r="AF84" s="17" t="str">
        <f ca="1"/>
        <v/>
      </c>
      <c r="AG84" s="18">
        <f t="shared" ca="1" si="41"/>
        <v>1</v>
      </c>
      <c r="AH84" s="18" t="str">
        <f t="shared" ca="1" si="32"/>
        <v/>
      </c>
      <c r="AI84" s="18" t="str" cm="1">
        <f t="array" aca="1" ref="AI84" ca="1">IF(AH84="","",IF(AH84&lt;&gt;AH83,1,IF(AI83=misLíneas-2,0,AI83+1)))</f>
        <v/>
      </c>
      <c r="AJ84" s="18" t="str" cm="1">
        <f t="array" aca="1" ref="AJ84" ca="1">IF(OR(AI84=0,AI84=""),"",INDEX(misCriticidades,AH84)&amp;"-"&amp;IFERROR(MATCH(AI84,miOrdenTarjeta,0),0))</f>
        <v/>
      </c>
      <c r="AK84" s="17" t="str">
        <f ca="1"/>
        <v/>
      </c>
      <c r="AL84" s="18">
        <f t="shared" ca="1" si="42"/>
        <v>1</v>
      </c>
      <c r="AM84" s="18" t="str">
        <f t="shared" ca="1" si="33"/>
        <v/>
      </c>
      <c r="AN84" s="18" t="str" cm="1">
        <f t="array" aca="1" ref="AN84" ca="1">IF(AM84="","",IF(AM84&lt;&gt;AM83,1,IF(AN83=misLíneas-2,0,AN83+1)))</f>
        <v/>
      </c>
      <c r="AO84" s="18" t="str" cm="1">
        <f t="array" aca="1" ref="AO84" ca="1">IF(OR(AN84=0,AN84=""),"",INDEX(misCriticidades,AM84)&amp;"-"&amp;IFERROR(MATCH(AN84,miOrdenTarjeta,0),0))</f>
        <v/>
      </c>
      <c r="AP84" s="17" t="str">
        <f ca="1"/>
        <v/>
      </c>
      <c r="AQ84" s="18">
        <f t="shared" ca="1" si="43"/>
        <v>1</v>
      </c>
      <c r="AR84" s="18" t="str">
        <f t="shared" ca="1" si="34"/>
        <v/>
      </c>
      <c r="AS84" s="18" t="str" cm="1">
        <f t="array" aca="1" ref="AS84" ca="1">IF(AR84="","",IF(AR84&lt;&gt;AR83,1,IF(AS83=misLíneas-2,0,AS83+1)))</f>
        <v/>
      </c>
      <c r="AT84" s="18" t="str" cm="1">
        <f t="array" aca="1" ref="AT84" ca="1">IF(OR(AS84=0,AS84=""),"",INDEX(misCriticidades,AR84)&amp;"-"&amp;IFERROR(MATCH(AS84,miOrdenTarjeta,0),0))</f>
        <v/>
      </c>
      <c r="AU84" s="17" t="str">
        <f ca="1"/>
        <v/>
      </c>
      <c r="AV84" s="18">
        <f t="shared" ca="1" si="44"/>
        <v>1</v>
      </c>
      <c r="AW84" s="18" t="str">
        <f t="shared" ca="1" si="35"/>
        <v/>
      </c>
      <c r="AX84" s="18" t="str" cm="1">
        <f t="array" aca="1" ref="AX84" ca="1">IF(AW84="","",IF(AW84&lt;&gt;AW83,1,IF(AX83=misLíneas-2,0,AX83+1)))</f>
        <v/>
      </c>
      <c r="AY84" s="18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7" t="str">
        <f ca="1"/>
        <v/>
      </c>
      <c r="C85" s="18">
        <f t="shared" ca="1" si="45"/>
        <v>1</v>
      </c>
      <c r="D85" s="18" t="str">
        <f t="shared" ca="1" si="26"/>
        <v/>
      </c>
      <c r="E85" s="18" t="str" cm="1">
        <f t="array" aca="1" ref="E85" ca="1">IF(D85="","",IF(D85&lt;&gt;D84,1,IF(E84=misLíneas-2,0,E84+1)))</f>
        <v/>
      </c>
      <c r="F85" s="18" t="str" cm="1">
        <f t="array" aca="1" ref="F85" ca="1">IF(OR(E85=0,E85=""),"",INDEX(misCriticidades,D85)&amp;"-"&amp;IFERROR(MATCH(E85,miOrdenTarjeta,0),0))</f>
        <v/>
      </c>
      <c r="G85" s="17" t="str">
        <f ca="1"/>
        <v/>
      </c>
      <c r="H85" s="18">
        <f t="shared" ca="1" si="36"/>
        <v>1</v>
      </c>
      <c r="I85" s="18" t="str">
        <f t="shared" ca="1" si="27"/>
        <v/>
      </c>
      <c r="J85" s="18" t="str" cm="1">
        <f t="array" aca="1" ref="J85" ca="1">IF(I85="","",IF(I85&lt;&gt;I84,1,IF(J84=misLíneas-2,0,J84+1)))</f>
        <v/>
      </c>
      <c r="K85" s="18" t="str" cm="1">
        <f t="array" aca="1" ref="K85" ca="1">IF(OR(J85=0,J85=""),"",INDEX(misCriticidades,I85)&amp;"-"&amp;IFERROR(MATCH(J85,miOrdenTarjeta,0),0))</f>
        <v/>
      </c>
      <c r="L85" s="17" t="str">
        <f ca="1"/>
        <v/>
      </c>
      <c r="M85" s="18">
        <f t="shared" ca="1" si="37"/>
        <v>1</v>
      </c>
      <c r="N85" s="18" t="str">
        <f t="shared" ca="1" si="28"/>
        <v/>
      </c>
      <c r="O85" s="18" t="str" cm="1">
        <f t="array" aca="1" ref="O85" ca="1">IF(N85="","",IF(N85&lt;&gt;N84,1,IF(O84=misLíneas-2,0,O84+1)))</f>
        <v/>
      </c>
      <c r="P85" s="18" t="str" cm="1">
        <f t="array" aca="1" ref="P85" ca="1">IF(OR(O85=0,O85=""),"",INDEX(misCriticidades,N85)&amp;"-"&amp;IFERROR(MATCH(O85,miOrdenTarjeta,0),0))</f>
        <v/>
      </c>
      <c r="Q85" s="17">
        <f ca="1"/>
        <v>84</v>
      </c>
      <c r="R85" s="18">
        <f t="shared" ca="1" si="38"/>
        <v>10</v>
      </c>
      <c r="S85" s="18">
        <f t="shared" ca="1" si="29"/>
        <v>21</v>
      </c>
      <c r="T85" s="18" cm="1">
        <f t="array" aca="1" ref="T85" ca="1">IF(S85="","",IF(S85&lt;&gt;S84,1,IF(T84=misLíneas-2,0,T84+1)))</f>
        <v>2</v>
      </c>
      <c r="U85" s="18" t="str" cm="1">
        <f t="array" aca="1" ref="U85" ca="1">IF(OR(T85=0,T85=""),"",INDEX(misCriticidades,S85)&amp;"-"&amp;IFERROR(MATCH(T85,miOrdenTarjeta,0),0))</f>
        <v>2-2</v>
      </c>
      <c r="V85" s="17" t="str">
        <f ca="1"/>
        <v/>
      </c>
      <c r="W85" s="18">
        <f t="shared" ca="1" si="39"/>
        <v>1</v>
      </c>
      <c r="X85" s="18" t="str">
        <f t="shared" ca="1" si="30"/>
        <v/>
      </c>
      <c r="Y85" s="18" t="str" cm="1">
        <f t="array" aca="1" ref="Y85" ca="1">IF(X85="","",IF(X85&lt;&gt;X84,1,IF(Y84=misLíneas-2,0,Y84+1)))</f>
        <v/>
      </c>
      <c r="Z85" s="18" t="str" cm="1">
        <f t="array" aca="1" ref="Z85" ca="1">IF(OR(Y85=0,Y85=""),"",INDEX(misCriticidades,X85)&amp;"-"&amp;IFERROR(MATCH(Y85,miOrdenTarjeta,0),0))</f>
        <v/>
      </c>
      <c r="AA85" s="17" t="str">
        <f ca="1"/>
        <v/>
      </c>
      <c r="AB85" s="18">
        <f t="shared" ca="1" si="40"/>
        <v>1</v>
      </c>
      <c r="AC85" s="18" t="str">
        <f t="shared" ca="1" si="31"/>
        <v/>
      </c>
      <c r="AD85" s="18" t="str" cm="1">
        <f t="array" aca="1" ref="AD85" ca="1">IF(AC85="","",IF(AC85&lt;&gt;AC84,1,IF(AD84=misLíneas-2,0,AD84+1)))</f>
        <v/>
      </c>
      <c r="AE85" s="18" t="str" cm="1">
        <f t="array" aca="1" ref="AE85" ca="1">IF(OR(AD85=0,AD85=""),"",INDEX(misCriticidades,AC85)&amp;"-"&amp;IFERROR(MATCH(AD85,miOrdenTarjeta,0),0))</f>
        <v/>
      </c>
      <c r="AF85" s="17" t="str">
        <f ca="1"/>
        <v/>
      </c>
      <c r="AG85" s="18">
        <f t="shared" ca="1" si="41"/>
        <v>1</v>
      </c>
      <c r="AH85" s="18" t="str">
        <f t="shared" ca="1" si="32"/>
        <v/>
      </c>
      <c r="AI85" s="18" t="str" cm="1">
        <f t="array" aca="1" ref="AI85" ca="1">IF(AH85="","",IF(AH85&lt;&gt;AH84,1,IF(AI84=misLíneas-2,0,AI84+1)))</f>
        <v/>
      </c>
      <c r="AJ85" s="18" t="str" cm="1">
        <f t="array" aca="1" ref="AJ85" ca="1">IF(OR(AI85=0,AI85=""),"",INDEX(misCriticidades,AH85)&amp;"-"&amp;IFERROR(MATCH(AI85,miOrdenTarjeta,0),0))</f>
        <v/>
      </c>
      <c r="AK85" s="17" t="str">
        <f ca="1"/>
        <v/>
      </c>
      <c r="AL85" s="18">
        <f t="shared" ca="1" si="42"/>
        <v>1</v>
      </c>
      <c r="AM85" s="18" t="str">
        <f t="shared" ca="1" si="33"/>
        <v/>
      </c>
      <c r="AN85" s="18" t="str" cm="1">
        <f t="array" aca="1" ref="AN85" ca="1">IF(AM85="","",IF(AM85&lt;&gt;AM84,1,IF(AN84=misLíneas-2,0,AN84+1)))</f>
        <v/>
      </c>
      <c r="AO85" s="18" t="str" cm="1">
        <f t="array" aca="1" ref="AO85" ca="1">IF(OR(AN85=0,AN85=""),"",INDEX(misCriticidades,AM85)&amp;"-"&amp;IFERROR(MATCH(AN85,miOrdenTarjeta,0),0))</f>
        <v/>
      </c>
      <c r="AP85" s="17" t="str">
        <f ca="1"/>
        <v/>
      </c>
      <c r="AQ85" s="18">
        <f t="shared" ca="1" si="43"/>
        <v>1</v>
      </c>
      <c r="AR85" s="18" t="str">
        <f t="shared" ca="1" si="34"/>
        <v/>
      </c>
      <c r="AS85" s="18" t="str" cm="1">
        <f t="array" aca="1" ref="AS85" ca="1">IF(AR85="","",IF(AR85&lt;&gt;AR84,1,IF(AS84=misLíneas-2,0,AS84+1)))</f>
        <v/>
      </c>
      <c r="AT85" s="18" t="str" cm="1">
        <f t="array" aca="1" ref="AT85" ca="1">IF(OR(AS85=0,AS85=""),"",INDEX(misCriticidades,AR85)&amp;"-"&amp;IFERROR(MATCH(AS85,miOrdenTarjeta,0),0))</f>
        <v/>
      </c>
      <c r="AU85" s="17" t="str">
        <f ca="1"/>
        <v/>
      </c>
      <c r="AV85" s="18">
        <f t="shared" ca="1" si="44"/>
        <v>1</v>
      </c>
      <c r="AW85" s="18" t="str">
        <f t="shared" ca="1" si="35"/>
        <v/>
      </c>
      <c r="AX85" s="18" t="str" cm="1">
        <f t="array" aca="1" ref="AX85" ca="1">IF(AW85="","",IF(AW85&lt;&gt;AW84,1,IF(AX84=misLíneas-2,0,AX84+1)))</f>
        <v/>
      </c>
      <c r="AY85" s="18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7" t="str">
        <f ca="1"/>
        <v/>
      </c>
      <c r="C86" s="18">
        <f t="shared" ca="1" si="45"/>
        <v>1</v>
      </c>
      <c r="D86" s="18" t="str">
        <f t="shared" ca="1" si="26"/>
        <v/>
      </c>
      <c r="E86" s="18" t="str" cm="1">
        <f t="array" aca="1" ref="E86" ca="1">IF(D86="","",IF(D86&lt;&gt;D85,1,IF(E85=misLíneas-2,0,E85+1)))</f>
        <v/>
      </c>
      <c r="F86" s="18" t="str" cm="1">
        <f t="array" aca="1" ref="F86" ca="1">IF(OR(E86=0,E86=""),"",INDEX(misCriticidades,D86)&amp;"-"&amp;IFERROR(MATCH(E86,miOrdenTarjeta,0),0))</f>
        <v/>
      </c>
      <c r="G86" s="17" t="str">
        <f ca="1"/>
        <v/>
      </c>
      <c r="H86" s="18">
        <f t="shared" ca="1" si="36"/>
        <v>1</v>
      </c>
      <c r="I86" s="18" t="str">
        <f t="shared" ca="1" si="27"/>
        <v/>
      </c>
      <c r="J86" s="18" t="str" cm="1">
        <f t="array" aca="1" ref="J86" ca="1">IF(I86="","",IF(I86&lt;&gt;I85,1,IF(J85=misLíneas-2,0,J85+1)))</f>
        <v/>
      </c>
      <c r="K86" s="18" t="str" cm="1">
        <f t="array" aca="1" ref="K86" ca="1">IF(OR(J86=0,J86=""),"",INDEX(misCriticidades,I86)&amp;"-"&amp;IFERROR(MATCH(J86,miOrdenTarjeta,0),0))</f>
        <v/>
      </c>
      <c r="L86" s="17" t="str">
        <f ca="1"/>
        <v/>
      </c>
      <c r="M86" s="18">
        <f t="shared" ca="1" si="37"/>
        <v>1</v>
      </c>
      <c r="N86" s="18" t="str">
        <f t="shared" ca="1" si="28"/>
        <v/>
      </c>
      <c r="O86" s="18" t="str" cm="1">
        <f t="array" aca="1" ref="O86" ca="1">IF(N86="","",IF(N86&lt;&gt;N85,1,IF(O85=misLíneas-2,0,O85+1)))</f>
        <v/>
      </c>
      <c r="P86" s="18" t="str" cm="1">
        <f t="array" aca="1" ref="P86" ca="1">IF(OR(O86=0,O86=""),"",INDEX(misCriticidades,N86)&amp;"-"&amp;IFERROR(MATCH(O86,miOrdenTarjeta,0),0))</f>
        <v/>
      </c>
      <c r="Q86" s="17" t="str">
        <f ca="1"/>
        <v/>
      </c>
      <c r="R86" s="18">
        <f t="shared" ca="1" si="38"/>
        <v>10</v>
      </c>
      <c r="S86" s="18">
        <f t="shared" ca="1" si="29"/>
        <v>21</v>
      </c>
      <c r="T86" s="18" cm="1">
        <f t="array" aca="1" ref="T86" ca="1">IF(S86="","",IF(S86&lt;&gt;S85,1,IF(T85=misLíneas-2,0,T85+1)))</f>
        <v>3</v>
      </c>
      <c r="U86" s="18" t="str" cm="1">
        <f t="array" aca="1" ref="U86" ca="1">IF(OR(T86=0,T86=""),"",INDEX(misCriticidades,S86)&amp;"-"&amp;IFERROR(MATCH(T86,miOrdenTarjeta,0),0))</f>
        <v>2-3</v>
      </c>
      <c r="V86" s="17" t="str">
        <f ca="1"/>
        <v/>
      </c>
      <c r="W86" s="18">
        <f t="shared" ca="1" si="39"/>
        <v>1</v>
      </c>
      <c r="X86" s="18" t="str">
        <f t="shared" ca="1" si="30"/>
        <v/>
      </c>
      <c r="Y86" s="18" t="str" cm="1">
        <f t="array" aca="1" ref="Y86" ca="1">IF(X86="","",IF(X86&lt;&gt;X85,1,IF(Y85=misLíneas-2,0,Y85+1)))</f>
        <v/>
      </c>
      <c r="Z86" s="18" t="str" cm="1">
        <f t="array" aca="1" ref="Z86" ca="1">IF(OR(Y86=0,Y86=""),"",INDEX(misCriticidades,X86)&amp;"-"&amp;IFERROR(MATCH(Y86,miOrdenTarjeta,0),0))</f>
        <v/>
      </c>
      <c r="AA86" s="17" t="str">
        <f ca="1"/>
        <v/>
      </c>
      <c r="AB86" s="18">
        <f t="shared" ca="1" si="40"/>
        <v>1</v>
      </c>
      <c r="AC86" s="18" t="str">
        <f t="shared" ca="1" si="31"/>
        <v/>
      </c>
      <c r="AD86" s="18" t="str" cm="1">
        <f t="array" aca="1" ref="AD86" ca="1">IF(AC86="","",IF(AC86&lt;&gt;AC85,1,IF(AD85=misLíneas-2,0,AD85+1)))</f>
        <v/>
      </c>
      <c r="AE86" s="18" t="str" cm="1">
        <f t="array" aca="1" ref="AE86" ca="1">IF(OR(AD86=0,AD86=""),"",INDEX(misCriticidades,AC86)&amp;"-"&amp;IFERROR(MATCH(AD86,miOrdenTarjeta,0),0))</f>
        <v/>
      </c>
      <c r="AF86" s="17" t="str">
        <f ca="1"/>
        <v/>
      </c>
      <c r="AG86" s="18">
        <f t="shared" ca="1" si="41"/>
        <v>1</v>
      </c>
      <c r="AH86" s="18" t="str">
        <f t="shared" ca="1" si="32"/>
        <v/>
      </c>
      <c r="AI86" s="18" t="str" cm="1">
        <f t="array" aca="1" ref="AI86" ca="1">IF(AH86="","",IF(AH86&lt;&gt;AH85,1,IF(AI85=misLíneas-2,0,AI85+1)))</f>
        <v/>
      </c>
      <c r="AJ86" s="18" t="str" cm="1">
        <f t="array" aca="1" ref="AJ86" ca="1">IF(OR(AI86=0,AI86=""),"",INDEX(misCriticidades,AH86)&amp;"-"&amp;IFERROR(MATCH(AI86,miOrdenTarjeta,0),0))</f>
        <v/>
      </c>
      <c r="AK86" s="17" t="str">
        <f ca="1"/>
        <v/>
      </c>
      <c r="AL86" s="18">
        <f t="shared" ca="1" si="42"/>
        <v>1</v>
      </c>
      <c r="AM86" s="18" t="str">
        <f t="shared" ca="1" si="33"/>
        <v/>
      </c>
      <c r="AN86" s="18" t="str" cm="1">
        <f t="array" aca="1" ref="AN86" ca="1">IF(AM86="","",IF(AM86&lt;&gt;AM85,1,IF(AN85=misLíneas-2,0,AN85+1)))</f>
        <v/>
      </c>
      <c r="AO86" s="18" t="str" cm="1">
        <f t="array" aca="1" ref="AO86" ca="1">IF(OR(AN86=0,AN86=""),"",INDEX(misCriticidades,AM86)&amp;"-"&amp;IFERROR(MATCH(AN86,miOrdenTarjeta,0),0))</f>
        <v/>
      </c>
      <c r="AP86" s="17" t="str">
        <f ca="1"/>
        <v/>
      </c>
      <c r="AQ86" s="18">
        <f t="shared" ca="1" si="43"/>
        <v>1</v>
      </c>
      <c r="AR86" s="18" t="str">
        <f t="shared" ca="1" si="34"/>
        <v/>
      </c>
      <c r="AS86" s="18" t="str" cm="1">
        <f t="array" aca="1" ref="AS86" ca="1">IF(AR86="","",IF(AR86&lt;&gt;AR85,1,IF(AS85=misLíneas-2,0,AS85+1)))</f>
        <v/>
      </c>
      <c r="AT86" s="18" t="str" cm="1">
        <f t="array" aca="1" ref="AT86" ca="1">IF(OR(AS86=0,AS86=""),"",INDEX(misCriticidades,AR86)&amp;"-"&amp;IFERROR(MATCH(AS86,miOrdenTarjeta,0),0))</f>
        <v/>
      </c>
      <c r="AU86" s="17" t="str">
        <f ca="1"/>
        <v/>
      </c>
      <c r="AV86" s="18">
        <f t="shared" ca="1" si="44"/>
        <v>1</v>
      </c>
      <c r="AW86" s="18" t="str">
        <f t="shared" ca="1" si="35"/>
        <v/>
      </c>
      <c r="AX86" s="18" t="str" cm="1">
        <f t="array" aca="1" ref="AX86" ca="1">IF(AW86="","",IF(AW86&lt;&gt;AW85,1,IF(AX85=misLíneas-2,0,AX85+1)))</f>
        <v/>
      </c>
      <c r="AY86" s="18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7" t="str">
        <f ca="1"/>
        <v/>
      </c>
      <c r="C87" s="18">
        <f t="shared" ca="1" si="45"/>
        <v>1</v>
      </c>
      <c r="D87" s="18" t="str">
        <f t="shared" ca="1" si="26"/>
        <v/>
      </c>
      <c r="E87" s="18" t="str" cm="1">
        <f t="array" aca="1" ref="E87" ca="1">IF(D87="","",IF(D87&lt;&gt;D86,1,IF(E86=misLíneas-2,0,E86+1)))</f>
        <v/>
      </c>
      <c r="F87" s="18" t="str" cm="1">
        <f t="array" aca="1" ref="F87" ca="1">IF(OR(E87=0,E87=""),"",INDEX(misCriticidades,D87)&amp;"-"&amp;IFERROR(MATCH(E87,miOrdenTarjeta,0),0))</f>
        <v/>
      </c>
      <c r="G87" s="17" t="str">
        <f ca="1"/>
        <v/>
      </c>
      <c r="H87" s="18">
        <f t="shared" ca="1" si="36"/>
        <v>1</v>
      </c>
      <c r="I87" s="18" t="str">
        <f t="shared" ca="1" si="27"/>
        <v/>
      </c>
      <c r="J87" s="18" t="str" cm="1">
        <f t="array" aca="1" ref="J87" ca="1">IF(I87="","",IF(I87&lt;&gt;I86,1,IF(J86=misLíneas-2,0,J86+1)))</f>
        <v/>
      </c>
      <c r="K87" s="18" t="str" cm="1">
        <f t="array" aca="1" ref="K87" ca="1">IF(OR(J87=0,J87=""),"",INDEX(misCriticidades,I87)&amp;"-"&amp;IFERROR(MATCH(J87,miOrdenTarjeta,0),0))</f>
        <v/>
      </c>
      <c r="L87" s="17" t="str">
        <f ca="1"/>
        <v/>
      </c>
      <c r="M87" s="18">
        <f t="shared" ca="1" si="37"/>
        <v>1</v>
      </c>
      <c r="N87" s="18" t="str">
        <f t="shared" ca="1" si="28"/>
        <v/>
      </c>
      <c r="O87" s="18" t="str" cm="1">
        <f t="array" aca="1" ref="O87" ca="1">IF(N87="","",IF(N87&lt;&gt;N86,1,IF(O86=misLíneas-2,0,O86+1)))</f>
        <v/>
      </c>
      <c r="P87" s="18" t="str" cm="1">
        <f t="array" aca="1" ref="P87" ca="1">IF(OR(O87=0,O87=""),"",INDEX(misCriticidades,N87)&amp;"-"&amp;IFERROR(MATCH(O87,miOrdenTarjeta,0),0))</f>
        <v/>
      </c>
      <c r="Q87" s="17" t="str">
        <f ca="1"/>
        <v/>
      </c>
      <c r="R87" s="18">
        <f t="shared" ca="1" si="38"/>
        <v>10</v>
      </c>
      <c r="S87" s="18">
        <f t="shared" ca="1" si="29"/>
        <v>21</v>
      </c>
      <c r="T87" s="18" cm="1">
        <f t="array" aca="1" ref="T87" ca="1">IF(S87="","",IF(S87&lt;&gt;S86,1,IF(T86=misLíneas-2,0,T86+1)))</f>
        <v>4</v>
      </c>
      <c r="U87" s="18" t="str" cm="1">
        <f t="array" aca="1" ref="U87" ca="1">IF(OR(T87=0,T87=""),"",INDEX(misCriticidades,S87)&amp;"-"&amp;IFERROR(MATCH(T87,miOrdenTarjeta,0),0))</f>
        <v>2-4</v>
      </c>
      <c r="V87" s="17" t="str">
        <f ca="1"/>
        <v/>
      </c>
      <c r="W87" s="18">
        <f t="shared" ca="1" si="39"/>
        <v>1</v>
      </c>
      <c r="X87" s="18" t="str">
        <f t="shared" ca="1" si="30"/>
        <v/>
      </c>
      <c r="Y87" s="18" t="str" cm="1">
        <f t="array" aca="1" ref="Y87" ca="1">IF(X87="","",IF(X87&lt;&gt;X86,1,IF(Y86=misLíneas-2,0,Y86+1)))</f>
        <v/>
      </c>
      <c r="Z87" s="18" t="str" cm="1">
        <f t="array" aca="1" ref="Z87" ca="1">IF(OR(Y87=0,Y87=""),"",INDEX(misCriticidades,X87)&amp;"-"&amp;IFERROR(MATCH(Y87,miOrdenTarjeta,0),0))</f>
        <v/>
      </c>
      <c r="AA87" s="17" t="str">
        <f ca="1"/>
        <v/>
      </c>
      <c r="AB87" s="18">
        <f t="shared" ca="1" si="40"/>
        <v>1</v>
      </c>
      <c r="AC87" s="18" t="str">
        <f t="shared" ca="1" si="31"/>
        <v/>
      </c>
      <c r="AD87" s="18" t="str" cm="1">
        <f t="array" aca="1" ref="AD87" ca="1">IF(AC87="","",IF(AC87&lt;&gt;AC86,1,IF(AD86=misLíneas-2,0,AD86+1)))</f>
        <v/>
      </c>
      <c r="AE87" s="18" t="str" cm="1">
        <f t="array" aca="1" ref="AE87" ca="1">IF(OR(AD87=0,AD87=""),"",INDEX(misCriticidades,AC87)&amp;"-"&amp;IFERROR(MATCH(AD87,miOrdenTarjeta,0),0))</f>
        <v/>
      </c>
      <c r="AF87" s="17" t="str">
        <f ca="1"/>
        <v/>
      </c>
      <c r="AG87" s="18">
        <f t="shared" ca="1" si="41"/>
        <v>1</v>
      </c>
      <c r="AH87" s="18" t="str">
        <f t="shared" ca="1" si="32"/>
        <v/>
      </c>
      <c r="AI87" s="18" t="str" cm="1">
        <f t="array" aca="1" ref="AI87" ca="1">IF(AH87="","",IF(AH87&lt;&gt;AH86,1,IF(AI86=misLíneas-2,0,AI86+1)))</f>
        <v/>
      </c>
      <c r="AJ87" s="18" t="str" cm="1">
        <f t="array" aca="1" ref="AJ87" ca="1">IF(OR(AI87=0,AI87=""),"",INDEX(misCriticidades,AH87)&amp;"-"&amp;IFERROR(MATCH(AI87,miOrdenTarjeta,0),0))</f>
        <v/>
      </c>
      <c r="AK87" s="17" t="str">
        <f ca="1"/>
        <v/>
      </c>
      <c r="AL87" s="18">
        <f t="shared" ca="1" si="42"/>
        <v>1</v>
      </c>
      <c r="AM87" s="18" t="str">
        <f t="shared" ca="1" si="33"/>
        <v/>
      </c>
      <c r="AN87" s="18" t="str" cm="1">
        <f t="array" aca="1" ref="AN87" ca="1">IF(AM87="","",IF(AM87&lt;&gt;AM86,1,IF(AN86=misLíneas-2,0,AN86+1)))</f>
        <v/>
      </c>
      <c r="AO87" s="18" t="str" cm="1">
        <f t="array" aca="1" ref="AO87" ca="1">IF(OR(AN87=0,AN87=""),"",INDEX(misCriticidades,AM87)&amp;"-"&amp;IFERROR(MATCH(AN87,miOrdenTarjeta,0),0))</f>
        <v/>
      </c>
      <c r="AP87" s="17" t="str">
        <f ca="1"/>
        <v/>
      </c>
      <c r="AQ87" s="18">
        <f t="shared" ca="1" si="43"/>
        <v>1</v>
      </c>
      <c r="AR87" s="18" t="str">
        <f t="shared" ca="1" si="34"/>
        <v/>
      </c>
      <c r="AS87" s="18" t="str" cm="1">
        <f t="array" aca="1" ref="AS87" ca="1">IF(AR87="","",IF(AR87&lt;&gt;AR86,1,IF(AS86=misLíneas-2,0,AS86+1)))</f>
        <v/>
      </c>
      <c r="AT87" s="18" t="str" cm="1">
        <f t="array" aca="1" ref="AT87" ca="1">IF(OR(AS87=0,AS87=""),"",INDEX(misCriticidades,AR87)&amp;"-"&amp;IFERROR(MATCH(AS87,miOrdenTarjeta,0),0))</f>
        <v/>
      </c>
      <c r="AU87" s="17" t="str">
        <f ca="1"/>
        <v/>
      </c>
      <c r="AV87" s="18">
        <f t="shared" ca="1" si="44"/>
        <v>1</v>
      </c>
      <c r="AW87" s="18" t="str">
        <f t="shared" ca="1" si="35"/>
        <v/>
      </c>
      <c r="AX87" s="18" t="str" cm="1">
        <f t="array" aca="1" ref="AX87" ca="1">IF(AW87="","",IF(AW87&lt;&gt;AW86,1,IF(AX86=misLíneas-2,0,AX86+1)))</f>
        <v/>
      </c>
      <c r="AY87" s="18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7" t="str">
        <f ca="1"/>
        <v/>
      </c>
      <c r="C88" s="18">
        <f t="shared" ca="1" si="45"/>
        <v>1</v>
      </c>
      <c r="D88" s="18" t="str">
        <f t="shared" ca="1" si="26"/>
        <v/>
      </c>
      <c r="E88" s="18" t="str" cm="1">
        <f t="array" aca="1" ref="E88" ca="1">IF(D88="","",IF(D88&lt;&gt;D87,1,IF(E87=misLíneas-2,0,E87+1)))</f>
        <v/>
      </c>
      <c r="F88" s="18" t="str" cm="1">
        <f t="array" aca="1" ref="F88" ca="1">IF(OR(E88=0,E88=""),"",INDEX(misCriticidades,D88)&amp;"-"&amp;IFERROR(MATCH(E88,miOrdenTarjeta,0),0))</f>
        <v/>
      </c>
      <c r="G88" s="17" t="str">
        <f ca="1"/>
        <v/>
      </c>
      <c r="H88" s="18">
        <f t="shared" ca="1" si="36"/>
        <v>1</v>
      </c>
      <c r="I88" s="18" t="str">
        <f t="shared" ca="1" si="27"/>
        <v/>
      </c>
      <c r="J88" s="18" t="str" cm="1">
        <f t="array" aca="1" ref="J88" ca="1">IF(I88="","",IF(I88&lt;&gt;I87,1,IF(J87=misLíneas-2,0,J87+1)))</f>
        <v/>
      </c>
      <c r="K88" s="18" t="str" cm="1">
        <f t="array" aca="1" ref="K88" ca="1">IF(OR(J88=0,J88=""),"",INDEX(misCriticidades,I88)&amp;"-"&amp;IFERROR(MATCH(J88,miOrdenTarjeta,0),0))</f>
        <v/>
      </c>
      <c r="L88" s="17" t="str">
        <f ca="1"/>
        <v/>
      </c>
      <c r="M88" s="18">
        <f t="shared" ca="1" si="37"/>
        <v>1</v>
      </c>
      <c r="N88" s="18" t="str">
        <f t="shared" ca="1" si="28"/>
        <v/>
      </c>
      <c r="O88" s="18" t="str" cm="1">
        <f t="array" aca="1" ref="O88" ca="1">IF(N88="","",IF(N88&lt;&gt;N87,1,IF(O87=misLíneas-2,0,O87+1)))</f>
        <v/>
      </c>
      <c r="P88" s="18" t="str" cm="1">
        <f t="array" aca="1" ref="P88" ca="1">IF(OR(O88=0,O88=""),"",INDEX(misCriticidades,N88)&amp;"-"&amp;IFERROR(MATCH(O88,miOrdenTarjeta,0),0))</f>
        <v/>
      </c>
      <c r="Q88" s="17" t="str">
        <f ca="1"/>
        <v/>
      </c>
      <c r="R88" s="18">
        <f t="shared" ca="1" si="38"/>
        <v>10</v>
      </c>
      <c r="S88" s="18">
        <f t="shared" ca="1" si="29"/>
        <v>21</v>
      </c>
      <c r="T88" s="18" cm="1">
        <f t="array" aca="1" ref="T88" ca="1">IF(S88="","",IF(S88&lt;&gt;S87,1,IF(T87=misLíneas-2,0,T87+1)))</f>
        <v>5</v>
      </c>
      <c r="U88" s="18" t="str" cm="1">
        <f t="array" aca="1" ref="U88" ca="1">IF(OR(T88=0,T88=""),"",INDEX(misCriticidades,S88)&amp;"-"&amp;IFERROR(MATCH(T88,miOrdenTarjeta,0),0))</f>
        <v>2-5</v>
      </c>
      <c r="V88" s="17" t="str">
        <f ca="1"/>
        <v/>
      </c>
      <c r="W88" s="18">
        <f t="shared" ca="1" si="39"/>
        <v>1</v>
      </c>
      <c r="X88" s="18" t="str">
        <f t="shared" ca="1" si="30"/>
        <v/>
      </c>
      <c r="Y88" s="18" t="str" cm="1">
        <f t="array" aca="1" ref="Y88" ca="1">IF(X88="","",IF(X88&lt;&gt;X87,1,IF(Y87=misLíneas-2,0,Y87+1)))</f>
        <v/>
      </c>
      <c r="Z88" s="18" t="str" cm="1">
        <f t="array" aca="1" ref="Z88" ca="1">IF(OR(Y88=0,Y88=""),"",INDEX(misCriticidades,X88)&amp;"-"&amp;IFERROR(MATCH(Y88,miOrdenTarjeta,0),0))</f>
        <v/>
      </c>
      <c r="AA88" s="17" t="str">
        <f ca="1"/>
        <v/>
      </c>
      <c r="AB88" s="18">
        <f t="shared" ca="1" si="40"/>
        <v>1</v>
      </c>
      <c r="AC88" s="18" t="str">
        <f t="shared" ca="1" si="31"/>
        <v/>
      </c>
      <c r="AD88" s="18" t="str" cm="1">
        <f t="array" aca="1" ref="AD88" ca="1">IF(AC88="","",IF(AC88&lt;&gt;AC87,1,IF(AD87=misLíneas-2,0,AD87+1)))</f>
        <v/>
      </c>
      <c r="AE88" s="18" t="str" cm="1">
        <f t="array" aca="1" ref="AE88" ca="1">IF(OR(AD88=0,AD88=""),"",INDEX(misCriticidades,AC88)&amp;"-"&amp;IFERROR(MATCH(AD88,miOrdenTarjeta,0),0))</f>
        <v/>
      </c>
      <c r="AF88" s="17" t="str">
        <f ca="1"/>
        <v/>
      </c>
      <c r="AG88" s="18">
        <f t="shared" ca="1" si="41"/>
        <v>1</v>
      </c>
      <c r="AH88" s="18" t="str">
        <f t="shared" ca="1" si="32"/>
        <v/>
      </c>
      <c r="AI88" s="18" t="str" cm="1">
        <f t="array" aca="1" ref="AI88" ca="1">IF(AH88="","",IF(AH88&lt;&gt;AH87,1,IF(AI87=misLíneas-2,0,AI87+1)))</f>
        <v/>
      </c>
      <c r="AJ88" s="18" t="str" cm="1">
        <f t="array" aca="1" ref="AJ88" ca="1">IF(OR(AI88=0,AI88=""),"",INDEX(misCriticidades,AH88)&amp;"-"&amp;IFERROR(MATCH(AI88,miOrdenTarjeta,0),0))</f>
        <v/>
      </c>
      <c r="AK88" s="17" t="str">
        <f ca="1"/>
        <v/>
      </c>
      <c r="AL88" s="18">
        <f t="shared" ca="1" si="42"/>
        <v>1</v>
      </c>
      <c r="AM88" s="18" t="str">
        <f t="shared" ca="1" si="33"/>
        <v/>
      </c>
      <c r="AN88" s="18" t="str" cm="1">
        <f t="array" aca="1" ref="AN88" ca="1">IF(AM88="","",IF(AM88&lt;&gt;AM87,1,IF(AN87=misLíneas-2,0,AN87+1)))</f>
        <v/>
      </c>
      <c r="AO88" s="18" t="str" cm="1">
        <f t="array" aca="1" ref="AO88" ca="1">IF(OR(AN88=0,AN88=""),"",INDEX(misCriticidades,AM88)&amp;"-"&amp;IFERROR(MATCH(AN88,miOrdenTarjeta,0),0))</f>
        <v/>
      </c>
      <c r="AP88" s="17" t="str">
        <f ca="1"/>
        <v/>
      </c>
      <c r="AQ88" s="18">
        <f t="shared" ca="1" si="43"/>
        <v>1</v>
      </c>
      <c r="AR88" s="18" t="str">
        <f t="shared" ca="1" si="34"/>
        <v/>
      </c>
      <c r="AS88" s="18" t="str" cm="1">
        <f t="array" aca="1" ref="AS88" ca="1">IF(AR88="","",IF(AR88&lt;&gt;AR87,1,IF(AS87=misLíneas-2,0,AS87+1)))</f>
        <v/>
      </c>
      <c r="AT88" s="18" t="str" cm="1">
        <f t="array" aca="1" ref="AT88" ca="1">IF(OR(AS88=0,AS88=""),"",INDEX(misCriticidades,AR88)&amp;"-"&amp;IFERROR(MATCH(AS88,miOrdenTarjeta,0),0))</f>
        <v/>
      </c>
      <c r="AU88" s="17" t="str">
        <f ca="1"/>
        <v/>
      </c>
      <c r="AV88" s="18">
        <f t="shared" ca="1" si="44"/>
        <v>1</v>
      </c>
      <c r="AW88" s="18" t="str">
        <f t="shared" ca="1" si="35"/>
        <v/>
      </c>
      <c r="AX88" s="18" t="str" cm="1">
        <f t="array" aca="1" ref="AX88" ca="1">IF(AW88="","",IF(AW88&lt;&gt;AW87,1,IF(AX87=misLíneas-2,0,AX87+1)))</f>
        <v/>
      </c>
      <c r="AY88" s="18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7" t="str">
        <f ca="1"/>
        <v/>
      </c>
      <c r="C89" s="18">
        <f t="shared" ca="1" si="45"/>
        <v>1</v>
      </c>
      <c r="D89" s="18" t="str">
        <f t="shared" ca="1" si="26"/>
        <v/>
      </c>
      <c r="E89" s="18" t="str" cm="1">
        <f t="array" aca="1" ref="E89" ca="1">IF(D89="","",IF(D89&lt;&gt;D88,1,IF(E88=misLíneas-2,0,E88+1)))</f>
        <v/>
      </c>
      <c r="F89" s="18" t="str" cm="1">
        <f t="array" aca="1" ref="F89" ca="1">IF(OR(E89=0,E89=""),"",INDEX(misCriticidades,D89)&amp;"-"&amp;IFERROR(MATCH(E89,miOrdenTarjeta,0),0))</f>
        <v/>
      </c>
      <c r="G89" s="17" t="str">
        <f ca="1"/>
        <v/>
      </c>
      <c r="H89" s="18">
        <f t="shared" ca="1" si="36"/>
        <v>1</v>
      </c>
      <c r="I89" s="18" t="str">
        <f t="shared" ca="1" si="27"/>
        <v/>
      </c>
      <c r="J89" s="18" t="str" cm="1">
        <f t="array" aca="1" ref="J89" ca="1">IF(I89="","",IF(I89&lt;&gt;I88,1,IF(J88=misLíneas-2,0,J88+1)))</f>
        <v/>
      </c>
      <c r="K89" s="18" t="str" cm="1">
        <f t="array" aca="1" ref="K89" ca="1">IF(OR(J89=0,J89=""),"",INDEX(misCriticidades,I89)&amp;"-"&amp;IFERROR(MATCH(J89,miOrdenTarjeta,0),0))</f>
        <v/>
      </c>
      <c r="L89" s="17" t="str">
        <f ca="1"/>
        <v/>
      </c>
      <c r="M89" s="18">
        <f t="shared" ca="1" si="37"/>
        <v>1</v>
      </c>
      <c r="N89" s="18" t="str">
        <f t="shared" ca="1" si="28"/>
        <v/>
      </c>
      <c r="O89" s="18" t="str" cm="1">
        <f t="array" aca="1" ref="O89" ca="1">IF(N89="","",IF(N89&lt;&gt;N88,1,IF(O88=misLíneas-2,0,O88+1)))</f>
        <v/>
      </c>
      <c r="P89" s="18" t="str" cm="1">
        <f t="array" aca="1" ref="P89" ca="1">IF(OR(O89=0,O89=""),"",INDEX(misCriticidades,N89)&amp;"-"&amp;IFERROR(MATCH(O89,miOrdenTarjeta,0),0))</f>
        <v/>
      </c>
      <c r="Q89" s="17" t="str">
        <f ca="1"/>
        <v/>
      </c>
      <c r="R89" s="18">
        <f t="shared" ca="1" si="38"/>
        <v>10</v>
      </c>
      <c r="S89" s="18">
        <f t="shared" ca="1" si="29"/>
        <v>21</v>
      </c>
      <c r="T89" s="18" cm="1">
        <f t="array" aca="1" ref="T89" ca="1">IF(S89="","",IF(S89&lt;&gt;S88,1,IF(T88=misLíneas-2,0,T88+1)))</f>
        <v>6</v>
      </c>
      <c r="U89" s="18" t="str" cm="1">
        <f t="array" aca="1" ref="U89" ca="1">IF(OR(T89=0,T89=""),"",INDEX(misCriticidades,S89)&amp;"-"&amp;IFERROR(MATCH(T89,miOrdenTarjeta,0),0))</f>
        <v>2-6</v>
      </c>
      <c r="V89" s="17" t="str">
        <f ca="1"/>
        <v/>
      </c>
      <c r="W89" s="18">
        <f t="shared" ca="1" si="39"/>
        <v>1</v>
      </c>
      <c r="X89" s="18" t="str">
        <f t="shared" ca="1" si="30"/>
        <v/>
      </c>
      <c r="Y89" s="18" t="str" cm="1">
        <f t="array" aca="1" ref="Y89" ca="1">IF(X89="","",IF(X89&lt;&gt;X88,1,IF(Y88=misLíneas-2,0,Y88+1)))</f>
        <v/>
      </c>
      <c r="Z89" s="18" t="str" cm="1">
        <f t="array" aca="1" ref="Z89" ca="1">IF(OR(Y89=0,Y89=""),"",INDEX(misCriticidades,X89)&amp;"-"&amp;IFERROR(MATCH(Y89,miOrdenTarjeta,0),0))</f>
        <v/>
      </c>
      <c r="AA89" s="17" t="str">
        <f ca="1"/>
        <v/>
      </c>
      <c r="AB89" s="18">
        <f t="shared" ca="1" si="40"/>
        <v>1</v>
      </c>
      <c r="AC89" s="18" t="str">
        <f t="shared" ca="1" si="31"/>
        <v/>
      </c>
      <c r="AD89" s="18" t="str" cm="1">
        <f t="array" aca="1" ref="AD89" ca="1">IF(AC89="","",IF(AC89&lt;&gt;AC88,1,IF(AD88=misLíneas-2,0,AD88+1)))</f>
        <v/>
      </c>
      <c r="AE89" s="18" t="str" cm="1">
        <f t="array" aca="1" ref="AE89" ca="1">IF(OR(AD89=0,AD89=""),"",INDEX(misCriticidades,AC89)&amp;"-"&amp;IFERROR(MATCH(AD89,miOrdenTarjeta,0),0))</f>
        <v/>
      </c>
      <c r="AF89" s="17" t="str">
        <f ca="1"/>
        <v/>
      </c>
      <c r="AG89" s="18">
        <f t="shared" ca="1" si="41"/>
        <v>1</v>
      </c>
      <c r="AH89" s="18" t="str">
        <f t="shared" ca="1" si="32"/>
        <v/>
      </c>
      <c r="AI89" s="18" t="str" cm="1">
        <f t="array" aca="1" ref="AI89" ca="1">IF(AH89="","",IF(AH89&lt;&gt;AH88,1,IF(AI88=misLíneas-2,0,AI88+1)))</f>
        <v/>
      </c>
      <c r="AJ89" s="18" t="str" cm="1">
        <f t="array" aca="1" ref="AJ89" ca="1">IF(OR(AI89=0,AI89=""),"",INDEX(misCriticidades,AH89)&amp;"-"&amp;IFERROR(MATCH(AI89,miOrdenTarjeta,0),0))</f>
        <v/>
      </c>
      <c r="AK89" s="17" t="str">
        <f ca="1"/>
        <v/>
      </c>
      <c r="AL89" s="18">
        <f t="shared" ca="1" si="42"/>
        <v>1</v>
      </c>
      <c r="AM89" s="18" t="str">
        <f t="shared" ca="1" si="33"/>
        <v/>
      </c>
      <c r="AN89" s="18" t="str" cm="1">
        <f t="array" aca="1" ref="AN89" ca="1">IF(AM89="","",IF(AM89&lt;&gt;AM88,1,IF(AN88=misLíneas-2,0,AN88+1)))</f>
        <v/>
      </c>
      <c r="AO89" s="18" t="str" cm="1">
        <f t="array" aca="1" ref="AO89" ca="1">IF(OR(AN89=0,AN89=""),"",INDEX(misCriticidades,AM89)&amp;"-"&amp;IFERROR(MATCH(AN89,miOrdenTarjeta,0),0))</f>
        <v/>
      </c>
      <c r="AP89" s="17" t="str">
        <f ca="1"/>
        <v/>
      </c>
      <c r="AQ89" s="18">
        <f t="shared" ca="1" si="43"/>
        <v>1</v>
      </c>
      <c r="AR89" s="18" t="str">
        <f t="shared" ca="1" si="34"/>
        <v/>
      </c>
      <c r="AS89" s="18" t="str" cm="1">
        <f t="array" aca="1" ref="AS89" ca="1">IF(AR89="","",IF(AR89&lt;&gt;AR88,1,IF(AS88=misLíneas-2,0,AS88+1)))</f>
        <v/>
      </c>
      <c r="AT89" s="18" t="str" cm="1">
        <f t="array" aca="1" ref="AT89" ca="1">IF(OR(AS89=0,AS89=""),"",INDEX(misCriticidades,AR89)&amp;"-"&amp;IFERROR(MATCH(AS89,miOrdenTarjeta,0),0))</f>
        <v/>
      </c>
      <c r="AU89" s="17" t="str">
        <f ca="1"/>
        <v/>
      </c>
      <c r="AV89" s="18">
        <f t="shared" ca="1" si="44"/>
        <v>1</v>
      </c>
      <c r="AW89" s="18" t="str">
        <f t="shared" ca="1" si="35"/>
        <v/>
      </c>
      <c r="AX89" s="18" t="str" cm="1">
        <f t="array" aca="1" ref="AX89" ca="1">IF(AW89="","",IF(AW89&lt;&gt;AW88,1,IF(AX88=misLíneas-2,0,AX88+1)))</f>
        <v/>
      </c>
      <c r="AY89" s="18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7" t="str">
        <f ca="1"/>
        <v/>
      </c>
      <c r="C90" s="18">
        <f t="shared" ca="1" si="45"/>
        <v>1</v>
      </c>
      <c r="D90" s="18" t="str">
        <f t="shared" ca="1" si="26"/>
        <v/>
      </c>
      <c r="E90" s="18" t="str" cm="1">
        <f t="array" aca="1" ref="E90" ca="1">IF(D90="","",IF(D90&lt;&gt;D89,1,IF(E89=misLíneas-2,0,E89+1)))</f>
        <v/>
      </c>
      <c r="F90" s="18" t="str" cm="1">
        <f t="array" aca="1" ref="F90" ca="1">IF(OR(E90=0,E90=""),"",INDEX(misCriticidades,D90)&amp;"-"&amp;IFERROR(MATCH(E90,miOrdenTarjeta,0),0))</f>
        <v/>
      </c>
      <c r="G90" s="17" t="str">
        <f ca="1"/>
        <v/>
      </c>
      <c r="H90" s="18">
        <f t="shared" ca="1" si="36"/>
        <v>1</v>
      </c>
      <c r="I90" s="18" t="str">
        <f t="shared" ca="1" si="27"/>
        <v/>
      </c>
      <c r="J90" s="18" t="str" cm="1">
        <f t="array" aca="1" ref="J90" ca="1">IF(I90="","",IF(I90&lt;&gt;I89,1,IF(J89=misLíneas-2,0,J89+1)))</f>
        <v/>
      </c>
      <c r="K90" s="18" t="str" cm="1">
        <f t="array" aca="1" ref="K90" ca="1">IF(OR(J90=0,J90=""),"",INDEX(misCriticidades,I90)&amp;"-"&amp;IFERROR(MATCH(J90,miOrdenTarjeta,0),0))</f>
        <v/>
      </c>
      <c r="L90" s="17" t="str">
        <f ca="1"/>
        <v/>
      </c>
      <c r="M90" s="18">
        <f t="shared" ca="1" si="37"/>
        <v>1</v>
      </c>
      <c r="N90" s="18" t="str">
        <f t="shared" ca="1" si="28"/>
        <v/>
      </c>
      <c r="O90" s="18" t="str" cm="1">
        <f t="array" aca="1" ref="O90" ca="1">IF(N90="","",IF(N90&lt;&gt;N89,1,IF(O89=misLíneas-2,0,O89+1)))</f>
        <v/>
      </c>
      <c r="P90" s="18" t="str" cm="1">
        <f t="array" aca="1" ref="P90" ca="1">IF(OR(O90=0,O90=""),"",INDEX(misCriticidades,N90)&amp;"-"&amp;IFERROR(MATCH(O90,miOrdenTarjeta,0),0))</f>
        <v/>
      </c>
      <c r="Q90" s="17" t="str">
        <f ca="1"/>
        <v/>
      </c>
      <c r="R90" s="18">
        <f t="shared" ca="1" si="38"/>
        <v>10</v>
      </c>
      <c r="S90" s="18">
        <f t="shared" ca="1" si="29"/>
        <v>21</v>
      </c>
      <c r="T90" s="18" cm="1">
        <f t="array" aca="1" ref="T90" ca="1">IF(S90="","",IF(S90&lt;&gt;S89,1,IF(T89=misLíneas-2,0,T89+1)))</f>
        <v>7</v>
      </c>
      <c r="U90" s="18" t="str" cm="1">
        <f t="array" aca="1" ref="U90" ca="1">IF(OR(T90=0,T90=""),"",INDEX(misCriticidades,S90)&amp;"-"&amp;IFERROR(MATCH(T90,miOrdenTarjeta,0),0))</f>
        <v>2-7</v>
      </c>
      <c r="V90" s="17" t="str">
        <f ca="1"/>
        <v/>
      </c>
      <c r="W90" s="18">
        <f t="shared" ca="1" si="39"/>
        <v>1</v>
      </c>
      <c r="X90" s="18" t="str">
        <f t="shared" ca="1" si="30"/>
        <v/>
      </c>
      <c r="Y90" s="18" t="str" cm="1">
        <f t="array" aca="1" ref="Y90" ca="1">IF(X90="","",IF(X90&lt;&gt;X89,1,IF(Y89=misLíneas-2,0,Y89+1)))</f>
        <v/>
      </c>
      <c r="Z90" s="18" t="str" cm="1">
        <f t="array" aca="1" ref="Z90" ca="1">IF(OR(Y90=0,Y90=""),"",INDEX(misCriticidades,X90)&amp;"-"&amp;IFERROR(MATCH(Y90,miOrdenTarjeta,0),0))</f>
        <v/>
      </c>
      <c r="AA90" s="17" t="str">
        <f ca="1"/>
        <v/>
      </c>
      <c r="AB90" s="18">
        <f t="shared" ca="1" si="40"/>
        <v>1</v>
      </c>
      <c r="AC90" s="18" t="str">
        <f t="shared" ca="1" si="31"/>
        <v/>
      </c>
      <c r="AD90" s="18" t="str" cm="1">
        <f t="array" aca="1" ref="AD90" ca="1">IF(AC90="","",IF(AC90&lt;&gt;AC89,1,IF(AD89=misLíneas-2,0,AD89+1)))</f>
        <v/>
      </c>
      <c r="AE90" s="18" t="str" cm="1">
        <f t="array" aca="1" ref="AE90" ca="1">IF(OR(AD90=0,AD90=""),"",INDEX(misCriticidades,AC90)&amp;"-"&amp;IFERROR(MATCH(AD90,miOrdenTarjeta,0),0))</f>
        <v/>
      </c>
      <c r="AF90" s="17" t="str">
        <f ca="1"/>
        <v/>
      </c>
      <c r="AG90" s="18">
        <f t="shared" ca="1" si="41"/>
        <v>1</v>
      </c>
      <c r="AH90" s="18" t="str">
        <f t="shared" ca="1" si="32"/>
        <v/>
      </c>
      <c r="AI90" s="18" t="str" cm="1">
        <f t="array" aca="1" ref="AI90" ca="1">IF(AH90="","",IF(AH90&lt;&gt;AH89,1,IF(AI89=misLíneas-2,0,AI89+1)))</f>
        <v/>
      </c>
      <c r="AJ90" s="18" t="str" cm="1">
        <f t="array" aca="1" ref="AJ90" ca="1">IF(OR(AI90=0,AI90=""),"",INDEX(misCriticidades,AH90)&amp;"-"&amp;IFERROR(MATCH(AI90,miOrdenTarjeta,0),0))</f>
        <v/>
      </c>
      <c r="AK90" s="17" t="str">
        <f ca="1"/>
        <v/>
      </c>
      <c r="AL90" s="18">
        <f t="shared" ca="1" si="42"/>
        <v>1</v>
      </c>
      <c r="AM90" s="18" t="str">
        <f t="shared" ca="1" si="33"/>
        <v/>
      </c>
      <c r="AN90" s="18" t="str" cm="1">
        <f t="array" aca="1" ref="AN90" ca="1">IF(AM90="","",IF(AM90&lt;&gt;AM89,1,IF(AN89=misLíneas-2,0,AN89+1)))</f>
        <v/>
      </c>
      <c r="AO90" s="18" t="str" cm="1">
        <f t="array" aca="1" ref="AO90" ca="1">IF(OR(AN90=0,AN90=""),"",INDEX(misCriticidades,AM90)&amp;"-"&amp;IFERROR(MATCH(AN90,miOrdenTarjeta,0),0))</f>
        <v/>
      </c>
      <c r="AP90" s="17" t="str">
        <f ca="1"/>
        <v/>
      </c>
      <c r="AQ90" s="18">
        <f t="shared" ca="1" si="43"/>
        <v>1</v>
      </c>
      <c r="AR90" s="18" t="str">
        <f t="shared" ca="1" si="34"/>
        <v/>
      </c>
      <c r="AS90" s="18" t="str" cm="1">
        <f t="array" aca="1" ref="AS90" ca="1">IF(AR90="","",IF(AR90&lt;&gt;AR89,1,IF(AS89=misLíneas-2,0,AS89+1)))</f>
        <v/>
      </c>
      <c r="AT90" s="18" t="str" cm="1">
        <f t="array" aca="1" ref="AT90" ca="1">IF(OR(AS90=0,AS90=""),"",INDEX(misCriticidades,AR90)&amp;"-"&amp;IFERROR(MATCH(AS90,miOrdenTarjeta,0),0))</f>
        <v/>
      </c>
      <c r="AU90" s="17" t="str">
        <f ca="1"/>
        <v/>
      </c>
      <c r="AV90" s="18">
        <f t="shared" ca="1" si="44"/>
        <v>1</v>
      </c>
      <c r="AW90" s="18" t="str">
        <f t="shared" ca="1" si="35"/>
        <v/>
      </c>
      <c r="AX90" s="18" t="str" cm="1">
        <f t="array" aca="1" ref="AX90" ca="1">IF(AW90="","",IF(AW90&lt;&gt;AW89,1,IF(AX89=misLíneas-2,0,AX89+1)))</f>
        <v/>
      </c>
      <c r="AY90" s="18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7" t="str">
        <f ca="1"/>
        <v/>
      </c>
      <c r="C91" s="18">
        <f t="shared" ca="1" si="45"/>
        <v>1</v>
      </c>
      <c r="D91" s="18" t="str">
        <f t="shared" ca="1" si="26"/>
        <v/>
      </c>
      <c r="E91" s="18" t="str" cm="1">
        <f t="array" aca="1" ref="E91" ca="1">IF(D91="","",IF(D91&lt;&gt;D90,1,IF(E90=misLíneas-2,0,E90+1)))</f>
        <v/>
      </c>
      <c r="F91" s="18" t="str" cm="1">
        <f t="array" aca="1" ref="F91" ca="1">IF(OR(E91=0,E91=""),"",INDEX(misCriticidades,D91)&amp;"-"&amp;IFERROR(MATCH(E91,miOrdenTarjeta,0),0))</f>
        <v/>
      </c>
      <c r="G91" s="17" t="str">
        <f ca="1"/>
        <v/>
      </c>
      <c r="H91" s="18">
        <f t="shared" ca="1" si="36"/>
        <v>1</v>
      </c>
      <c r="I91" s="18" t="str">
        <f t="shared" ca="1" si="27"/>
        <v/>
      </c>
      <c r="J91" s="18" t="str" cm="1">
        <f t="array" aca="1" ref="J91" ca="1">IF(I91="","",IF(I91&lt;&gt;I90,1,IF(J90=misLíneas-2,0,J90+1)))</f>
        <v/>
      </c>
      <c r="K91" s="18" t="str" cm="1">
        <f t="array" aca="1" ref="K91" ca="1">IF(OR(J91=0,J91=""),"",INDEX(misCriticidades,I91)&amp;"-"&amp;IFERROR(MATCH(J91,miOrdenTarjeta,0),0))</f>
        <v/>
      </c>
      <c r="L91" s="17" t="str">
        <f ca="1"/>
        <v/>
      </c>
      <c r="M91" s="18">
        <f t="shared" ca="1" si="37"/>
        <v>1</v>
      </c>
      <c r="N91" s="18" t="str">
        <f t="shared" ca="1" si="28"/>
        <v/>
      </c>
      <c r="O91" s="18" t="str" cm="1">
        <f t="array" aca="1" ref="O91" ca="1">IF(N91="","",IF(N91&lt;&gt;N90,1,IF(O90=misLíneas-2,0,O90+1)))</f>
        <v/>
      </c>
      <c r="P91" s="18" t="str" cm="1">
        <f t="array" aca="1" ref="P91" ca="1">IF(OR(O91=0,O91=""),"",INDEX(misCriticidades,N91)&amp;"-"&amp;IFERROR(MATCH(O91,miOrdenTarjeta,0),0))</f>
        <v/>
      </c>
      <c r="Q91" s="17" t="str">
        <f ca="1"/>
        <v/>
      </c>
      <c r="R91" s="18">
        <f t="shared" ca="1" si="38"/>
        <v>10</v>
      </c>
      <c r="S91" s="18">
        <f t="shared" ca="1" si="29"/>
        <v>21</v>
      </c>
      <c r="T91" s="18" cm="1">
        <f t="array" aca="1" ref="T91" ca="1">IF(S91="","",IF(S91&lt;&gt;S90,1,IF(T90=misLíneas-2,0,T90+1)))</f>
        <v>8</v>
      </c>
      <c r="U91" s="18" t="str" cm="1">
        <f t="array" aca="1" ref="U91" ca="1">IF(OR(T91=0,T91=""),"",INDEX(misCriticidades,S91)&amp;"-"&amp;IFERROR(MATCH(T91,miOrdenTarjeta,0),0))</f>
        <v>2-8</v>
      </c>
      <c r="V91" s="17" t="str">
        <f ca="1"/>
        <v/>
      </c>
      <c r="W91" s="18">
        <f t="shared" ca="1" si="39"/>
        <v>1</v>
      </c>
      <c r="X91" s="18" t="str">
        <f t="shared" ca="1" si="30"/>
        <v/>
      </c>
      <c r="Y91" s="18" t="str" cm="1">
        <f t="array" aca="1" ref="Y91" ca="1">IF(X91="","",IF(X91&lt;&gt;X90,1,IF(Y90=misLíneas-2,0,Y90+1)))</f>
        <v/>
      </c>
      <c r="Z91" s="18" t="str" cm="1">
        <f t="array" aca="1" ref="Z91" ca="1">IF(OR(Y91=0,Y91=""),"",INDEX(misCriticidades,X91)&amp;"-"&amp;IFERROR(MATCH(Y91,miOrdenTarjeta,0),0))</f>
        <v/>
      </c>
      <c r="AA91" s="17" t="str">
        <f ca="1"/>
        <v/>
      </c>
      <c r="AB91" s="18">
        <f t="shared" ca="1" si="40"/>
        <v>1</v>
      </c>
      <c r="AC91" s="18" t="str">
        <f t="shared" ca="1" si="31"/>
        <v/>
      </c>
      <c r="AD91" s="18" t="str" cm="1">
        <f t="array" aca="1" ref="AD91" ca="1">IF(AC91="","",IF(AC91&lt;&gt;AC90,1,IF(AD90=misLíneas-2,0,AD90+1)))</f>
        <v/>
      </c>
      <c r="AE91" s="18" t="str" cm="1">
        <f t="array" aca="1" ref="AE91" ca="1">IF(OR(AD91=0,AD91=""),"",INDEX(misCriticidades,AC91)&amp;"-"&amp;IFERROR(MATCH(AD91,miOrdenTarjeta,0),0))</f>
        <v/>
      </c>
      <c r="AF91" s="17" t="str">
        <f ca="1"/>
        <v/>
      </c>
      <c r="AG91" s="18">
        <f t="shared" ca="1" si="41"/>
        <v>1</v>
      </c>
      <c r="AH91" s="18" t="str">
        <f t="shared" ca="1" si="32"/>
        <v/>
      </c>
      <c r="AI91" s="18" t="str" cm="1">
        <f t="array" aca="1" ref="AI91" ca="1">IF(AH91="","",IF(AH91&lt;&gt;AH90,1,IF(AI90=misLíneas-2,0,AI90+1)))</f>
        <v/>
      </c>
      <c r="AJ91" s="18" t="str" cm="1">
        <f t="array" aca="1" ref="AJ91" ca="1">IF(OR(AI91=0,AI91=""),"",INDEX(misCriticidades,AH91)&amp;"-"&amp;IFERROR(MATCH(AI91,miOrdenTarjeta,0),0))</f>
        <v/>
      </c>
      <c r="AK91" s="17" t="str">
        <f ca="1"/>
        <v/>
      </c>
      <c r="AL91" s="18">
        <f t="shared" ca="1" si="42"/>
        <v>1</v>
      </c>
      <c r="AM91" s="18" t="str">
        <f t="shared" ca="1" si="33"/>
        <v/>
      </c>
      <c r="AN91" s="18" t="str" cm="1">
        <f t="array" aca="1" ref="AN91" ca="1">IF(AM91="","",IF(AM91&lt;&gt;AM90,1,IF(AN90=misLíneas-2,0,AN90+1)))</f>
        <v/>
      </c>
      <c r="AO91" s="18" t="str" cm="1">
        <f t="array" aca="1" ref="AO91" ca="1">IF(OR(AN91=0,AN91=""),"",INDEX(misCriticidades,AM91)&amp;"-"&amp;IFERROR(MATCH(AN91,miOrdenTarjeta,0),0))</f>
        <v/>
      </c>
      <c r="AP91" s="17" t="str">
        <f ca="1"/>
        <v/>
      </c>
      <c r="AQ91" s="18">
        <f t="shared" ca="1" si="43"/>
        <v>1</v>
      </c>
      <c r="AR91" s="18" t="str">
        <f t="shared" ca="1" si="34"/>
        <v/>
      </c>
      <c r="AS91" s="18" t="str" cm="1">
        <f t="array" aca="1" ref="AS91" ca="1">IF(AR91="","",IF(AR91&lt;&gt;AR90,1,IF(AS90=misLíneas-2,0,AS90+1)))</f>
        <v/>
      </c>
      <c r="AT91" s="18" t="str" cm="1">
        <f t="array" aca="1" ref="AT91" ca="1">IF(OR(AS91=0,AS91=""),"",INDEX(misCriticidades,AR91)&amp;"-"&amp;IFERROR(MATCH(AS91,miOrdenTarjeta,0),0))</f>
        <v/>
      </c>
      <c r="AU91" s="17" t="str">
        <f ca="1"/>
        <v/>
      </c>
      <c r="AV91" s="18">
        <f t="shared" ca="1" si="44"/>
        <v>1</v>
      </c>
      <c r="AW91" s="18" t="str">
        <f t="shared" ca="1" si="35"/>
        <v/>
      </c>
      <c r="AX91" s="18" t="str" cm="1">
        <f t="array" aca="1" ref="AX91" ca="1">IF(AW91="","",IF(AW91&lt;&gt;AW90,1,IF(AX90=misLíneas-2,0,AX90+1)))</f>
        <v/>
      </c>
      <c r="AY91" s="18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7" t="str">
        <f ca="1"/>
        <v/>
      </c>
      <c r="C92" s="18">
        <f t="shared" ca="1" si="45"/>
        <v>1</v>
      </c>
      <c r="D92" s="18" t="str">
        <f t="shared" ca="1" si="26"/>
        <v/>
      </c>
      <c r="E92" s="18" t="str" cm="1">
        <f t="array" aca="1" ref="E92" ca="1">IF(D92="","",IF(D92&lt;&gt;D91,1,IF(E91=misLíneas-2,0,E91+1)))</f>
        <v/>
      </c>
      <c r="F92" s="18" t="str" cm="1">
        <f t="array" aca="1" ref="F92" ca="1">IF(OR(E92=0,E92=""),"",INDEX(misCriticidades,D92)&amp;"-"&amp;IFERROR(MATCH(E92,miOrdenTarjeta,0),0))</f>
        <v/>
      </c>
      <c r="G92" s="17" t="str">
        <f ca="1"/>
        <v/>
      </c>
      <c r="H92" s="18">
        <f t="shared" ca="1" si="36"/>
        <v>1</v>
      </c>
      <c r="I92" s="18" t="str">
        <f t="shared" ca="1" si="27"/>
        <v/>
      </c>
      <c r="J92" s="18" t="str" cm="1">
        <f t="array" aca="1" ref="J92" ca="1">IF(I92="","",IF(I92&lt;&gt;I91,1,IF(J91=misLíneas-2,0,J91+1)))</f>
        <v/>
      </c>
      <c r="K92" s="18" t="str" cm="1">
        <f t="array" aca="1" ref="K92" ca="1">IF(OR(J92=0,J92=""),"",INDEX(misCriticidades,I92)&amp;"-"&amp;IFERROR(MATCH(J92,miOrdenTarjeta,0),0))</f>
        <v/>
      </c>
      <c r="L92" s="17" t="str">
        <f ca="1"/>
        <v/>
      </c>
      <c r="M92" s="18">
        <f t="shared" ca="1" si="37"/>
        <v>1</v>
      </c>
      <c r="N92" s="18" t="str">
        <f t="shared" ca="1" si="28"/>
        <v/>
      </c>
      <c r="O92" s="18" t="str" cm="1">
        <f t="array" aca="1" ref="O92" ca="1">IF(N92="","",IF(N92&lt;&gt;N91,1,IF(O91=misLíneas-2,0,O91+1)))</f>
        <v/>
      </c>
      <c r="P92" s="18" t="str" cm="1">
        <f t="array" aca="1" ref="P92" ca="1">IF(OR(O92=0,O92=""),"",INDEX(misCriticidades,N92)&amp;"-"&amp;IFERROR(MATCH(O92,miOrdenTarjeta,0),0))</f>
        <v/>
      </c>
      <c r="Q92" s="17" t="str">
        <f ca="1"/>
        <v/>
      </c>
      <c r="R92" s="18">
        <f t="shared" ca="1" si="38"/>
        <v>10</v>
      </c>
      <c r="S92" s="18">
        <f t="shared" ca="1" si="29"/>
        <v>21</v>
      </c>
      <c r="T92" s="18" cm="1">
        <f t="array" aca="1" ref="T92" ca="1">IF(S92="","",IF(S92&lt;&gt;S91,1,IF(T91=misLíneas-2,0,T91+1)))</f>
        <v>0</v>
      </c>
      <c r="U92" s="18" t="str" cm="1">
        <f t="array" aca="1" ref="U92" ca="1">IF(OR(T92=0,T92=""),"",INDEX(misCriticidades,S92)&amp;"-"&amp;IFERROR(MATCH(T92,miOrdenTarjeta,0),0))</f>
        <v/>
      </c>
      <c r="V92" s="17" t="str">
        <f ca="1"/>
        <v/>
      </c>
      <c r="W92" s="18">
        <f t="shared" ca="1" si="39"/>
        <v>1</v>
      </c>
      <c r="X92" s="18" t="str">
        <f t="shared" ca="1" si="30"/>
        <v/>
      </c>
      <c r="Y92" s="18" t="str" cm="1">
        <f t="array" aca="1" ref="Y92" ca="1">IF(X92="","",IF(X92&lt;&gt;X91,1,IF(Y91=misLíneas-2,0,Y91+1)))</f>
        <v/>
      </c>
      <c r="Z92" s="18" t="str" cm="1">
        <f t="array" aca="1" ref="Z92" ca="1">IF(OR(Y92=0,Y92=""),"",INDEX(misCriticidades,X92)&amp;"-"&amp;IFERROR(MATCH(Y92,miOrdenTarjeta,0),0))</f>
        <v/>
      </c>
      <c r="AA92" s="17" t="str">
        <f ca="1"/>
        <v/>
      </c>
      <c r="AB92" s="18">
        <f t="shared" ca="1" si="40"/>
        <v>1</v>
      </c>
      <c r="AC92" s="18" t="str">
        <f t="shared" ca="1" si="31"/>
        <v/>
      </c>
      <c r="AD92" s="18" t="str" cm="1">
        <f t="array" aca="1" ref="AD92" ca="1">IF(AC92="","",IF(AC92&lt;&gt;AC91,1,IF(AD91=misLíneas-2,0,AD91+1)))</f>
        <v/>
      </c>
      <c r="AE92" s="18" t="str" cm="1">
        <f t="array" aca="1" ref="AE92" ca="1">IF(OR(AD92=0,AD92=""),"",INDEX(misCriticidades,AC92)&amp;"-"&amp;IFERROR(MATCH(AD92,miOrdenTarjeta,0),0))</f>
        <v/>
      </c>
      <c r="AF92" s="17" t="str">
        <f ca="1"/>
        <v/>
      </c>
      <c r="AG92" s="18">
        <f t="shared" ca="1" si="41"/>
        <v>1</v>
      </c>
      <c r="AH92" s="18" t="str">
        <f t="shared" ca="1" si="32"/>
        <v/>
      </c>
      <c r="AI92" s="18" t="str" cm="1">
        <f t="array" aca="1" ref="AI92" ca="1">IF(AH92="","",IF(AH92&lt;&gt;AH91,1,IF(AI91=misLíneas-2,0,AI91+1)))</f>
        <v/>
      </c>
      <c r="AJ92" s="18" t="str" cm="1">
        <f t="array" aca="1" ref="AJ92" ca="1">IF(OR(AI92=0,AI92=""),"",INDEX(misCriticidades,AH92)&amp;"-"&amp;IFERROR(MATCH(AI92,miOrdenTarjeta,0),0))</f>
        <v/>
      </c>
      <c r="AK92" s="17" t="str">
        <f ca="1"/>
        <v/>
      </c>
      <c r="AL92" s="18">
        <f t="shared" ca="1" si="42"/>
        <v>1</v>
      </c>
      <c r="AM92" s="18" t="str">
        <f t="shared" ca="1" si="33"/>
        <v/>
      </c>
      <c r="AN92" s="18" t="str" cm="1">
        <f t="array" aca="1" ref="AN92" ca="1">IF(AM92="","",IF(AM92&lt;&gt;AM91,1,IF(AN91=misLíneas-2,0,AN91+1)))</f>
        <v/>
      </c>
      <c r="AO92" s="18" t="str" cm="1">
        <f t="array" aca="1" ref="AO92" ca="1">IF(OR(AN92=0,AN92=""),"",INDEX(misCriticidades,AM92)&amp;"-"&amp;IFERROR(MATCH(AN92,miOrdenTarjeta,0),0))</f>
        <v/>
      </c>
      <c r="AP92" s="17" t="str">
        <f ca="1"/>
        <v/>
      </c>
      <c r="AQ92" s="18">
        <f t="shared" ca="1" si="43"/>
        <v>1</v>
      </c>
      <c r="AR92" s="18" t="str">
        <f t="shared" ca="1" si="34"/>
        <v/>
      </c>
      <c r="AS92" s="18" t="str" cm="1">
        <f t="array" aca="1" ref="AS92" ca="1">IF(AR92="","",IF(AR92&lt;&gt;AR91,1,IF(AS91=misLíneas-2,0,AS91+1)))</f>
        <v/>
      </c>
      <c r="AT92" s="18" t="str" cm="1">
        <f t="array" aca="1" ref="AT92" ca="1">IF(OR(AS92=0,AS92=""),"",INDEX(misCriticidades,AR92)&amp;"-"&amp;IFERROR(MATCH(AS92,miOrdenTarjeta,0),0))</f>
        <v/>
      </c>
      <c r="AU92" s="17" t="str">
        <f ca="1"/>
        <v/>
      </c>
      <c r="AV92" s="18">
        <f t="shared" ca="1" si="44"/>
        <v>1</v>
      </c>
      <c r="AW92" s="18" t="str">
        <f t="shared" ca="1" si="35"/>
        <v/>
      </c>
      <c r="AX92" s="18" t="str" cm="1">
        <f t="array" aca="1" ref="AX92" ca="1">IF(AW92="","",IF(AW92&lt;&gt;AW91,1,IF(AX91=misLíneas-2,0,AX91+1)))</f>
        <v/>
      </c>
      <c r="AY92" s="18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7" t="str">
        <f ca="1"/>
        <v/>
      </c>
      <c r="C93" s="18">
        <f t="shared" ca="1" si="45"/>
        <v>1</v>
      </c>
      <c r="D93" s="18" t="str">
        <f t="shared" ca="1" si="26"/>
        <v/>
      </c>
      <c r="E93" s="18" t="str" cm="1">
        <f t="array" aca="1" ref="E93" ca="1">IF(D93="","",IF(D93&lt;&gt;D92,1,IF(E92=misLíneas-2,0,E92+1)))</f>
        <v/>
      </c>
      <c r="F93" s="18" t="str" cm="1">
        <f t="array" aca="1" ref="F93" ca="1">IF(OR(E93=0,E93=""),"",INDEX(misCriticidades,D93)&amp;"-"&amp;IFERROR(MATCH(E93,miOrdenTarjeta,0),0))</f>
        <v/>
      </c>
      <c r="G93" s="17" t="str">
        <f ca="1"/>
        <v/>
      </c>
      <c r="H93" s="18">
        <f t="shared" ca="1" si="36"/>
        <v>1</v>
      </c>
      <c r="I93" s="18" t="str">
        <f t="shared" ca="1" si="27"/>
        <v/>
      </c>
      <c r="J93" s="18" t="str" cm="1">
        <f t="array" aca="1" ref="J93" ca="1">IF(I93="","",IF(I93&lt;&gt;I92,1,IF(J92=misLíneas-2,0,J92+1)))</f>
        <v/>
      </c>
      <c r="K93" s="18" t="str" cm="1">
        <f t="array" aca="1" ref="K93" ca="1">IF(OR(J93=0,J93=""),"",INDEX(misCriticidades,I93)&amp;"-"&amp;IFERROR(MATCH(J93,miOrdenTarjeta,0),0))</f>
        <v/>
      </c>
      <c r="L93" s="17" t="str">
        <f ca="1"/>
        <v/>
      </c>
      <c r="M93" s="18">
        <f t="shared" ca="1" si="37"/>
        <v>1</v>
      </c>
      <c r="N93" s="18" t="str">
        <f t="shared" ca="1" si="28"/>
        <v/>
      </c>
      <c r="O93" s="18" t="str" cm="1">
        <f t="array" aca="1" ref="O93" ca="1">IF(N93="","",IF(N93&lt;&gt;N92,1,IF(O92=misLíneas-2,0,O92+1)))</f>
        <v/>
      </c>
      <c r="P93" s="18" t="str" cm="1">
        <f t="array" aca="1" ref="P93" ca="1">IF(OR(O93=0,O93=""),"",INDEX(misCriticidades,N93)&amp;"-"&amp;IFERROR(MATCH(O93,miOrdenTarjeta,0),0))</f>
        <v/>
      </c>
      <c r="Q93" s="17" t="str">
        <f ca="1"/>
        <v/>
      </c>
      <c r="R93" s="18">
        <f t="shared" ca="1" si="38"/>
        <v>11</v>
      </c>
      <c r="S93" s="18">
        <f t="shared" ca="1" si="29"/>
        <v>20</v>
      </c>
      <c r="T93" s="18" cm="1">
        <f t="array" aca="1" ref="T93" ca="1">IF(S93="","",IF(S93&lt;&gt;S92,1,IF(T92=misLíneas-2,0,T92+1)))</f>
        <v>1</v>
      </c>
      <c r="U93" s="18" t="str" cm="1">
        <f t="array" aca="1" ref="U93" ca="1">IF(OR(T93=0,T93=""),"",INDEX(misCriticidades,S93)&amp;"-"&amp;IFERROR(MATCH(T93,miOrdenTarjeta,0),0))</f>
        <v>3-1</v>
      </c>
      <c r="V93" s="17" t="str">
        <f ca="1"/>
        <v/>
      </c>
      <c r="W93" s="18">
        <f t="shared" ca="1" si="39"/>
        <v>1</v>
      </c>
      <c r="X93" s="18" t="str">
        <f t="shared" ca="1" si="30"/>
        <v/>
      </c>
      <c r="Y93" s="18" t="str" cm="1">
        <f t="array" aca="1" ref="Y93" ca="1">IF(X93="","",IF(X93&lt;&gt;X92,1,IF(Y92=misLíneas-2,0,Y92+1)))</f>
        <v/>
      </c>
      <c r="Z93" s="18" t="str" cm="1">
        <f t="array" aca="1" ref="Z93" ca="1">IF(OR(Y93=0,Y93=""),"",INDEX(misCriticidades,X93)&amp;"-"&amp;IFERROR(MATCH(Y93,miOrdenTarjeta,0),0))</f>
        <v/>
      </c>
      <c r="AA93" s="17" t="str">
        <f ca="1"/>
        <v/>
      </c>
      <c r="AB93" s="18">
        <f t="shared" ca="1" si="40"/>
        <v>1</v>
      </c>
      <c r="AC93" s="18" t="str">
        <f t="shared" ca="1" si="31"/>
        <v/>
      </c>
      <c r="AD93" s="18" t="str" cm="1">
        <f t="array" aca="1" ref="AD93" ca="1">IF(AC93="","",IF(AC93&lt;&gt;AC92,1,IF(AD92=misLíneas-2,0,AD92+1)))</f>
        <v/>
      </c>
      <c r="AE93" s="18" t="str" cm="1">
        <f t="array" aca="1" ref="AE93" ca="1">IF(OR(AD93=0,AD93=""),"",INDEX(misCriticidades,AC93)&amp;"-"&amp;IFERROR(MATCH(AD93,miOrdenTarjeta,0),0))</f>
        <v/>
      </c>
      <c r="AF93" s="17" t="str">
        <f ca="1"/>
        <v/>
      </c>
      <c r="AG93" s="18">
        <f t="shared" ca="1" si="41"/>
        <v>1</v>
      </c>
      <c r="AH93" s="18" t="str">
        <f t="shared" ca="1" si="32"/>
        <v/>
      </c>
      <c r="AI93" s="18" t="str" cm="1">
        <f t="array" aca="1" ref="AI93" ca="1">IF(AH93="","",IF(AH93&lt;&gt;AH92,1,IF(AI92=misLíneas-2,0,AI92+1)))</f>
        <v/>
      </c>
      <c r="AJ93" s="18" t="str" cm="1">
        <f t="array" aca="1" ref="AJ93" ca="1">IF(OR(AI93=0,AI93=""),"",INDEX(misCriticidades,AH93)&amp;"-"&amp;IFERROR(MATCH(AI93,miOrdenTarjeta,0),0))</f>
        <v/>
      </c>
      <c r="AK93" s="17" t="str">
        <f ca="1"/>
        <v/>
      </c>
      <c r="AL93" s="18">
        <f t="shared" ca="1" si="42"/>
        <v>1</v>
      </c>
      <c r="AM93" s="18" t="str">
        <f t="shared" ca="1" si="33"/>
        <v/>
      </c>
      <c r="AN93" s="18" t="str" cm="1">
        <f t="array" aca="1" ref="AN93" ca="1">IF(AM93="","",IF(AM93&lt;&gt;AM92,1,IF(AN92=misLíneas-2,0,AN92+1)))</f>
        <v/>
      </c>
      <c r="AO93" s="18" t="str" cm="1">
        <f t="array" aca="1" ref="AO93" ca="1">IF(OR(AN93=0,AN93=""),"",INDEX(misCriticidades,AM93)&amp;"-"&amp;IFERROR(MATCH(AN93,miOrdenTarjeta,0),0))</f>
        <v/>
      </c>
      <c r="AP93" s="17" t="str">
        <f ca="1"/>
        <v/>
      </c>
      <c r="AQ93" s="18">
        <f t="shared" ca="1" si="43"/>
        <v>1</v>
      </c>
      <c r="AR93" s="18" t="str">
        <f t="shared" ca="1" si="34"/>
        <v/>
      </c>
      <c r="AS93" s="18" t="str" cm="1">
        <f t="array" aca="1" ref="AS93" ca="1">IF(AR93="","",IF(AR93&lt;&gt;AR92,1,IF(AS92=misLíneas-2,0,AS92+1)))</f>
        <v/>
      </c>
      <c r="AT93" s="18" t="str" cm="1">
        <f t="array" aca="1" ref="AT93" ca="1">IF(OR(AS93=0,AS93=""),"",INDEX(misCriticidades,AR93)&amp;"-"&amp;IFERROR(MATCH(AS93,miOrdenTarjeta,0),0))</f>
        <v/>
      </c>
      <c r="AU93" s="17" t="str">
        <f ca="1"/>
        <v/>
      </c>
      <c r="AV93" s="18">
        <f t="shared" ca="1" si="44"/>
        <v>1</v>
      </c>
      <c r="AW93" s="18" t="str">
        <f t="shared" ca="1" si="35"/>
        <v/>
      </c>
      <c r="AX93" s="18" t="str" cm="1">
        <f t="array" aca="1" ref="AX93" ca="1">IF(AW93="","",IF(AW93&lt;&gt;AW92,1,IF(AX92=misLíneas-2,0,AX92+1)))</f>
        <v/>
      </c>
      <c r="AY93" s="18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7" t="str">
        <f ca="1"/>
        <v/>
      </c>
      <c r="C94" s="18">
        <f t="shared" ca="1" si="45"/>
        <v>1</v>
      </c>
      <c r="D94" s="18" t="str">
        <f t="shared" ca="1" si="26"/>
        <v/>
      </c>
      <c r="E94" s="18" t="str" cm="1">
        <f t="array" aca="1" ref="E94" ca="1">IF(D94="","",IF(D94&lt;&gt;D93,1,IF(E93=misLíneas-2,0,E93+1)))</f>
        <v/>
      </c>
      <c r="F94" s="18" t="str" cm="1">
        <f t="array" aca="1" ref="F94" ca="1">IF(OR(E94=0,E94=""),"",INDEX(misCriticidades,D94)&amp;"-"&amp;IFERROR(MATCH(E94,miOrdenTarjeta,0),0))</f>
        <v/>
      </c>
      <c r="G94" s="17" t="str">
        <f ca="1"/>
        <v/>
      </c>
      <c r="H94" s="18">
        <f t="shared" ca="1" si="36"/>
        <v>1</v>
      </c>
      <c r="I94" s="18" t="str">
        <f t="shared" ca="1" si="27"/>
        <v/>
      </c>
      <c r="J94" s="18" t="str" cm="1">
        <f t="array" aca="1" ref="J94" ca="1">IF(I94="","",IF(I94&lt;&gt;I93,1,IF(J93=misLíneas-2,0,J93+1)))</f>
        <v/>
      </c>
      <c r="K94" s="18" t="str" cm="1">
        <f t="array" aca="1" ref="K94" ca="1">IF(OR(J94=0,J94=""),"",INDEX(misCriticidades,I94)&amp;"-"&amp;IFERROR(MATCH(J94,miOrdenTarjeta,0),0))</f>
        <v/>
      </c>
      <c r="L94" s="17" t="str">
        <f ca="1"/>
        <v/>
      </c>
      <c r="M94" s="18">
        <f t="shared" ca="1" si="37"/>
        <v>1</v>
      </c>
      <c r="N94" s="18" t="str">
        <f t="shared" ca="1" si="28"/>
        <v/>
      </c>
      <c r="O94" s="18" t="str" cm="1">
        <f t="array" aca="1" ref="O94" ca="1">IF(N94="","",IF(N94&lt;&gt;N93,1,IF(O93=misLíneas-2,0,O93+1)))</f>
        <v/>
      </c>
      <c r="P94" s="18" t="str" cm="1">
        <f t="array" aca="1" ref="P94" ca="1">IF(OR(O94=0,O94=""),"",INDEX(misCriticidades,N94)&amp;"-"&amp;IFERROR(MATCH(O94,miOrdenTarjeta,0),0))</f>
        <v/>
      </c>
      <c r="Q94" s="17" t="str">
        <f ca="1"/>
        <v/>
      </c>
      <c r="R94" s="18">
        <f t="shared" ca="1" si="38"/>
        <v>11</v>
      </c>
      <c r="S94" s="18">
        <f t="shared" ca="1" si="29"/>
        <v>20</v>
      </c>
      <c r="T94" s="18" cm="1">
        <f t="array" aca="1" ref="T94" ca="1">IF(S94="","",IF(S94&lt;&gt;S93,1,IF(T93=misLíneas-2,0,T93+1)))</f>
        <v>2</v>
      </c>
      <c r="U94" s="18" t="str" cm="1">
        <f t="array" aca="1" ref="U94" ca="1">IF(OR(T94=0,T94=""),"",INDEX(misCriticidades,S94)&amp;"-"&amp;IFERROR(MATCH(T94,miOrdenTarjeta,0),0))</f>
        <v>3-2</v>
      </c>
      <c r="V94" s="17" t="str">
        <f ca="1"/>
        <v/>
      </c>
      <c r="W94" s="18">
        <f t="shared" ca="1" si="39"/>
        <v>1</v>
      </c>
      <c r="X94" s="18" t="str">
        <f t="shared" ca="1" si="30"/>
        <v/>
      </c>
      <c r="Y94" s="18" t="str" cm="1">
        <f t="array" aca="1" ref="Y94" ca="1">IF(X94="","",IF(X94&lt;&gt;X93,1,IF(Y93=misLíneas-2,0,Y93+1)))</f>
        <v/>
      </c>
      <c r="Z94" s="18" t="str" cm="1">
        <f t="array" aca="1" ref="Z94" ca="1">IF(OR(Y94=0,Y94=""),"",INDEX(misCriticidades,X94)&amp;"-"&amp;IFERROR(MATCH(Y94,miOrdenTarjeta,0),0))</f>
        <v/>
      </c>
      <c r="AA94" s="17" t="str">
        <f ca="1"/>
        <v/>
      </c>
      <c r="AB94" s="18">
        <f t="shared" ca="1" si="40"/>
        <v>1</v>
      </c>
      <c r="AC94" s="18" t="str">
        <f t="shared" ca="1" si="31"/>
        <v/>
      </c>
      <c r="AD94" s="18" t="str" cm="1">
        <f t="array" aca="1" ref="AD94" ca="1">IF(AC94="","",IF(AC94&lt;&gt;AC93,1,IF(AD93=misLíneas-2,0,AD93+1)))</f>
        <v/>
      </c>
      <c r="AE94" s="18" t="str" cm="1">
        <f t="array" aca="1" ref="AE94" ca="1">IF(OR(AD94=0,AD94=""),"",INDEX(misCriticidades,AC94)&amp;"-"&amp;IFERROR(MATCH(AD94,miOrdenTarjeta,0),0))</f>
        <v/>
      </c>
      <c r="AF94" s="17" t="str">
        <f ca="1"/>
        <v/>
      </c>
      <c r="AG94" s="18">
        <f t="shared" ca="1" si="41"/>
        <v>1</v>
      </c>
      <c r="AH94" s="18" t="str">
        <f t="shared" ca="1" si="32"/>
        <v/>
      </c>
      <c r="AI94" s="18" t="str" cm="1">
        <f t="array" aca="1" ref="AI94" ca="1">IF(AH94="","",IF(AH94&lt;&gt;AH93,1,IF(AI93=misLíneas-2,0,AI93+1)))</f>
        <v/>
      </c>
      <c r="AJ94" s="18" t="str" cm="1">
        <f t="array" aca="1" ref="AJ94" ca="1">IF(OR(AI94=0,AI94=""),"",INDEX(misCriticidades,AH94)&amp;"-"&amp;IFERROR(MATCH(AI94,miOrdenTarjeta,0),0))</f>
        <v/>
      </c>
      <c r="AK94" s="17" t="str">
        <f ca="1"/>
        <v/>
      </c>
      <c r="AL94" s="18">
        <f t="shared" ca="1" si="42"/>
        <v>1</v>
      </c>
      <c r="AM94" s="18" t="str">
        <f t="shared" ca="1" si="33"/>
        <v/>
      </c>
      <c r="AN94" s="18" t="str" cm="1">
        <f t="array" aca="1" ref="AN94" ca="1">IF(AM94="","",IF(AM94&lt;&gt;AM93,1,IF(AN93=misLíneas-2,0,AN93+1)))</f>
        <v/>
      </c>
      <c r="AO94" s="18" t="str" cm="1">
        <f t="array" aca="1" ref="AO94" ca="1">IF(OR(AN94=0,AN94=""),"",INDEX(misCriticidades,AM94)&amp;"-"&amp;IFERROR(MATCH(AN94,miOrdenTarjeta,0),0))</f>
        <v/>
      </c>
      <c r="AP94" s="17" t="str">
        <f ca="1"/>
        <v/>
      </c>
      <c r="AQ94" s="18">
        <f t="shared" ca="1" si="43"/>
        <v>1</v>
      </c>
      <c r="AR94" s="18" t="str">
        <f t="shared" ca="1" si="34"/>
        <v/>
      </c>
      <c r="AS94" s="18" t="str" cm="1">
        <f t="array" aca="1" ref="AS94" ca="1">IF(AR94="","",IF(AR94&lt;&gt;AR93,1,IF(AS93=misLíneas-2,0,AS93+1)))</f>
        <v/>
      </c>
      <c r="AT94" s="18" t="str" cm="1">
        <f t="array" aca="1" ref="AT94" ca="1">IF(OR(AS94=0,AS94=""),"",INDEX(misCriticidades,AR94)&amp;"-"&amp;IFERROR(MATCH(AS94,miOrdenTarjeta,0),0))</f>
        <v/>
      </c>
      <c r="AU94" s="17" t="str">
        <f ca="1"/>
        <v/>
      </c>
      <c r="AV94" s="18">
        <f t="shared" ca="1" si="44"/>
        <v>1</v>
      </c>
      <c r="AW94" s="18" t="str">
        <f t="shared" ca="1" si="35"/>
        <v/>
      </c>
      <c r="AX94" s="18" t="str" cm="1">
        <f t="array" aca="1" ref="AX94" ca="1">IF(AW94="","",IF(AW94&lt;&gt;AW93,1,IF(AX93=misLíneas-2,0,AX93+1)))</f>
        <v/>
      </c>
      <c r="AY94" s="18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7" t="str">
        <f ca="1"/>
        <v/>
      </c>
      <c r="C95" s="18">
        <f t="shared" ca="1" si="45"/>
        <v>1</v>
      </c>
      <c r="D95" s="18" t="str">
        <f t="shared" ca="1" si="26"/>
        <v/>
      </c>
      <c r="E95" s="18" t="str" cm="1">
        <f t="array" aca="1" ref="E95" ca="1">IF(D95="","",IF(D95&lt;&gt;D94,1,IF(E94=misLíneas-2,0,E94+1)))</f>
        <v/>
      </c>
      <c r="F95" s="18" t="str" cm="1">
        <f t="array" aca="1" ref="F95" ca="1">IF(OR(E95=0,E95=""),"",INDEX(misCriticidades,D95)&amp;"-"&amp;IFERROR(MATCH(E95,miOrdenTarjeta,0),0))</f>
        <v/>
      </c>
      <c r="G95" s="17" t="str">
        <f ca="1"/>
        <v/>
      </c>
      <c r="H95" s="18">
        <f t="shared" ca="1" si="36"/>
        <v>1</v>
      </c>
      <c r="I95" s="18" t="str">
        <f t="shared" ca="1" si="27"/>
        <v/>
      </c>
      <c r="J95" s="18" t="str" cm="1">
        <f t="array" aca="1" ref="J95" ca="1">IF(I95="","",IF(I95&lt;&gt;I94,1,IF(J94=misLíneas-2,0,J94+1)))</f>
        <v/>
      </c>
      <c r="K95" s="18" t="str" cm="1">
        <f t="array" aca="1" ref="K95" ca="1">IF(OR(J95=0,J95=""),"",INDEX(misCriticidades,I95)&amp;"-"&amp;IFERROR(MATCH(J95,miOrdenTarjeta,0),0))</f>
        <v/>
      </c>
      <c r="L95" s="17" t="str">
        <f ca="1"/>
        <v/>
      </c>
      <c r="M95" s="18">
        <f t="shared" ca="1" si="37"/>
        <v>1</v>
      </c>
      <c r="N95" s="18" t="str">
        <f t="shared" ca="1" si="28"/>
        <v/>
      </c>
      <c r="O95" s="18" t="str" cm="1">
        <f t="array" aca="1" ref="O95" ca="1">IF(N95="","",IF(N95&lt;&gt;N94,1,IF(O94=misLíneas-2,0,O94+1)))</f>
        <v/>
      </c>
      <c r="P95" s="18" t="str" cm="1">
        <f t="array" aca="1" ref="P95" ca="1">IF(OR(O95=0,O95=""),"",INDEX(misCriticidades,N95)&amp;"-"&amp;IFERROR(MATCH(O95,miOrdenTarjeta,0),0))</f>
        <v/>
      </c>
      <c r="Q95" s="17" t="str">
        <f ca="1"/>
        <v/>
      </c>
      <c r="R95" s="18">
        <f t="shared" ca="1" si="38"/>
        <v>11</v>
      </c>
      <c r="S95" s="18">
        <f t="shared" ca="1" si="29"/>
        <v>20</v>
      </c>
      <c r="T95" s="18" cm="1">
        <f t="array" aca="1" ref="T95" ca="1">IF(S95="","",IF(S95&lt;&gt;S94,1,IF(T94=misLíneas-2,0,T94+1)))</f>
        <v>3</v>
      </c>
      <c r="U95" s="18" t="str" cm="1">
        <f t="array" aca="1" ref="U95" ca="1">IF(OR(T95=0,T95=""),"",INDEX(misCriticidades,S95)&amp;"-"&amp;IFERROR(MATCH(T95,miOrdenTarjeta,0),0))</f>
        <v>3-3</v>
      </c>
      <c r="V95" s="17" t="str">
        <f ca="1"/>
        <v/>
      </c>
      <c r="W95" s="18">
        <f t="shared" ca="1" si="39"/>
        <v>1</v>
      </c>
      <c r="X95" s="18" t="str">
        <f t="shared" ca="1" si="30"/>
        <v/>
      </c>
      <c r="Y95" s="18" t="str" cm="1">
        <f t="array" aca="1" ref="Y95" ca="1">IF(X95="","",IF(X95&lt;&gt;X94,1,IF(Y94=misLíneas-2,0,Y94+1)))</f>
        <v/>
      </c>
      <c r="Z95" s="18" t="str" cm="1">
        <f t="array" aca="1" ref="Z95" ca="1">IF(OR(Y95=0,Y95=""),"",INDEX(misCriticidades,X95)&amp;"-"&amp;IFERROR(MATCH(Y95,miOrdenTarjeta,0),0))</f>
        <v/>
      </c>
      <c r="AA95" s="17" t="str">
        <f ca="1"/>
        <v/>
      </c>
      <c r="AB95" s="18">
        <f t="shared" ca="1" si="40"/>
        <v>1</v>
      </c>
      <c r="AC95" s="18" t="str">
        <f t="shared" ca="1" si="31"/>
        <v/>
      </c>
      <c r="AD95" s="18" t="str" cm="1">
        <f t="array" aca="1" ref="AD95" ca="1">IF(AC95="","",IF(AC95&lt;&gt;AC94,1,IF(AD94=misLíneas-2,0,AD94+1)))</f>
        <v/>
      </c>
      <c r="AE95" s="18" t="str" cm="1">
        <f t="array" aca="1" ref="AE95" ca="1">IF(OR(AD95=0,AD95=""),"",INDEX(misCriticidades,AC95)&amp;"-"&amp;IFERROR(MATCH(AD95,miOrdenTarjeta,0),0))</f>
        <v/>
      </c>
      <c r="AF95" s="17" t="str">
        <f ca="1"/>
        <v/>
      </c>
      <c r="AG95" s="18">
        <f t="shared" ca="1" si="41"/>
        <v>1</v>
      </c>
      <c r="AH95" s="18" t="str">
        <f t="shared" ca="1" si="32"/>
        <v/>
      </c>
      <c r="AI95" s="18" t="str" cm="1">
        <f t="array" aca="1" ref="AI95" ca="1">IF(AH95="","",IF(AH95&lt;&gt;AH94,1,IF(AI94=misLíneas-2,0,AI94+1)))</f>
        <v/>
      </c>
      <c r="AJ95" s="18" t="str" cm="1">
        <f t="array" aca="1" ref="AJ95" ca="1">IF(OR(AI95=0,AI95=""),"",INDEX(misCriticidades,AH95)&amp;"-"&amp;IFERROR(MATCH(AI95,miOrdenTarjeta,0),0))</f>
        <v/>
      </c>
      <c r="AK95" s="17" t="str">
        <f ca="1"/>
        <v/>
      </c>
      <c r="AL95" s="18">
        <f t="shared" ca="1" si="42"/>
        <v>1</v>
      </c>
      <c r="AM95" s="18" t="str">
        <f t="shared" ca="1" si="33"/>
        <v/>
      </c>
      <c r="AN95" s="18" t="str" cm="1">
        <f t="array" aca="1" ref="AN95" ca="1">IF(AM95="","",IF(AM95&lt;&gt;AM94,1,IF(AN94=misLíneas-2,0,AN94+1)))</f>
        <v/>
      </c>
      <c r="AO95" s="18" t="str" cm="1">
        <f t="array" aca="1" ref="AO95" ca="1">IF(OR(AN95=0,AN95=""),"",INDEX(misCriticidades,AM95)&amp;"-"&amp;IFERROR(MATCH(AN95,miOrdenTarjeta,0),0))</f>
        <v/>
      </c>
      <c r="AP95" s="17" t="str">
        <f ca="1"/>
        <v/>
      </c>
      <c r="AQ95" s="18">
        <f t="shared" ca="1" si="43"/>
        <v>1</v>
      </c>
      <c r="AR95" s="18" t="str">
        <f t="shared" ca="1" si="34"/>
        <v/>
      </c>
      <c r="AS95" s="18" t="str" cm="1">
        <f t="array" aca="1" ref="AS95" ca="1">IF(AR95="","",IF(AR95&lt;&gt;AR94,1,IF(AS94=misLíneas-2,0,AS94+1)))</f>
        <v/>
      </c>
      <c r="AT95" s="18" t="str" cm="1">
        <f t="array" aca="1" ref="AT95" ca="1">IF(OR(AS95=0,AS95=""),"",INDEX(misCriticidades,AR95)&amp;"-"&amp;IFERROR(MATCH(AS95,miOrdenTarjeta,0),0))</f>
        <v/>
      </c>
      <c r="AU95" s="17" t="str">
        <f ca="1"/>
        <v/>
      </c>
      <c r="AV95" s="18">
        <f t="shared" ca="1" si="44"/>
        <v>1</v>
      </c>
      <c r="AW95" s="18" t="str">
        <f t="shared" ca="1" si="35"/>
        <v/>
      </c>
      <c r="AX95" s="18" t="str" cm="1">
        <f t="array" aca="1" ref="AX95" ca="1">IF(AW95="","",IF(AW95&lt;&gt;AW94,1,IF(AX94=misLíneas-2,0,AX94+1)))</f>
        <v/>
      </c>
      <c r="AY95" s="18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7" t="str">
        <f ca="1"/>
        <v/>
      </c>
      <c r="C96" s="18">
        <f t="shared" ca="1" si="45"/>
        <v>1</v>
      </c>
      <c r="D96" s="18" t="str">
        <f t="shared" ca="1" si="26"/>
        <v/>
      </c>
      <c r="E96" s="18" t="str" cm="1">
        <f t="array" aca="1" ref="E96" ca="1">IF(D96="","",IF(D96&lt;&gt;D95,1,IF(E95=misLíneas-2,0,E95+1)))</f>
        <v/>
      </c>
      <c r="F96" s="18" t="str" cm="1">
        <f t="array" aca="1" ref="F96" ca="1">IF(OR(E96=0,E96=""),"",INDEX(misCriticidades,D96)&amp;"-"&amp;IFERROR(MATCH(E96,miOrdenTarjeta,0),0))</f>
        <v/>
      </c>
      <c r="G96" s="17" t="str">
        <f ca="1"/>
        <v/>
      </c>
      <c r="H96" s="18">
        <f t="shared" ca="1" si="36"/>
        <v>1</v>
      </c>
      <c r="I96" s="18" t="str">
        <f t="shared" ca="1" si="27"/>
        <v/>
      </c>
      <c r="J96" s="18" t="str" cm="1">
        <f t="array" aca="1" ref="J96" ca="1">IF(I96="","",IF(I96&lt;&gt;I95,1,IF(J95=misLíneas-2,0,J95+1)))</f>
        <v/>
      </c>
      <c r="K96" s="18" t="str" cm="1">
        <f t="array" aca="1" ref="K96" ca="1">IF(OR(J96=0,J96=""),"",INDEX(misCriticidades,I96)&amp;"-"&amp;IFERROR(MATCH(J96,miOrdenTarjeta,0),0))</f>
        <v/>
      </c>
      <c r="L96" s="17" t="str">
        <f ca="1"/>
        <v/>
      </c>
      <c r="M96" s="18">
        <f t="shared" ca="1" si="37"/>
        <v>1</v>
      </c>
      <c r="N96" s="18" t="str">
        <f t="shared" ca="1" si="28"/>
        <v/>
      </c>
      <c r="O96" s="18" t="str" cm="1">
        <f t="array" aca="1" ref="O96" ca="1">IF(N96="","",IF(N96&lt;&gt;N95,1,IF(O95=misLíneas-2,0,O95+1)))</f>
        <v/>
      </c>
      <c r="P96" s="18" t="str" cm="1">
        <f t="array" aca="1" ref="P96" ca="1">IF(OR(O96=0,O96=""),"",INDEX(misCriticidades,N96)&amp;"-"&amp;IFERROR(MATCH(O96,miOrdenTarjeta,0),0))</f>
        <v/>
      </c>
      <c r="Q96" s="17" t="str">
        <f ca="1"/>
        <v/>
      </c>
      <c r="R96" s="18">
        <f t="shared" ca="1" si="38"/>
        <v>11</v>
      </c>
      <c r="S96" s="18">
        <f t="shared" ca="1" si="29"/>
        <v>20</v>
      </c>
      <c r="T96" s="18" cm="1">
        <f t="array" aca="1" ref="T96" ca="1">IF(S96="","",IF(S96&lt;&gt;S95,1,IF(T95=misLíneas-2,0,T95+1)))</f>
        <v>4</v>
      </c>
      <c r="U96" s="18" t="str" cm="1">
        <f t="array" aca="1" ref="U96" ca="1">IF(OR(T96=0,T96=""),"",INDEX(misCriticidades,S96)&amp;"-"&amp;IFERROR(MATCH(T96,miOrdenTarjeta,0),0))</f>
        <v>3-4</v>
      </c>
      <c r="V96" s="17" t="str">
        <f ca="1"/>
        <v/>
      </c>
      <c r="W96" s="18">
        <f t="shared" ca="1" si="39"/>
        <v>1</v>
      </c>
      <c r="X96" s="18" t="str">
        <f t="shared" ca="1" si="30"/>
        <v/>
      </c>
      <c r="Y96" s="18" t="str" cm="1">
        <f t="array" aca="1" ref="Y96" ca="1">IF(X96="","",IF(X96&lt;&gt;X95,1,IF(Y95=misLíneas-2,0,Y95+1)))</f>
        <v/>
      </c>
      <c r="Z96" s="18" t="str" cm="1">
        <f t="array" aca="1" ref="Z96" ca="1">IF(OR(Y96=0,Y96=""),"",INDEX(misCriticidades,X96)&amp;"-"&amp;IFERROR(MATCH(Y96,miOrdenTarjeta,0),0))</f>
        <v/>
      </c>
      <c r="AA96" s="17" t="str">
        <f ca="1"/>
        <v/>
      </c>
      <c r="AB96" s="18">
        <f t="shared" ca="1" si="40"/>
        <v>1</v>
      </c>
      <c r="AC96" s="18" t="str">
        <f t="shared" ca="1" si="31"/>
        <v/>
      </c>
      <c r="AD96" s="18" t="str" cm="1">
        <f t="array" aca="1" ref="AD96" ca="1">IF(AC96="","",IF(AC96&lt;&gt;AC95,1,IF(AD95=misLíneas-2,0,AD95+1)))</f>
        <v/>
      </c>
      <c r="AE96" s="18" t="str" cm="1">
        <f t="array" aca="1" ref="AE96" ca="1">IF(OR(AD96=0,AD96=""),"",INDEX(misCriticidades,AC96)&amp;"-"&amp;IFERROR(MATCH(AD96,miOrdenTarjeta,0),0))</f>
        <v/>
      </c>
      <c r="AF96" s="17" t="str">
        <f ca="1"/>
        <v/>
      </c>
      <c r="AG96" s="18">
        <f t="shared" ca="1" si="41"/>
        <v>1</v>
      </c>
      <c r="AH96" s="18" t="str">
        <f t="shared" ca="1" si="32"/>
        <v/>
      </c>
      <c r="AI96" s="18" t="str" cm="1">
        <f t="array" aca="1" ref="AI96" ca="1">IF(AH96="","",IF(AH96&lt;&gt;AH95,1,IF(AI95=misLíneas-2,0,AI95+1)))</f>
        <v/>
      </c>
      <c r="AJ96" s="18" t="str" cm="1">
        <f t="array" aca="1" ref="AJ96" ca="1">IF(OR(AI96=0,AI96=""),"",INDEX(misCriticidades,AH96)&amp;"-"&amp;IFERROR(MATCH(AI96,miOrdenTarjeta,0),0))</f>
        <v/>
      </c>
      <c r="AK96" s="17" t="str">
        <f ca="1"/>
        <v/>
      </c>
      <c r="AL96" s="18">
        <f t="shared" ca="1" si="42"/>
        <v>1</v>
      </c>
      <c r="AM96" s="18" t="str">
        <f t="shared" ca="1" si="33"/>
        <v/>
      </c>
      <c r="AN96" s="18" t="str" cm="1">
        <f t="array" aca="1" ref="AN96" ca="1">IF(AM96="","",IF(AM96&lt;&gt;AM95,1,IF(AN95=misLíneas-2,0,AN95+1)))</f>
        <v/>
      </c>
      <c r="AO96" s="18" t="str" cm="1">
        <f t="array" aca="1" ref="AO96" ca="1">IF(OR(AN96=0,AN96=""),"",INDEX(misCriticidades,AM96)&amp;"-"&amp;IFERROR(MATCH(AN96,miOrdenTarjeta,0),0))</f>
        <v/>
      </c>
      <c r="AP96" s="17" t="str">
        <f ca="1"/>
        <v/>
      </c>
      <c r="AQ96" s="18">
        <f t="shared" ca="1" si="43"/>
        <v>1</v>
      </c>
      <c r="AR96" s="18" t="str">
        <f t="shared" ca="1" si="34"/>
        <v/>
      </c>
      <c r="AS96" s="18" t="str" cm="1">
        <f t="array" aca="1" ref="AS96" ca="1">IF(AR96="","",IF(AR96&lt;&gt;AR95,1,IF(AS95=misLíneas-2,0,AS95+1)))</f>
        <v/>
      </c>
      <c r="AT96" s="18" t="str" cm="1">
        <f t="array" aca="1" ref="AT96" ca="1">IF(OR(AS96=0,AS96=""),"",INDEX(misCriticidades,AR96)&amp;"-"&amp;IFERROR(MATCH(AS96,miOrdenTarjeta,0),0))</f>
        <v/>
      </c>
      <c r="AU96" s="17" t="str">
        <f ca="1"/>
        <v/>
      </c>
      <c r="AV96" s="18">
        <f t="shared" ca="1" si="44"/>
        <v>1</v>
      </c>
      <c r="AW96" s="18" t="str">
        <f t="shared" ca="1" si="35"/>
        <v/>
      </c>
      <c r="AX96" s="18" t="str" cm="1">
        <f t="array" aca="1" ref="AX96" ca="1">IF(AW96="","",IF(AW96&lt;&gt;AW95,1,IF(AX95=misLíneas-2,0,AX95+1)))</f>
        <v/>
      </c>
      <c r="AY96" s="18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7" t="str">
        <f ca="1"/>
        <v/>
      </c>
      <c r="C97" s="18">
        <f t="shared" ca="1" si="45"/>
        <v>1</v>
      </c>
      <c r="D97" s="18" t="str">
        <f t="shared" ca="1" si="26"/>
        <v/>
      </c>
      <c r="E97" s="18" t="str" cm="1">
        <f t="array" aca="1" ref="E97" ca="1">IF(D97="","",IF(D97&lt;&gt;D96,1,IF(E96=misLíneas-2,0,E96+1)))</f>
        <v/>
      </c>
      <c r="F97" s="18" t="str" cm="1">
        <f t="array" aca="1" ref="F97" ca="1">IF(OR(E97=0,E97=""),"",INDEX(misCriticidades,D97)&amp;"-"&amp;IFERROR(MATCH(E97,miOrdenTarjeta,0),0))</f>
        <v/>
      </c>
      <c r="G97" s="17" t="str">
        <f ca="1"/>
        <v/>
      </c>
      <c r="H97" s="18">
        <f t="shared" ca="1" si="36"/>
        <v>1</v>
      </c>
      <c r="I97" s="18" t="str">
        <f t="shared" ca="1" si="27"/>
        <v/>
      </c>
      <c r="J97" s="18" t="str" cm="1">
        <f t="array" aca="1" ref="J97" ca="1">IF(I97="","",IF(I97&lt;&gt;I96,1,IF(J96=misLíneas-2,0,J96+1)))</f>
        <v/>
      </c>
      <c r="K97" s="18" t="str" cm="1">
        <f t="array" aca="1" ref="K97" ca="1">IF(OR(J97=0,J97=""),"",INDEX(misCriticidades,I97)&amp;"-"&amp;IFERROR(MATCH(J97,miOrdenTarjeta,0),0))</f>
        <v/>
      </c>
      <c r="L97" s="17" t="str">
        <f ca="1"/>
        <v/>
      </c>
      <c r="M97" s="18">
        <f t="shared" ca="1" si="37"/>
        <v>1</v>
      </c>
      <c r="N97" s="18" t="str">
        <f t="shared" ca="1" si="28"/>
        <v/>
      </c>
      <c r="O97" s="18" t="str" cm="1">
        <f t="array" aca="1" ref="O97" ca="1">IF(N97="","",IF(N97&lt;&gt;N96,1,IF(O96=misLíneas-2,0,O96+1)))</f>
        <v/>
      </c>
      <c r="P97" s="18" t="str" cm="1">
        <f t="array" aca="1" ref="P97" ca="1">IF(OR(O97=0,O97=""),"",INDEX(misCriticidades,N97)&amp;"-"&amp;IFERROR(MATCH(O97,miOrdenTarjeta,0),0))</f>
        <v/>
      </c>
      <c r="Q97" s="17" t="str">
        <f ca="1"/>
        <v/>
      </c>
      <c r="R97" s="18">
        <f t="shared" ca="1" si="38"/>
        <v>11</v>
      </c>
      <c r="S97" s="18">
        <f t="shared" ca="1" si="29"/>
        <v>20</v>
      </c>
      <c r="T97" s="18" cm="1">
        <f t="array" aca="1" ref="T97" ca="1">IF(S97="","",IF(S97&lt;&gt;S96,1,IF(T96=misLíneas-2,0,T96+1)))</f>
        <v>5</v>
      </c>
      <c r="U97" s="18" t="str" cm="1">
        <f t="array" aca="1" ref="U97" ca="1">IF(OR(T97=0,T97=""),"",INDEX(misCriticidades,S97)&amp;"-"&amp;IFERROR(MATCH(T97,miOrdenTarjeta,0),0))</f>
        <v>3-5</v>
      </c>
      <c r="V97" s="17" t="str">
        <f ca="1"/>
        <v/>
      </c>
      <c r="W97" s="18">
        <f t="shared" ca="1" si="39"/>
        <v>1</v>
      </c>
      <c r="X97" s="18" t="str">
        <f t="shared" ca="1" si="30"/>
        <v/>
      </c>
      <c r="Y97" s="18" t="str" cm="1">
        <f t="array" aca="1" ref="Y97" ca="1">IF(X97="","",IF(X97&lt;&gt;X96,1,IF(Y96=misLíneas-2,0,Y96+1)))</f>
        <v/>
      </c>
      <c r="Z97" s="18" t="str" cm="1">
        <f t="array" aca="1" ref="Z97" ca="1">IF(OR(Y97=0,Y97=""),"",INDEX(misCriticidades,X97)&amp;"-"&amp;IFERROR(MATCH(Y97,miOrdenTarjeta,0),0))</f>
        <v/>
      </c>
      <c r="AA97" s="17" t="str">
        <f ca="1"/>
        <v/>
      </c>
      <c r="AB97" s="18">
        <f t="shared" ca="1" si="40"/>
        <v>1</v>
      </c>
      <c r="AC97" s="18" t="str">
        <f t="shared" ca="1" si="31"/>
        <v/>
      </c>
      <c r="AD97" s="18" t="str" cm="1">
        <f t="array" aca="1" ref="AD97" ca="1">IF(AC97="","",IF(AC97&lt;&gt;AC96,1,IF(AD96=misLíneas-2,0,AD96+1)))</f>
        <v/>
      </c>
      <c r="AE97" s="18" t="str" cm="1">
        <f t="array" aca="1" ref="AE97" ca="1">IF(OR(AD97=0,AD97=""),"",INDEX(misCriticidades,AC97)&amp;"-"&amp;IFERROR(MATCH(AD97,miOrdenTarjeta,0),0))</f>
        <v/>
      </c>
      <c r="AF97" s="17" t="str">
        <f ca="1"/>
        <v/>
      </c>
      <c r="AG97" s="18">
        <f t="shared" ca="1" si="41"/>
        <v>1</v>
      </c>
      <c r="AH97" s="18" t="str">
        <f t="shared" ca="1" si="32"/>
        <v/>
      </c>
      <c r="AI97" s="18" t="str" cm="1">
        <f t="array" aca="1" ref="AI97" ca="1">IF(AH97="","",IF(AH97&lt;&gt;AH96,1,IF(AI96=misLíneas-2,0,AI96+1)))</f>
        <v/>
      </c>
      <c r="AJ97" s="18" t="str" cm="1">
        <f t="array" aca="1" ref="AJ97" ca="1">IF(OR(AI97=0,AI97=""),"",INDEX(misCriticidades,AH97)&amp;"-"&amp;IFERROR(MATCH(AI97,miOrdenTarjeta,0),0))</f>
        <v/>
      </c>
      <c r="AK97" s="17" t="str">
        <f ca="1"/>
        <v/>
      </c>
      <c r="AL97" s="18">
        <f t="shared" ca="1" si="42"/>
        <v>1</v>
      </c>
      <c r="AM97" s="18" t="str">
        <f t="shared" ca="1" si="33"/>
        <v/>
      </c>
      <c r="AN97" s="18" t="str" cm="1">
        <f t="array" aca="1" ref="AN97" ca="1">IF(AM97="","",IF(AM97&lt;&gt;AM96,1,IF(AN96=misLíneas-2,0,AN96+1)))</f>
        <v/>
      </c>
      <c r="AO97" s="18" t="str" cm="1">
        <f t="array" aca="1" ref="AO97" ca="1">IF(OR(AN97=0,AN97=""),"",INDEX(misCriticidades,AM97)&amp;"-"&amp;IFERROR(MATCH(AN97,miOrdenTarjeta,0),0))</f>
        <v/>
      </c>
      <c r="AP97" s="17" t="str">
        <f ca="1"/>
        <v/>
      </c>
      <c r="AQ97" s="18">
        <f t="shared" ca="1" si="43"/>
        <v>1</v>
      </c>
      <c r="AR97" s="18" t="str">
        <f t="shared" ca="1" si="34"/>
        <v/>
      </c>
      <c r="AS97" s="18" t="str" cm="1">
        <f t="array" aca="1" ref="AS97" ca="1">IF(AR97="","",IF(AR97&lt;&gt;AR96,1,IF(AS96=misLíneas-2,0,AS96+1)))</f>
        <v/>
      </c>
      <c r="AT97" s="18" t="str" cm="1">
        <f t="array" aca="1" ref="AT97" ca="1">IF(OR(AS97=0,AS97=""),"",INDEX(misCriticidades,AR97)&amp;"-"&amp;IFERROR(MATCH(AS97,miOrdenTarjeta,0),0))</f>
        <v/>
      </c>
      <c r="AU97" s="17" t="str">
        <f ca="1"/>
        <v/>
      </c>
      <c r="AV97" s="18">
        <f t="shared" ca="1" si="44"/>
        <v>1</v>
      </c>
      <c r="AW97" s="18" t="str">
        <f t="shared" ca="1" si="35"/>
        <v/>
      </c>
      <c r="AX97" s="18" t="str" cm="1">
        <f t="array" aca="1" ref="AX97" ca="1">IF(AW97="","",IF(AW97&lt;&gt;AW96,1,IF(AX96=misLíneas-2,0,AX96+1)))</f>
        <v/>
      </c>
      <c r="AY97" s="18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7" t="str">
        <f ca="1"/>
        <v/>
      </c>
      <c r="C98" s="18">
        <f t="shared" ca="1" si="45"/>
        <v>1</v>
      </c>
      <c r="D98" s="18" t="str">
        <f t="shared" ca="1" si="26"/>
        <v/>
      </c>
      <c r="E98" s="18" t="str" cm="1">
        <f t="array" aca="1" ref="E98" ca="1">IF(D98="","",IF(D98&lt;&gt;D97,1,IF(E97=misLíneas-2,0,E97+1)))</f>
        <v/>
      </c>
      <c r="F98" s="18" t="str" cm="1">
        <f t="array" aca="1" ref="F98" ca="1">IF(OR(E98=0,E98=""),"",INDEX(misCriticidades,D98)&amp;"-"&amp;IFERROR(MATCH(E98,miOrdenTarjeta,0),0))</f>
        <v/>
      </c>
      <c r="G98" s="17" t="str">
        <f ca="1"/>
        <v/>
      </c>
      <c r="H98" s="18">
        <f t="shared" ca="1" si="36"/>
        <v>1</v>
      </c>
      <c r="I98" s="18" t="str">
        <f t="shared" ca="1" si="27"/>
        <v/>
      </c>
      <c r="J98" s="18" t="str" cm="1">
        <f t="array" aca="1" ref="J98" ca="1">IF(I98="","",IF(I98&lt;&gt;I97,1,IF(J97=misLíneas-2,0,J97+1)))</f>
        <v/>
      </c>
      <c r="K98" s="18" t="str" cm="1">
        <f t="array" aca="1" ref="K98" ca="1">IF(OR(J98=0,J98=""),"",INDEX(misCriticidades,I98)&amp;"-"&amp;IFERROR(MATCH(J98,miOrdenTarjeta,0),0))</f>
        <v/>
      </c>
      <c r="L98" s="17" t="str">
        <f ca="1"/>
        <v/>
      </c>
      <c r="M98" s="18">
        <f t="shared" ca="1" si="37"/>
        <v>1</v>
      </c>
      <c r="N98" s="18" t="str">
        <f t="shared" ca="1" si="28"/>
        <v/>
      </c>
      <c r="O98" s="18" t="str" cm="1">
        <f t="array" aca="1" ref="O98" ca="1">IF(N98="","",IF(N98&lt;&gt;N97,1,IF(O97=misLíneas-2,0,O97+1)))</f>
        <v/>
      </c>
      <c r="P98" s="18" t="str" cm="1">
        <f t="array" aca="1" ref="P98" ca="1">IF(OR(O98=0,O98=""),"",INDEX(misCriticidades,N98)&amp;"-"&amp;IFERROR(MATCH(O98,miOrdenTarjeta,0),0))</f>
        <v/>
      </c>
      <c r="Q98" s="17" t="str">
        <f ca="1"/>
        <v/>
      </c>
      <c r="R98" s="18">
        <f t="shared" ca="1" si="38"/>
        <v>11</v>
      </c>
      <c r="S98" s="18">
        <f t="shared" ca="1" si="29"/>
        <v>20</v>
      </c>
      <c r="T98" s="18" cm="1">
        <f t="array" aca="1" ref="T98" ca="1">IF(S98="","",IF(S98&lt;&gt;S97,1,IF(T97=misLíneas-2,0,T97+1)))</f>
        <v>6</v>
      </c>
      <c r="U98" s="18" t="str" cm="1">
        <f t="array" aca="1" ref="U98" ca="1">IF(OR(T98=0,T98=""),"",INDEX(misCriticidades,S98)&amp;"-"&amp;IFERROR(MATCH(T98,miOrdenTarjeta,0),0))</f>
        <v>3-6</v>
      </c>
      <c r="V98" s="17" t="str">
        <f ca="1"/>
        <v/>
      </c>
      <c r="W98" s="18">
        <f t="shared" ca="1" si="39"/>
        <v>1</v>
      </c>
      <c r="X98" s="18" t="str">
        <f t="shared" ca="1" si="30"/>
        <v/>
      </c>
      <c r="Y98" s="18" t="str" cm="1">
        <f t="array" aca="1" ref="Y98" ca="1">IF(X98="","",IF(X98&lt;&gt;X97,1,IF(Y97=misLíneas-2,0,Y97+1)))</f>
        <v/>
      </c>
      <c r="Z98" s="18" t="str" cm="1">
        <f t="array" aca="1" ref="Z98" ca="1">IF(OR(Y98=0,Y98=""),"",INDEX(misCriticidades,X98)&amp;"-"&amp;IFERROR(MATCH(Y98,miOrdenTarjeta,0),0))</f>
        <v/>
      </c>
      <c r="AA98" s="17" t="str">
        <f ca="1"/>
        <v/>
      </c>
      <c r="AB98" s="18">
        <f t="shared" ca="1" si="40"/>
        <v>1</v>
      </c>
      <c r="AC98" s="18" t="str">
        <f t="shared" ca="1" si="31"/>
        <v/>
      </c>
      <c r="AD98" s="18" t="str" cm="1">
        <f t="array" aca="1" ref="AD98" ca="1">IF(AC98="","",IF(AC98&lt;&gt;AC97,1,IF(AD97=misLíneas-2,0,AD97+1)))</f>
        <v/>
      </c>
      <c r="AE98" s="18" t="str" cm="1">
        <f t="array" aca="1" ref="AE98" ca="1">IF(OR(AD98=0,AD98=""),"",INDEX(misCriticidades,AC98)&amp;"-"&amp;IFERROR(MATCH(AD98,miOrdenTarjeta,0),0))</f>
        <v/>
      </c>
      <c r="AF98" s="17" t="str">
        <f ca="1"/>
        <v/>
      </c>
      <c r="AG98" s="18">
        <f t="shared" ca="1" si="41"/>
        <v>1</v>
      </c>
      <c r="AH98" s="18" t="str">
        <f t="shared" ca="1" si="32"/>
        <v/>
      </c>
      <c r="AI98" s="18" t="str" cm="1">
        <f t="array" aca="1" ref="AI98" ca="1">IF(AH98="","",IF(AH98&lt;&gt;AH97,1,IF(AI97=misLíneas-2,0,AI97+1)))</f>
        <v/>
      </c>
      <c r="AJ98" s="18" t="str" cm="1">
        <f t="array" aca="1" ref="AJ98" ca="1">IF(OR(AI98=0,AI98=""),"",INDEX(misCriticidades,AH98)&amp;"-"&amp;IFERROR(MATCH(AI98,miOrdenTarjeta,0),0))</f>
        <v/>
      </c>
      <c r="AK98" s="17" t="str">
        <f ca="1"/>
        <v/>
      </c>
      <c r="AL98" s="18">
        <f t="shared" ca="1" si="42"/>
        <v>1</v>
      </c>
      <c r="AM98" s="18" t="str">
        <f t="shared" ca="1" si="33"/>
        <v/>
      </c>
      <c r="AN98" s="18" t="str" cm="1">
        <f t="array" aca="1" ref="AN98" ca="1">IF(AM98="","",IF(AM98&lt;&gt;AM97,1,IF(AN97=misLíneas-2,0,AN97+1)))</f>
        <v/>
      </c>
      <c r="AO98" s="18" t="str" cm="1">
        <f t="array" aca="1" ref="AO98" ca="1">IF(OR(AN98=0,AN98=""),"",INDEX(misCriticidades,AM98)&amp;"-"&amp;IFERROR(MATCH(AN98,miOrdenTarjeta,0),0))</f>
        <v/>
      </c>
      <c r="AP98" s="17" t="str">
        <f ca="1"/>
        <v/>
      </c>
      <c r="AQ98" s="18">
        <f t="shared" ca="1" si="43"/>
        <v>1</v>
      </c>
      <c r="AR98" s="18" t="str">
        <f t="shared" ca="1" si="34"/>
        <v/>
      </c>
      <c r="AS98" s="18" t="str" cm="1">
        <f t="array" aca="1" ref="AS98" ca="1">IF(AR98="","",IF(AR98&lt;&gt;AR97,1,IF(AS97=misLíneas-2,0,AS97+1)))</f>
        <v/>
      </c>
      <c r="AT98" s="18" t="str" cm="1">
        <f t="array" aca="1" ref="AT98" ca="1">IF(OR(AS98=0,AS98=""),"",INDEX(misCriticidades,AR98)&amp;"-"&amp;IFERROR(MATCH(AS98,miOrdenTarjeta,0),0))</f>
        <v/>
      </c>
      <c r="AU98" s="17" t="str">
        <f ca="1"/>
        <v/>
      </c>
      <c r="AV98" s="18">
        <f t="shared" ca="1" si="44"/>
        <v>1</v>
      </c>
      <c r="AW98" s="18" t="str">
        <f t="shared" ca="1" si="35"/>
        <v/>
      </c>
      <c r="AX98" s="18" t="str" cm="1">
        <f t="array" aca="1" ref="AX98" ca="1">IF(AW98="","",IF(AW98&lt;&gt;AW97,1,IF(AX97=misLíneas-2,0,AX97+1)))</f>
        <v/>
      </c>
      <c r="AY98" s="18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7" t="str">
        <f ca="1"/>
        <v/>
      </c>
      <c r="C99" s="18">
        <f t="shared" ca="1" si="45"/>
        <v>1</v>
      </c>
      <c r="D99" s="18" t="str">
        <f t="shared" ref="D99:D130" ca="1" si="46">IF(C99&gt;C98,IFERROR(IF(F$1="v",SMALL(B$2:B$101,C99),LARGE(B$2:B$101,C99)),""),D98)</f>
        <v/>
      </c>
      <c r="E99" s="18" t="str" cm="1">
        <f t="array" aca="1" ref="E99" ca="1">IF(D99="","",IF(D99&lt;&gt;D98,1,IF(E98=misLíneas-2,0,E98+1)))</f>
        <v/>
      </c>
      <c r="F99" s="18" t="str" cm="1">
        <f t="array" aca="1" ref="F99" ca="1">IF(OR(E99=0,E99=""),"",INDEX(misCriticidades,D99)&amp;"-"&amp;IFERROR(MATCH(E99,miOrdenTarjeta,0),0))</f>
        <v/>
      </c>
      <c r="G99" s="17" t="str">
        <f ca="1"/>
        <v/>
      </c>
      <c r="H99" s="18">
        <f t="shared" ca="1" si="36"/>
        <v>1</v>
      </c>
      <c r="I99" s="18" t="str">
        <f t="shared" ref="I99:I130" ca="1" si="47">IF(H99&gt;H98,IFERROR(IF(K$1="v",SMALL(G$2:G$101,H99),LARGE(G$2:G$101,H99)),""),I98)</f>
        <v/>
      </c>
      <c r="J99" s="18" t="str" cm="1">
        <f t="array" aca="1" ref="J99" ca="1">IF(I99="","",IF(I99&lt;&gt;I98,1,IF(J98=misLíneas-2,0,J98+1)))</f>
        <v/>
      </c>
      <c r="K99" s="18" t="str" cm="1">
        <f t="array" aca="1" ref="K99" ca="1">IF(OR(J99=0,J99=""),"",INDEX(misCriticidades,I99)&amp;"-"&amp;IFERROR(MATCH(J99,miOrdenTarjeta,0),0))</f>
        <v/>
      </c>
      <c r="L99" s="17" t="str">
        <f ca="1"/>
        <v/>
      </c>
      <c r="M99" s="18">
        <f t="shared" ca="1" si="37"/>
        <v>1</v>
      </c>
      <c r="N99" s="18" t="str">
        <f t="shared" ref="N99:N130" ca="1" si="48">IF(M99&gt;M98,IFERROR(IF(P$1="v",SMALL(L$2:L$101,M99),LARGE(L$2:L$101,M99)),""),N98)</f>
        <v/>
      </c>
      <c r="O99" s="18" t="str" cm="1">
        <f t="array" aca="1" ref="O99" ca="1">IF(N99="","",IF(N99&lt;&gt;N98,1,IF(O98=misLíneas-2,0,O98+1)))</f>
        <v/>
      </c>
      <c r="P99" s="18" t="str" cm="1">
        <f t="array" aca="1" ref="P99" ca="1">IF(OR(O99=0,O99=""),"",INDEX(misCriticidades,N99)&amp;"-"&amp;IFERROR(MATCH(O99,miOrdenTarjeta,0),0))</f>
        <v/>
      </c>
      <c r="Q99" s="17" t="str">
        <f ca="1"/>
        <v/>
      </c>
      <c r="R99" s="18">
        <f t="shared" ca="1" si="38"/>
        <v>11</v>
      </c>
      <c r="S99" s="18">
        <f t="shared" ref="S99:S130" ca="1" si="49">IF(R99&gt;R98,IFERROR(IF(U$1="v",SMALL(Q$2:Q$101,R99),LARGE(Q$2:Q$101,R99)),""),S98)</f>
        <v>20</v>
      </c>
      <c r="T99" s="18" cm="1">
        <f t="array" aca="1" ref="T99" ca="1">IF(S99="","",IF(S99&lt;&gt;S98,1,IF(T98=misLíneas-2,0,T98+1)))</f>
        <v>7</v>
      </c>
      <c r="U99" s="18" t="str" cm="1">
        <f t="array" aca="1" ref="U99" ca="1">IF(OR(T99=0,T99=""),"",INDEX(misCriticidades,S99)&amp;"-"&amp;IFERROR(MATCH(T99,miOrdenTarjeta,0),0))</f>
        <v>3-7</v>
      </c>
      <c r="V99" s="17" t="str">
        <f ca="1"/>
        <v/>
      </c>
      <c r="W99" s="18">
        <f t="shared" ca="1" si="39"/>
        <v>1</v>
      </c>
      <c r="X99" s="18" t="str">
        <f t="shared" ref="X99:X130" ca="1" si="50">IF(W99&gt;W98,IFERROR(IF(Z$1="v",SMALL(V$2:V$101,W99),LARGE(V$2:V$101,W99)),""),X98)</f>
        <v/>
      </c>
      <c r="Y99" s="18" t="str" cm="1">
        <f t="array" aca="1" ref="Y99" ca="1">IF(X99="","",IF(X99&lt;&gt;X98,1,IF(Y98=misLíneas-2,0,Y98+1)))</f>
        <v/>
      </c>
      <c r="Z99" s="18" t="str" cm="1">
        <f t="array" aca="1" ref="Z99" ca="1">IF(OR(Y99=0,Y99=""),"",INDEX(misCriticidades,X99)&amp;"-"&amp;IFERROR(MATCH(Y99,miOrdenTarjeta,0),0))</f>
        <v/>
      </c>
      <c r="AA99" s="17" t="str">
        <f ca="1"/>
        <v/>
      </c>
      <c r="AB99" s="18">
        <f t="shared" ca="1" si="40"/>
        <v>1</v>
      </c>
      <c r="AC99" s="18" t="str">
        <f t="shared" ca="1" si="31"/>
        <v/>
      </c>
      <c r="AD99" s="18" t="str" cm="1">
        <f t="array" aca="1" ref="AD99" ca="1">IF(AC99="","",IF(AC99&lt;&gt;AC98,1,IF(AD98=misLíneas-2,0,AD98+1)))</f>
        <v/>
      </c>
      <c r="AE99" s="18" t="str" cm="1">
        <f t="array" aca="1" ref="AE99" ca="1">IF(OR(AD99=0,AD99=""),"",INDEX(misCriticidades,AC99)&amp;"-"&amp;IFERROR(MATCH(AD99,miOrdenTarjeta,0),0))</f>
        <v/>
      </c>
      <c r="AF99" s="17" t="str">
        <f ca="1"/>
        <v/>
      </c>
      <c r="AG99" s="18">
        <f t="shared" ca="1" si="41"/>
        <v>1</v>
      </c>
      <c r="AH99" s="18" t="str">
        <f t="shared" ca="1" si="32"/>
        <v/>
      </c>
      <c r="AI99" s="18" t="str" cm="1">
        <f t="array" aca="1" ref="AI99" ca="1">IF(AH99="","",IF(AH99&lt;&gt;AH98,1,IF(AI98=misLíneas-2,0,AI98+1)))</f>
        <v/>
      </c>
      <c r="AJ99" s="18" t="str" cm="1">
        <f t="array" aca="1" ref="AJ99" ca="1">IF(OR(AI99=0,AI99=""),"",INDEX(misCriticidades,AH99)&amp;"-"&amp;IFERROR(MATCH(AI99,miOrdenTarjeta,0),0))</f>
        <v/>
      </c>
      <c r="AK99" s="17" t="str">
        <f ca="1"/>
        <v/>
      </c>
      <c r="AL99" s="18">
        <f t="shared" ca="1" si="42"/>
        <v>1</v>
      </c>
      <c r="AM99" s="18" t="str">
        <f t="shared" ca="1" si="33"/>
        <v/>
      </c>
      <c r="AN99" s="18" t="str" cm="1">
        <f t="array" aca="1" ref="AN99" ca="1">IF(AM99="","",IF(AM99&lt;&gt;AM98,1,IF(AN98=misLíneas-2,0,AN98+1)))</f>
        <v/>
      </c>
      <c r="AO99" s="18" t="str" cm="1">
        <f t="array" aca="1" ref="AO99" ca="1">IF(OR(AN99=0,AN99=""),"",INDEX(misCriticidades,AM99)&amp;"-"&amp;IFERROR(MATCH(AN99,miOrdenTarjeta,0),0))</f>
        <v/>
      </c>
      <c r="AP99" s="17" t="str">
        <f ca="1"/>
        <v/>
      </c>
      <c r="AQ99" s="18">
        <f t="shared" ca="1" si="43"/>
        <v>1</v>
      </c>
      <c r="AR99" s="18" t="str">
        <f t="shared" ca="1" si="34"/>
        <v/>
      </c>
      <c r="AS99" s="18" t="str" cm="1">
        <f t="array" aca="1" ref="AS99" ca="1">IF(AR99="","",IF(AR99&lt;&gt;AR98,1,IF(AS98=misLíneas-2,0,AS98+1)))</f>
        <v/>
      </c>
      <c r="AT99" s="18" t="str" cm="1">
        <f t="array" aca="1" ref="AT99" ca="1">IF(OR(AS99=0,AS99=""),"",INDEX(misCriticidades,AR99)&amp;"-"&amp;IFERROR(MATCH(AS99,miOrdenTarjeta,0),0))</f>
        <v/>
      </c>
      <c r="AU99" s="17" t="str">
        <f ca="1"/>
        <v/>
      </c>
      <c r="AV99" s="18">
        <f t="shared" ca="1" si="44"/>
        <v>1</v>
      </c>
      <c r="AW99" s="18" t="str">
        <f t="shared" ca="1" si="35"/>
        <v/>
      </c>
      <c r="AX99" s="18" t="str" cm="1">
        <f t="array" aca="1" ref="AX99" ca="1">IF(AW99="","",IF(AW99&lt;&gt;AW98,1,IF(AX98=misLíneas-2,0,AX98+1)))</f>
        <v/>
      </c>
      <c r="AY99" s="18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7" t="str">
        <f ca="1"/>
        <v/>
      </c>
      <c r="C100" s="18">
        <f t="shared" ca="1" si="45"/>
        <v>1</v>
      </c>
      <c r="D100" s="18" t="str">
        <f t="shared" ca="1" si="46"/>
        <v/>
      </c>
      <c r="E100" s="18" t="str" cm="1">
        <f t="array" aca="1" ref="E100" ca="1">IF(D100="","",IF(D100&lt;&gt;D99,1,IF(E99=misLíneas-2,0,E99+1)))</f>
        <v/>
      </c>
      <c r="F100" s="18" t="str" cm="1">
        <f t="array" aca="1" ref="F100" ca="1">IF(OR(E100=0,E100=""),"",INDEX(misCriticidades,D100)&amp;"-"&amp;IFERROR(MATCH(E100,miOrdenTarjeta,0),0))</f>
        <v/>
      </c>
      <c r="G100" s="17" t="str">
        <f ca="1"/>
        <v/>
      </c>
      <c r="H100" s="18">
        <f t="shared" ca="1" si="36"/>
        <v>1</v>
      </c>
      <c r="I100" s="18" t="str">
        <f t="shared" ca="1" si="47"/>
        <v/>
      </c>
      <c r="J100" s="18" t="str" cm="1">
        <f t="array" aca="1" ref="J100" ca="1">IF(I100="","",IF(I100&lt;&gt;I99,1,IF(J99=misLíneas-2,0,J99+1)))</f>
        <v/>
      </c>
      <c r="K100" s="18" t="str" cm="1">
        <f t="array" aca="1" ref="K100" ca="1">IF(OR(J100=0,J100=""),"",INDEX(misCriticidades,I100)&amp;"-"&amp;IFERROR(MATCH(J100,miOrdenTarjeta,0),0))</f>
        <v/>
      </c>
      <c r="L100" s="17" t="str">
        <f ca="1"/>
        <v/>
      </c>
      <c r="M100" s="18">
        <f t="shared" ca="1" si="37"/>
        <v>1</v>
      </c>
      <c r="N100" s="18" t="str">
        <f t="shared" ca="1" si="48"/>
        <v/>
      </c>
      <c r="O100" s="18" t="str" cm="1">
        <f t="array" aca="1" ref="O100" ca="1">IF(N100="","",IF(N100&lt;&gt;N99,1,IF(O99=misLíneas-2,0,O99+1)))</f>
        <v/>
      </c>
      <c r="P100" s="18" t="str" cm="1">
        <f t="array" aca="1" ref="P100" ca="1">IF(OR(O100=0,O100=""),"",INDEX(misCriticidades,N100)&amp;"-"&amp;IFERROR(MATCH(O100,miOrdenTarjeta,0),0))</f>
        <v/>
      </c>
      <c r="Q100" s="17" t="str">
        <f ca="1"/>
        <v/>
      </c>
      <c r="R100" s="18">
        <f t="shared" ca="1" si="38"/>
        <v>11</v>
      </c>
      <c r="S100" s="18">
        <f t="shared" ca="1" si="49"/>
        <v>20</v>
      </c>
      <c r="T100" s="18" cm="1">
        <f t="array" aca="1" ref="T100" ca="1">IF(S100="","",IF(S100&lt;&gt;S99,1,IF(T99=misLíneas-2,0,T99+1)))</f>
        <v>8</v>
      </c>
      <c r="U100" s="18" t="str" cm="1">
        <f t="array" aca="1" ref="U100" ca="1">IF(OR(T100=0,T100=""),"",INDEX(misCriticidades,S100)&amp;"-"&amp;IFERROR(MATCH(T100,miOrdenTarjeta,0),0))</f>
        <v>3-8</v>
      </c>
      <c r="V100" s="17" t="str">
        <f ca="1"/>
        <v/>
      </c>
      <c r="W100" s="18">
        <f t="shared" ca="1" si="39"/>
        <v>1</v>
      </c>
      <c r="X100" s="18" t="str">
        <f t="shared" ca="1" si="50"/>
        <v/>
      </c>
      <c r="Y100" s="18" t="str" cm="1">
        <f t="array" aca="1" ref="Y100" ca="1">IF(X100="","",IF(X100&lt;&gt;X99,1,IF(Y99=misLíneas-2,0,Y99+1)))</f>
        <v/>
      </c>
      <c r="Z100" s="18" t="str" cm="1">
        <f t="array" aca="1" ref="Z100" ca="1">IF(OR(Y100=0,Y100=""),"",INDEX(misCriticidades,X100)&amp;"-"&amp;IFERROR(MATCH(Y100,miOrdenTarjeta,0),0))</f>
        <v/>
      </c>
      <c r="AA100" s="17" t="str">
        <f ca="1"/>
        <v/>
      </c>
      <c r="AB100" s="18">
        <f t="shared" ca="1" si="40"/>
        <v>1</v>
      </c>
      <c r="AC100" s="18" t="str">
        <f t="shared" ca="1" si="31"/>
        <v/>
      </c>
      <c r="AD100" s="18" t="str" cm="1">
        <f t="array" aca="1" ref="AD100" ca="1">IF(AC100="","",IF(AC100&lt;&gt;AC99,1,IF(AD99=misLíneas-2,0,AD99+1)))</f>
        <v/>
      </c>
      <c r="AE100" s="18" t="str" cm="1">
        <f t="array" aca="1" ref="AE100" ca="1">IF(OR(AD100=0,AD100=""),"",INDEX(misCriticidades,AC100)&amp;"-"&amp;IFERROR(MATCH(AD100,miOrdenTarjeta,0),0))</f>
        <v/>
      </c>
      <c r="AF100" s="17" t="str">
        <f ca="1"/>
        <v/>
      </c>
      <c r="AG100" s="18">
        <f t="shared" ca="1" si="41"/>
        <v>1</v>
      </c>
      <c r="AH100" s="18" t="str">
        <f t="shared" ca="1" si="32"/>
        <v/>
      </c>
      <c r="AI100" s="18" t="str" cm="1">
        <f t="array" aca="1" ref="AI100" ca="1">IF(AH100="","",IF(AH100&lt;&gt;AH99,1,IF(AI99=misLíneas-2,0,AI99+1)))</f>
        <v/>
      </c>
      <c r="AJ100" s="18" t="str" cm="1">
        <f t="array" aca="1" ref="AJ100" ca="1">IF(OR(AI100=0,AI100=""),"",INDEX(misCriticidades,AH100)&amp;"-"&amp;IFERROR(MATCH(AI100,miOrdenTarjeta,0),0))</f>
        <v/>
      </c>
      <c r="AK100" s="17" t="str">
        <f ca="1"/>
        <v/>
      </c>
      <c r="AL100" s="18">
        <f t="shared" ca="1" si="42"/>
        <v>1</v>
      </c>
      <c r="AM100" s="18" t="str">
        <f t="shared" ca="1" si="33"/>
        <v/>
      </c>
      <c r="AN100" s="18" t="str" cm="1">
        <f t="array" aca="1" ref="AN100" ca="1">IF(AM100="","",IF(AM100&lt;&gt;AM99,1,IF(AN99=misLíneas-2,0,AN99+1)))</f>
        <v/>
      </c>
      <c r="AO100" s="18" t="str" cm="1">
        <f t="array" aca="1" ref="AO100" ca="1">IF(OR(AN100=0,AN100=""),"",INDEX(misCriticidades,AM100)&amp;"-"&amp;IFERROR(MATCH(AN100,miOrdenTarjeta,0),0))</f>
        <v/>
      </c>
      <c r="AP100" s="17" t="str">
        <f ca="1"/>
        <v/>
      </c>
      <c r="AQ100" s="18">
        <f t="shared" ca="1" si="43"/>
        <v>1</v>
      </c>
      <c r="AR100" s="18" t="str">
        <f t="shared" ca="1" si="34"/>
        <v/>
      </c>
      <c r="AS100" s="18" t="str" cm="1">
        <f t="array" aca="1" ref="AS100" ca="1">IF(AR100="","",IF(AR100&lt;&gt;AR99,1,IF(AS99=misLíneas-2,0,AS99+1)))</f>
        <v/>
      </c>
      <c r="AT100" s="18" t="str" cm="1">
        <f t="array" aca="1" ref="AT100" ca="1">IF(OR(AS100=0,AS100=""),"",INDEX(misCriticidades,AR100)&amp;"-"&amp;IFERROR(MATCH(AS100,miOrdenTarjeta,0),0))</f>
        <v/>
      </c>
      <c r="AU100" s="17" t="str">
        <f ca="1"/>
        <v/>
      </c>
      <c r="AV100" s="18">
        <f t="shared" ca="1" si="44"/>
        <v>1</v>
      </c>
      <c r="AW100" s="18" t="str">
        <f t="shared" ca="1" si="35"/>
        <v/>
      </c>
      <c r="AX100" s="18" t="str" cm="1">
        <f t="array" aca="1" ref="AX100" ca="1">IF(AW100="","",IF(AW100&lt;&gt;AW99,1,IF(AX99=misLíneas-2,0,AX99+1)))</f>
        <v/>
      </c>
      <c r="AY100" s="18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7" t="str">
        <f ca="1"/>
        <v/>
      </c>
      <c r="C101" s="18">
        <f t="shared" ca="1" si="45"/>
        <v>1</v>
      </c>
      <c r="D101" s="18" t="str">
        <f t="shared" ca="1" si="46"/>
        <v/>
      </c>
      <c r="E101" s="18" t="str" cm="1">
        <f t="array" aca="1" ref="E101" ca="1">IF(D101="","",IF(D101&lt;&gt;D100,1,IF(E100=misLíneas-2,0,E100+1)))</f>
        <v/>
      </c>
      <c r="F101" s="18" t="str" cm="1">
        <f t="array" aca="1" ref="F101" ca="1">IF(OR(E101=0,E101=""),"",INDEX(misCriticidades,D101)&amp;"-"&amp;IFERROR(MATCH(E101,miOrdenTarjeta,0),0))</f>
        <v/>
      </c>
      <c r="G101" s="17" t="str">
        <f ca="1"/>
        <v/>
      </c>
      <c r="H101" s="18">
        <f t="shared" ca="1" si="36"/>
        <v>1</v>
      </c>
      <c r="I101" s="18" t="str">
        <f t="shared" ca="1" si="47"/>
        <v/>
      </c>
      <c r="J101" s="18" t="str" cm="1">
        <f t="array" aca="1" ref="J101" ca="1">IF(I101="","",IF(I101&lt;&gt;I100,1,IF(J100=misLíneas-2,0,J100+1)))</f>
        <v/>
      </c>
      <c r="K101" s="18" t="str" cm="1">
        <f t="array" aca="1" ref="K101" ca="1">IF(OR(J101=0,J101=""),"",INDEX(misCriticidades,I101)&amp;"-"&amp;IFERROR(MATCH(J101,miOrdenTarjeta,0),0))</f>
        <v/>
      </c>
      <c r="L101" s="17" t="str">
        <f ca="1"/>
        <v/>
      </c>
      <c r="M101" s="18">
        <f t="shared" ca="1" si="37"/>
        <v>1</v>
      </c>
      <c r="N101" s="18" t="str">
        <f t="shared" ca="1" si="48"/>
        <v/>
      </c>
      <c r="O101" s="18" t="str" cm="1">
        <f t="array" aca="1" ref="O101" ca="1">IF(N101="","",IF(N101&lt;&gt;N100,1,IF(O100=misLíneas-2,0,O100+1)))</f>
        <v/>
      </c>
      <c r="P101" s="18" t="str" cm="1">
        <f t="array" aca="1" ref="P101" ca="1">IF(OR(O101=0,O101=""),"",INDEX(misCriticidades,N101)&amp;"-"&amp;IFERROR(MATCH(O101,miOrdenTarjeta,0),0))</f>
        <v/>
      </c>
      <c r="Q101" s="17" t="str">
        <f ca="1"/>
        <v/>
      </c>
      <c r="R101" s="18">
        <f t="shared" ca="1" si="38"/>
        <v>11</v>
      </c>
      <c r="S101" s="18">
        <f t="shared" ca="1" si="49"/>
        <v>20</v>
      </c>
      <c r="T101" s="18" cm="1">
        <f t="array" aca="1" ref="T101" ca="1">IF(S101="","",IF(S101&lt;&gt;S100,1,IF(T100=misLíneas-2,0,T100+1)))</f>
        <v>0</v>
      </c>
      <c r="U101" s="18" t="str" cm="1">
        <f t="array" aca="1" ref="U101" ca="1">IF(OR(T101=0,T101=""),"",INDEX(misCriticidades,S101)&amp;"-"&amp;IFERROR(MATCH(T101,miOrdenTarjeta,0),0))</f>
        <v/>
      </c>
      <c r="V101" s="17" t="str">
        <f ca="1"/>
        <v/>
      </c>
      <c r="W101" s="18">
        <f t="shared" ca="1" si="39"/>
        <v>1</v>
      </c>
      <c r="X101" s="18" t="str">
        <f t="shared" ca="1" si="50"/>
        <v/>
      </c>
      <c r="Y101" s="18" t="str" cm="1">
        <f t="array" aca="1" ref="Y101" ca="1">IF(X101="","",IF(X101&lt;&gt;X100,1,IF(Y100=misLíneas-2,0,Y100+1)))</f>
        <v/>
      </c>
      <c r="Z101" s="18" t="str" cm="1">
        <f t="array" aca="1" ref="Z101" ca="1">IF(OR(Y101=0,Y101=""),"",INDEX(misCriticidades,X101)&amp;"-"&amp;IFERROR(MATCH(Y101,miOrdenTarjeta,0),0))</f>
        <v/>
      </c>
      <c r="AA101" s="17" t="str">
        <f ca="1"/>
        <v/>
      </c>
      <c r="AB101" s="18">
        <f t="shared" ca="1" si="40"/>
        <v>1</v>
      </c>
      <c r="AC101" s="18" t="str">
        <f t="shared" ca="1" si="31"/>
        <v/>
      </c>
      <c r="AD101" s="18" t="str" cm="1">
        <f t="array" aca="1" ref="AD101" ca="1">IF(AC101="","",IF(AC101&lt;&gt;AC100,1,IF(AD100=misLíneas-2,0,AD100+1)))</f>
        <v/>
      </c>
      <c r="AE101" s="18" t="str" cm="1">
        <f t="array" aca="1" ref="AE101" ca="1">IF(OR(AD101=0,AD101=""),"",INDEX(misCriticidades,AC101)&amp;"-"&amp;IFERROR(MATCH(AD101,miOrdenTarjeta,0),0))</f>
        <v/>
      </c>
      <c r="AF101" s="17" t="str">
        <f ca="1"/>
        <v/>
      </c>
      <c r="AG101" s="18">
        <f t="shared" ca="1" si="41"/>
        <v>1</v>
      </c>
      <c r="AH101" s="18" t="str">
        <f t="shared" ca="1" si="32"/>
        <v/>
      </c>
      <c r="AI101" s="18" t="str" cm="1">
        <f t="array" aca="1" ref="AI101" ca="1">IF(AH101="","",IF(AH101&lt;&gt;AH100,1,IF(AI100=misLíneas-2,0,AI100+1)))</f>
        <v/>
      </c>
      <c r="AJ101" s="18" t="str" cm="1">
        <f t="array" aca="1" ref="AJ101" ca="1">IF(OR(AI101=0,AI101=""),"",INDEX(misCriticidades,AH101)&amp;"-"&amp;IFERROR(MATCH(AI101,miOrdenTarjeta,0),0))</f>
        <v/>
      </c>
      <c r="AK101" s="17" t="str">
        <f ca="1"/>
        <v/>
      </c>
      <c r="AL101" s="18">
        <f t="shared" ca="1" si="42"/>
        <v>1</v>
      </c>
      <c r="AM101" s="18" t="str">
        <f t="shared" ca="1" si="33"/>
        <v/>
      </c>
      <c r="AN101" s="18" t="str" cm="1">
        <f t="array" aca="1" ref="AN101" ca="1">IF(AM101="","",IF(AM101&lt;&gt;AM100,1,IF(AN100=misLíneas-2,0,AN100+1)))</f>
        <v/>
      </c>
      <c r="AO101" s="18" t="str" cm="1">
        <f t="array" aca="1" ref="AO101" ca="1">IF(OR(AN101=0,AN101=""),"",INDEX(misCriticidades,AM101)&amp;"-"&amp;IFERROR(MATCH(AN101,miOrdenTarjeta,0),0))</f>
        <v/>
      </c>
      <c r="AP101" s="17" t="str">
        <f ca="1"/>
        <v/>
      </c>
      <c r="AQ101" s="18">
        <f t="shared" ca="1" si="43"/>
        <v>1</v>
      </c>
      <c r="AR101" s="18" t="str">
        <f t="shared" ca="1" si="34"/>
        <v/>
      </c>
      <c r="AS101" s="18" t="str" cm="1">
        <f t="array" aca="1" ref="AS101" ca="1">IF(AR101="","",IF(AR101&lt;&gt;AR100,1,IF(AS100=misLíneas-2,0,AS100+1)))</f>
        <v/>
      </c>
      <c r="AT101" s="18" t="str" cm="1">
        <f t="array" aca="1" ref="AT101" ca="1">IF(OR(AS101=0,AS101=""),"",INDEX(misCriticidades,AR101)&amp;"-"&amp;IFERROR(MATCH(AS101,miOrdenTarjeta,0),0))</f>
        <v/>
      </c>
      <c r="AU101" s="17" t="str">
        <f ca="1"/>
        <v/>
      </c>
      <c r="AV101" s="18">
        <f t="shared" ca="1" si="44"/>
        <v>1</v>
      </c>
      <c r="AW101" s="18" t="str">
        <f t="shared" ca="1" si="35"/>
        <v/>
      </c>
      <c r="AX101" s="18" t="str" cm="1">
        <f t="array" aca="1" ref="AX101" ca="1">IF(AW101="","",IF(AW101&lt;&gt;AW100,1,IF(AX100=misLíneas-2,0,AX100+1)))</f>
        <v/>
      </c>
      <c r="AY101" s="18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18">
        <f t="shared" ca="1" si="45"/>
        <v>1</v>
      </c>
      <c r="D102" s="18" t="str">
        <f t="shared" ca="1" si="46"/>
        <v/>
      </c>
      <c r="E102" s="18" t="str" cm="1">
        <f t="array" aca="1" ref="E102" ca="1">IF(D102="","",IF(D102&lt;&gt;D101,1,IF(E101=misLíneas-2,0,E101+1)))</f>
        <v/>
      </c>
      <c r="F102" s="18" t="str" cm="1">
        <f t="array" aca="1" ref="F102" ca="1">IF(OR(E102=0,E102=""),"",INDEX(misCriticidades,D102)&amp;"-"&amp;IFERROR(MATCH(E102,miOrdenTarjeta,0),0))</f>
        <v/>
      </c>
      <c r="H102" s="18">
        <f t="shared" ca="1" si="36"/>
        <v>1</v>
      </c>
      <c r="I102" s="18" t="str">
        <f t="shared" ca="1" si="47"/>
        <v/>
      </c>
      <c r="J102" s="18" t="str" cm="1">
        <f t="array" aca="1" ref="J102" ca="1">IF(I102="","",IF(I102&lt;&gt;I101,1,IF(J101=misLíneas-2,0,J101+1)))</f>
        <v/>
      </c>
      <c r="K102" s="18" t="str" cm="1">
        <f t="array" aca="1" ref="K102" ca="1">IF(OR(J102=0,J102=""),"",INDEX(misCriticidades,I102)&amp;"-"&amp;IFERROR(MATCH(J102,miOrdenTarjeta,0),0))</f>
        <v/>
      </c>
      <c r="M102" s="18">
        <f t="shared" ca="1" si="37"/>
        <v>1</v>
      </c>
      <c r="N102" s="18" t="str">
        <f t="shared" ca="1" si="48"/>
        <v/>
      </c>
      <c r="O102" s="18" t="str" cm="1">
        <f t="array" aca="1" ref="O102" ca="1">IF(N102="","",IF(N102&lt;&gt;N101,1,IF(O101=misLíneas-2,0,O101+1)))</f>
        <v/>
      </c>
      <c r="P102" s="18" t="str" cm="1">
        <f t="array" aca="1" ref="P102" ca="1">IF(OR(O102=0,O102=""),"",INDEX(misCriticidades,N102)&amp;"-"&amp;IFERROR(MATCH(O102,miOrdenTarjeta,0),0))</f>
        <v/>
      </c>
      <c r="R102" s="18">
        <f t="shared" ca="1" si="38"/>
        <v>12</v>
      </c>
      <c r="S102" s="18">
        <f t="shared" ca="1" si="49"/>
        <v>19</v>
      </c>
      <c r="T102" s="18" cm="1">
        <f t="array" aca="1" ref="T102" ca="1">IF(S102="","",IF(S102&lt;&gt;S101,1,IF(T101=misLíneas-2,0,T101+1)))</f>
        <v>1</v>
      </c>
      <c r="U102" s="18" t="str" cm="1">
        <f t="array" aca="1" ref="U102" ca="1">IF(OR(T102=0,T102=""),"",INDEX(misCriticidades,S102)&amp;"-"&amp;IFERROR(MATCH(T102,miOrdenTarjeta,0),0))</f>
        <v>2-1</v>
      </c>
      <c r="W102" s="18">
        <f t="shared" ca="1" si="39"/>
        <v>1</v>
      </c>
      <c r="X102" s="18" t="str">
        <f t="shared" ca="1" si="50"/>
        <v/>
      </c>
      <c r="Y102" s="18" t="str" cm="1">
        <f t="array" aca="1" ref="Y102" ca="1">IF(X102="","",IF(X102&lt;&gt;X101,1,IF(Y101=misLíneas-2,0,Y101+1)))</f>
        <v/>
      </c>
      <c r="Z102" s="18" t="str" cm="1">
        <f t="array" aca="1" ref="Z102" ca="1">IF(OR(Y102=0,Y102=""),"",INDEX(misCriticidades,X102)&amp;"-"&amp;IFERROR(MATCH(Y102,miOrdenTarjeta,0),0))</f>
        <v/>
      </c>
      <c r="AB102" s="18">
        <f t="shared" ca="1" si="40"/>
        <v>1</v>
      </c>
      <c r="AC102" s="18" t="str">
        <f t="shared" ca="1" si="31"/>
        <v/>
      </c>
      <c r="AD102" s="18" t="str" cm="1">
        <f t="array" aca="1" ref="AD102" ca="1">IF(AC102="","",IF(AC102&lt;&gt;AC101,1,IF(AD101=misLíneas-2,0,AD101+1)))</f>
        <v/>
      </c>
      <c r="AE102" s="18" t="str" cm="1">
        <f t="array" aca="1" ref="AE102" ca="1">IF(OR(AD102=0,AD102=""),"",INDEX(misCriticidades,AC102)&amp;"-"&amp;IFERROR(MATCH(AD102,miOrdenTarjeta,0),0))</f>
        <v/>
      </c>
      <c r="AG102" s="18">
        <f t="shared" ca="1" si="41"/>
        <v>1</v>
      </c>
      <c r="AH102" s="18" t="str">
        <f t="shared" ca="1" si="32"/>
        <v/>
      </c>
      <c r="AI102" s="18" t="str" cm="1">
        <f t="array" aca="1" ref="AI102" ca="1">IF(AH102="","",IF(AH102&lt;&gt;AH101,1,IF(AI101=misLíneas-2,0,AI101+1)))</f>
        <v/>
      </c>
      <c r="AJ102" s="18" t="str" cm="1">
        <f t="array" aca="1" ref="AJ102" ca="1">IF(OR(AI102=0,AI102=""),"",INDEX(misCriticidades,AH102)&amp;"-"&amp;IFERROR(MATCH(AI102,miOrdenTarjeta,0),0))</f>
        <v/>
      </c>
      <c r="AL102" s="18">
        <f t="shared" ca="1" si="42"/>
        <v>1</v>
      </c>
      <c r="AM102" s="18" t="str">
        <f t="shared" ca="1" si="33"/>
        <v/>
      </c>
      <c r="AN102" s="18" t="str" cm="1">
        <f t="array" aca="1" ref="AN102" ca="1">IF(AM102="","",IF(AM102&lt;&gt;AM101,1,IF(AN101=misLíneas-2,0,AN101+1)))</f>
        <v/>
      </c>
      <c r="AO102" s="18" t="str" cm="1">
        <f t="array" aca="1" ref="AO102" ca="1">IF(OR(AN102=0,AN102=""),"",INDEX(misCriticidades,AM102)&amp;"-"&amp;IFERROR(MATCH(AN102,miOrdenTarjeta,0),0))</f>
        <v/>
      </c>
      <c r="AQ102" s="18">
        <f t="shared" ca="1" si="43"/>
        <v>1</v>
      </c>
      <c r="AR102" s="18" t="str">
        <f t="shared" ca="1" si="34"/>
        <v/>
      </c>
      <c r="AS102" s="18" t="str" cm="1">
        <f t="array" aca="1" ref="AS102" ca="1">IF(AR102="","",IF(AR102&lt;&gt;AR101,1,IF(AS101=misLíneas-2,0,AS101+1)))</f>
        <v/>
      </c>
      <c r="AT102" s="18" t="str" cm="1">
        <f t="array" aca="1" ref="AT102" ca="1">IF(OR(AS102=0,AS102=""),"",INDEX(misCriticidades,AR102)&amp;"-"&amp;IFERROR(MATCH(AS102,miOrdenTarjeta,0),0))</f>
        <v/>
      </c>
      <c r="AV102" s="18">
        <f t="shared" ca="1" si="44"/>
        <v>1</v>
      </c>
      <c r="AW102" s="18" t="str">
        <f t="shared" ca="1" si="35"/>
        <v/>
      </c>
      <c r="AX102" s="18" t="str" cm="1">
        <f t="array" aca="1" ref="AX102" ca="1">IF(AW102="","",IF(AW102&lt;&gt;AW101,1,IF(AX101=misLíneas-2,0,AX101+1)))</f>
        <v/>
      </c>
      <c r="AY102" s="18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18">
        <f t="shared" ca="1" si="45"/>
        <v>1</v>
      </c>
      <c r="D103" s="18" t="str">
        <f t="shared" ca="1" si="46"/>
        <v/>
      </c>
      <c r="E103" s="18" t="str" cm="1">
        <f t="array" aca="1" ref="E103" ca="1">IF(D103="","",IF(D103&lt;&gt;D102,1,IF(E102=misLíneas-2,0,E102+1)))</f>
        <v/>
      </c>
      <c r="F103" s="18" t="str" cm="1">
        <f t="array" aca="1" ref="F103" ca="1">IF(OR(E103=0,E103=""),"",INDEX(misCriticidades,D103)&amp;"-"&amp;IFERROR(MATCH(E103,miOrdenTarjeta,0),0))</f>
        <v/>
      </c>
      <c r="H103" s="18">
        <f t="shared" ca="1" si="36"/>
        <v>1</v>
      </c>
      <c r="I103" s="18" t="str">
        <f t="shared" ca="1" si="47"/>
        <v/>
      </c>
      <c r="J103" s="18" t="str" cm="1">
        <f t="array" aca="1" ref="J103" ca="1">IF(I103="","",IF(I103&lt;&gt;I102,1,IF(J102=misLíneas-2,0,J102+1)))</f>
        <v/>
      </c>
      <c r="K103" s="18" t="str" cm="1">
        <f t="array" aca="1" ref="K103" ca="1">IF(OR(J103=0,J103=""),"",INDEX(misCriticidades,I103)&amp;"-"&amp;IFERROR(MATCH(J103,miOrdenTarjeta,0),0))</f>
        <v/>
      </c>
      <c r="M103" s="18">
        <f t="shared" ca="1" si="37"/>
        <v>1</v>
      </c>
      <c r="N103" s="18" t="str">
        <f t="shared" ca="1" si="48"/>
        <v/>
      </c>
      <c r="O103" s="18" t="str" cm="1">
        <f t="array" aca="1" ref="O103" ca="1">IF(N103="","",IF(N103&lt;&gt;N102,1,IF(O102=misLíneas-2,0,O102+1)))</f>
        <v/>
      </c>
      <c r="P103" s="18" t="str" cm="1">
        <f t="array" aca="1" ref="P103" ca="1">IF(OR(O103=0,O103=""),"",INDEX(misCriticidades,N103)&amp;"-"&amp;IFERROR(MATCH(O103,miOrdenTarjeta,0),0))</f>
        <v/>
      </c>
      <c r="R103" s="18">
        <f t="shared" ca="1" si="38"/>
        <v>12</v>
      </c>
      <c r="S103" s="18">
        <f t="shared" ca="1" si="49"/>
        <v>19</v>
      </c>
      <c r="T103" s="18" cm="1">
        <f t="array" aca="1" ref="T103" ca="1">IF(S103="","",IF(S103&lt;&gt;S102,1,IF(T102=misLíneas-2,0,T102+1)))</f>
        <v>2</v>
      </c>
      <c r="U103" s="18" t="str" cm="1">
        <f t="array" aca="1" ref="U103" ca="1">IF(OR(T103=0,T103=""),"",INDEX(misCriticidades,S103)&amp;"-"&amp;IFERROR(MATCH(T103,miOrdenTarjeta,0),0))</f>
        <v>2-2</v>
      </c>
      <c r="W103" s="18">
        <f t="shared" ca="1" si="39"/>
        <v>1</v>
      </c>
      <c r="X103" s="18" t="str">
        <f t="shared" ca="1" si="50"/>
        <v/>
      </c>
      <c r="Y103" s="18" t="str" cm="1">
        <f t="array" aca="1" ref="Y103" ca="1">IF(X103="","",IF(X103&lt;&gt;X102,1,IF(Y102=misLíneas-2,0,Y102+1)))</f>
        <v/>
      </c>
      <c r="Z103" s="18" t="str" cm="1">
        <f t="array" aca="1" ref="Z103" ca="1">IF(OR(Y103=0,Y103=""),"",INDEX(misCriticidades,X103)&amp;"-"&amp;IFERROR(MATCH(Y103,miOrdenTarjeta,0),0))</f>
        <v/>
      </c>
      <c r="AB103" s="18">
        <f t="shared" ca="1" si="40"/>
        <v>1</v>
      </c>
      <c r="AC103" s="18" t="str">
        <f t="shared" ca="1" si="31"/>
        <v/>
      </c>
      <c r="AD103" s="18" t="str" cm="1">
        <f t="array" aca="1" ref="AD103" ca="1">IF(AC103="","",IF(AC103&lt;&gt;AC102,1,IF(AD102=misLíneas-2,0,AD102+1)))</f>
        <v/>
      </c>
      <c r="AE103" s="18" t="str" cm="1">
        <f t="array" aca="1" ref="AE103" ca="1">IF(OR(AD103=0,AD103=""),"",INDEX(misCriticidades,AC103)&amp;"-"&amp;IFERROR(MATCH(AD103,miOrdenTarjeta,0),0))</f>
        <v/>
      </c>
      <c r="AG103" s="18">
        <f t="shared" ca="1" si="41"/>
        <v>1</v>
      </c>
      <c r="AH103" s="18" t="str">
        <f t="shared" ca="1" si="32"/>
        <v/>
      </c>
      <c r="AI103" s="18" t="str" cm="1">
        <f t="array" aca="1" ref="AI103" ca="1">IF(AH103="","",IF(AH103&lt;&gt;AH102,1,IF(AI102=misLíneas-2,0,AI102+1)))</f>
        <v/>
      </c>
      <c r="AJ103" s="18" t="str" cm="1">
        <f t="array" aca="1" ref="AJ103" ca="1">IF(OR(AI103=0,AI103=""),"",INDEX(misCriticidades,AH103)&amp;"-"&amp;IFERROR(MATCH(AI103,miOrdenTarjeta,0),0))</f>
        <v/>
      </c>
      <c r="AL103" s="18">
        <f t="shared" ca="1" si="42"/>
        <v>1</v>
      </c>
      <c r="AM103" s="18" t="str">
        <f t="shared" ca="1" si="33"/>
        <v/>
      </c>
      <c r="AN103" s="18" t="str" cm="1">
        <f t="array" aca="1" ref="AN103" ca="1">IF(AM103="","",IF(AM103&lt;&gt;AM102,1,IF(AN102=misLíneas-2,0,AN102+1)))</f>
        <v/>
      </c>
      <c r="AO103" s="18" t="str" cm="1">
        <f t="array" aca="1" ref="AO103" ca="1">IF(OR(AN103=0,AN103=""),"",INDEX(misCriticidades,AM103)&amp;"-"&amp;IFERROR(MATCH(AN103,miOrdenTarjeta,0),0))</f>
        <v/>
      </c>
      <c r="AQ103" s="18">
        <f t="shared" ca="1" si="43"/>
        <v>1</v>
      </c>
      <c r="AR103" s="18" t="str">
        <f t="shared" ca="1" si="34"/>
        <v/>
      </c>
      <c r="AS103" s="18" t="str" cm="1">
        <f t="array" aca="1" ref="AS103" ca="1">IF(AR103="","",IF(AR103&lt;&gt;AR102,1,IF(AS102=misLíneas-2,0,AS102+1)))</f>
        <v/>
      </c>
      <c r="AT103" s="18" t="str" cm="1">
        <f t="array" aca="1" ref="AT103" ca="1">IF(OR(AS103=0,AS103=""),"",INDEX(misCriticidades,AR103)&amp;"-"&amp;IFERROR(MATCH(AS103,miOrdenTarjeta,0),0))</f>
        <v/>
      </c>
      <c r="AV103" s="18">
        <f t="shared" ca="1" si="44"/>
        <v>1</v>
      </c>
      <c r="AW103" s="18" t="str">
        <f t="shared" ca="1" si="35"/>
        <v/>
      </c>
      <c r="AX103" s="18" t="str" cm="1">
        <f t="array" aca="1" ref="AX103" ca="1">IF(AW103="","",IF(AW103&lt;&gt;AW102,1,IF(AX102=misLíneas-2,0,AX102+1)))</f>
        <v/>
      </c>
      <c r="AY103" s="18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18">
        <f t="shared" ca="1" si="45"/>
        <v>1</v>
      </c>
      <c r="D104" s="18" t="str">
        <f t="shared" ca="1" si="46"/>
        <v/>
      </c>
      <c r="E104" s="18" t="str" cm="1">
        <f t="array" aca="1" ref="E104" ca="1">IF(D104="","",IF(D104&lt;&gt;D103,1,IF(E103=misLíneas-2,0,E103+1)))</f>
        <v/>
      </c>
      <c r="F104" s="18" t="str" cm="1">
        <f t="array" aca="1" ref="F104" ca="1">IF(OR(E104=0,E104=""),"",INDEX(misCriticidades,D104)&amp;"-"&amp;IFERROR(MATCH(E104,miOrdenTarjeta,0),0))</f>
        <v/>
      </c>
      <c r="H104" s="18">
        <f t="shared" ca="1" si="36"/>
        <v>1</v>
      </c>
      <c r="I104" s="18" t="str">
        <f t="shared" ca="1" si="47"/>
        <v/>
      </c>
      <c r="J104" s="18" t="str" cm="1">
        <f t="array" aca="1" ref="J104" ca="1">IF(I104="","",IF(I104&lt;&gt;I103,1,IF(J103=misLíneas-2,0,J103+1)))</f>
        <v/>
      </c>
      <c r="K104" s="18" t="str" cm="1">
        <f t="array" aca="1" ref="K104" ca="1">IF(OR(J104=0,J104=""),"",INDEX(misCriticidades,I104)&amp;"-"&amp;IFERROR(MATCH(J104,miOrdenTarjeta,0),0))</f>
        <v/>
      </c>
      <c r="M104" s="18">
        <f t="shared" ca="1" si="37"/>
        <v>1</v>
      </c>
      <c r="N104" s="18" t="str">
        <f t="shared" ca="1" si="48"/>
        <v/>
      </c>
      <c r="O104" s="18" t="str" cm="1">
        <f t="array" aca="1" ref="O104" ca="1">IF(N104="","",IF(N104&lt;&gt;N103,1,IF(O103=misLíneas-2,0,O103+1)))</f>
        <v/>
      </c>
      <c r="P104" s="18" t="str" cm="1">
        <f t="array" aca="1" ref="P104" ca="1">IF(OR(O104=0,O104=""),"",INDEX(misCriticidades,N104)&amp;"-"&amp;IFERROR(MATCH(O104,miOrdenTarjeta,0),0))</f>
        <v/>
      </c>
      <c r="R104" s="18">
        <f t="shared" ca="1" si="38"/>
        <v>12</v>
      </c>
      <c r="S104" s="18">
        <f t="shared" ca="1" si="49"/>
        <v>19</v>
      </c>
      <c r="T104" s="18" cm="1">
        <f t="array" aca="1" ref="T104" ca="1">IF(S104="","",IF(S104&lt;&gt;S103,1,IF(T103=misLíneas-2,0,T103+1)))</f>
        <v>3</v>
      </c>
      <c r="U104" s="18" t="str" cm="1">
        <f t="array" aca="1" ref="U104" ca="1">IF(OR(T104=0,T104=""),"",INDEX(misCriticidades,S104)&amp;"-"&amp;IFERROR(MATCH(T104,miOrdenTarjeta,0),0))</f>
        <v>2-3</v>
      </c>
      <c r="W104" s="18">
        <f t="shared" ca="1" si="39"/>
        <v>1</v>
      </c>
      <c r="X104" s="18" t="str">
        <f t="shared" ca="1" si="50"/>
        <v/>
      </c>
      <c r="Y104" s="18" t="str" cm="1">
        <f t="array" aca="1" ref="Y104" ca="1">IF(X104="","",IF(X104&lt;&gt;X103,1,IF(Y103=misLíneas-2,0,Y103+1)))</f>
        <v/>
      </c>
      <c r="Z104" s="18" t="str" cm="1">
        <f t="array" aca="1" ref="Z104" ca="1">IF(OR(Y104=0,Y104=""),"",INDEX(misCriticidades,X104)&amp;"-"&amp;IFERROR(MATCH(Y104,miOrdenTarjeta,0),0))</f>
        <v/>
      </c>
      <c r="AB104" s="18">
        <f t="shared" ca="1" si="40"/>
        <v>1</v>
      </c>
      <c r="AC104" s="18" t="str">
        <f t="shared" ca="1" si="31"/>
        <v/>
      </c>
      <c r="AD104" s="18" t="str" cm="1">
        <f t="array" aca="1" ref="AD104" ca="1">IF(AC104="","",IF(AC104&lt;&gt;AC103,1,IF(AD103=misLíneas-2,0,AD103+1)))</f>
        <v/>
      </c>
      <c r="AE104" s="18" t="str" cm="1">
        <f t="array" aca="1" ref="AE104" ca="1">IF(OR(AD104=0,AD104=""),"",INDEX(misCriticidades,AC104)&amp;"-"&amp;IFERROR(MATCH(AD104,miOrdenTarjeta,0),0))</f>
        <v/>
      </c>
      <c r="AG104" s="18">
        <f t="shared" ca="1" si="41"/>
        <v>1</v>
      </c>
      <c r="AH104" s="18" t="str">
        <f t="shared" ca="1" si="32"/>
        <v/>
      </c>
      <c r="AI104" s="18" t="str" cm="1">
        <f t="array" aca="1" ref="AI104" ca="1">IF(AH104="","",IF(AH104&lt;&gt;AH103,1,IF(AI103=misLíneas-2,0,AI103+1)))</f>
        <v/>
      </c>
      <c r="AJ104" s="18" t="str" cm="1">
        <f t="array" aca="1" ref="AJ104" ca="1">IF(OR(AI104=0,AI104=""),"",INDEX(misCriticidades,AH104)&amp;"-"&amp;IFERROR(MATCH(AI104,miOrdenTarjeta,0),0))</f>
        <v/>
      </c>
      <c r="AL104" s="18">
        <f t="shared" ca="1" si="42"/>
        <v>1</v>
      </c>
      <c r="AM104" s="18" t="str">
        <f t="shared" ca="1" si="33"/>
        <v/>
      </c>
      <c r="AN104" s="18" t="str" cm="1">
        <f t="array" aca="1" ref="AN104" ca="1">IF(AM104="","",IF(AM104&lt;&gt;AM103,1,IF(AN103=misLíneas-2,0,AN103+1)))</f>
        <v/>
      </c>
      <c r="AO104" s="18" t="str" cm="1">
        <f t="array" aca="1" ref="AO104" ca="1">IF(OR(AN104=0,AN104=""),"",INDEX(misCriticidades,AM104)&amp;"-"&amp;IFERROR(MATCH(AN104,miOrdenTarjeta,0),0))</f>
        <v/>
      </c>
      <c r="AQ104" s="18">
        <f t="shared" ca="1" si="43"/>
        <v>1</v>
      </c>
      <c r="AR104" s="18" t="str">
        <f t="shared" ca="1" si="34"/>
        <v/>
      </c>
      <c r="AS104" s="18" t="str" cm="1">
        <f t="array" aca="1" ref="AS104" ca="1">IF(AR104="","",IF(AR104&lt;&gt;AR103,1,IF(AS103=misLíneas-2,0,AS103+1)))</f>
        <v/>
      </c>
      <c r="AT104" s="18" t="str" cm="1">
        <f t="array" aca="1" ref="AT104" ca="1">IF(OR(AS104=0,AS104=""),"",INDEX(misCriticidades,AR104)&amp;"-"&amp;IFERROR(MATCH(AS104,miOrdenTarjeta,0),0))</f>
        <v/>
      </c>
      <c r="AV104" s="18">
        <f t="shared" ca="1" si="44"/>
        <v>1</v>
      </c>
      <c r="AW104" s="18" t="str">
        <f t="shared" ca="1" si="35"/>
        <v/>
      </c>
      <c r="AX104" s="18" t="str" cm="1">
        <f t="array" aca="1" ref="AX104" ca="1">IF(AW104="","",IF(AW104&lt;&gt;AW103,1,IF(AX103=misLíneas-2,0,AX103+1)))</f>
        <v/>
      </c>
      <c r="AY104" s="18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18">
        <f t="shared" ca="1" si="45"/>
        <v>1</v>
      </c>
      <c r="D105" s="18" t="str">
        <f t="shared" ca="1" si="46"/>
        <v/>
      </c>
      <c r="E105" s="18" t="str" cm="1">
        <f t="array" aca="1" ref="E105" ca="1">IF(D105="","",IF(D105&lt;&gt;D104,1,IF(E104=misLíneas-2,0,E104+1)))</f>
        <v/>
      </c>
      <c r="F105" s="18" t="str" cm="1">
        <f t="array" aca="1" ref="F105" ca="1">IF(OR(E105=0,E105=""),"",INDEX(misCriticidades,D105)&amp;"-"&amp;IFERROR(MATCH(E105,miOrdenTarjeta,0),0))</f>
        <v/>
      </c>
      <c r="H105" s="18">
        <f t="shared" ca="1" si="36"/>
        <v>1</v>
      </c>
      <c r="I105" s="18" t="str">
        <f t="shared" ca="1" si="47"/>
        <v/>
      </c>
      <c r="J105" s="18" t="str" cm="1">
        <f t="array" aca="1" ref="J105" ca="1">IF(I105="","",IF(I105&lt;&gt;I104,1,IF(J104=misLíneas-2,0,J104+1)))</f>
        <v/>
      </c>
      <c r="K105" s="18" t="str" cm="1">
        <f t="array" aca="1" ref="K105" ca="1">IF(OR(J105=0,J105=""),"",INDEX(misCriticidades,I105)&amp;"-"&amp;IFERROR(MATCH(J105,miOrdenTarjeta,0),0))</f>
        <v/>
      </c>
      <c r="M105" s="18">
        <f t="shared" ca="1" si="37"/>
        <v>1</v>
      </c>
      <c r="N105" s="18" t="str">
        <f t="shared" ca="1" si="48"/>
        <v/>
      </c>
      <c r="O105" s="18" t="str" cm="1">
        <f t="array" aca="1" ref="O105" ca="1">IF(N105="","",IF(N105&lt;&gt;N104,1,IF(O104=misLíneas-2,0,O104+1)))</f>
        <v/>
      </c>
      <c r="P105" s="18" t="str" cm="1">
        <f t="array" aca="1" ref="P105" ca="1">IF(OR(O105=0,O105=""),"",INDEX(misCriticidades,N105)&amp;"-"&amp;IFERROR(MATCH(O105,miOrdenTarjeta,0),0))</f>
        <v/>
      </c>
      <c r="R105" s="18">
        <f t="shared" ca="1" si="38"/>
        <v>12</v>
      </c>
      <c r="S105" s="18">
        <f t="shared" ca="1" si="49"/>
        <v>19</v>
      </c>
      <c r="T105" s="18" cm="1">
        <f t="array" aca="1" ref="T105" ca="1">IF(S105="","",IF(S105&lt;&gt;S104,1,IF(T104=misLíneas-2,0,T104+1)))</f>
        <v>4</v>
      </c>
      <c r="U105" s="18" t="str" cm="1">
        <f t="array" aca="1" ref="U105" ca="1">IF(OR(T105=0,T105=""),"",INDEX(misCriticidades,S105)&amp;"-"&amp;IFERROR(MATCH(T105,miOrdenTarjeta,0),0))</f>
        <v>2-4</v>
      </c>
      <c r="W105" s="18">
        <f t="shared" ca="1" si="39"/>
        <v>1</v>
      </c>
      <c r="X105" s="18" t="str">
        <f t="shared" ca="1" si="50"/>
        <v/>
      </c>
      <c r="Y105" s="18" t="str" cm="1">
        <f t="array" aca="1" ref="Y105" ca="1">IF(X105="","",IF(X105&lt;&gt;X104,1,IF(Y104=misLíneas-2,0,Y104+1)))</f>
        <v/>
      </c>
      <c r="Z105" s="18" t="str" cm="1">
        <f t="array" aca="1" ref="Z105" ca="1">IF(OR(Y105=0,Y105=""),"",INDEX(misCriticidades,X105)&amp;"-"&amp;IFERROR(MATCH(Y105,miOrdenTarjeta,0),0))</f>
        <v/>
      </c>
      <c r="AB105" s="18">
        <f t="shared" ca="1" si="40"/>
        <v>1</v>
      </c>
      <c r="AC105" s="18" t="str">
        <f t="shared" ca="1" si="31"/>
        <v/>
      </c>
      <c r="AD105" s="18" t="str" cm="1">
        <f t="array" aca="1" ref="AD105" ca="1">IF(AC105="","",IF(AC105&lt;&gt;AC104,1,IF(AD104=misLíneas-2,0,AD104+1)))</f>
        <v/>
      </c>
      <c r="AE105" s="18" t="str" cm="1">
        <f t="array" aca="1" ref="AE105" ca="1">IF(OR(AD105=0,AD105=""),"",INDEX(misCriticidades,AC105)&amp;"-"&amp;IFERROR(MATCH(AD105,miOrdenTarjeta,0),0))</f>
        <v/>
      </c>
      <c r="AG105" s="18">
        <f t="shared" ca="1" si="41"/>
        <v>1</v>
      </c>
      <c r="AH105" s="18" t="str">
        <f t="shared" ca="1" si="32"/>
        <v/>
      </c>
      <c r="AI105" s="18" t="str" cm="1">
        <f t="array" aca="1" ref="AI105" ca="1">IF(AH105="","",IF(AH105&lt;&gt;AH104,1,IF(AI104=misLíneas-2,0,AI104+1)))</f>
        <v/>
      </c>
      <c r="AJ105" s="18" t="str" cm="1">
        <f t="array" aca="1" ref="AJ105" ca="1">IF(OR(AI105=0,AI105=""),"",INDEX(misCriticidades,AH105)&amp;"-"&amp;IFERROR(MATCH(AI105,miOrdenTarjeta,0),0))</f>
        <v/>
      </c>
      <c r="AL105" s="18">
        <f t="shared" ca="1" si="42"/>
        <v>1</v>
      </c>
      <c r="AM105" s="18" t="str">
        <f t="shared" ca="1" si="33"/>
        <v/>
      </c>
      <c r="AN105" s="18" t="str" cm="1">
        <f t="array" aca="1" ref="AN105" ca="1">IF(AM105="","",IF(AM105&lt;&gt;AM104,1,IF(AN104=misLíneas-2,0,AN104+1)))</f>
        <v/>
      </c>
      <c r="AO105" s="18" t="str" cm="1">
        <f t="array" aca="1" ref="AO105" ca="1">IF(OR(AN105=0,AN105=""),"",INDEX(misCriticidades,AM105)&amp;"-"&amp;IFERROR(MATCH(AN105,miOrdenTarjeta,0),0))</f>
        <v/>
      </c>
      <c r="AQ105" s="18">
        <f t="shared" ca="1" si="43"/>
        <v>1</v>
      </c>
      <c r="AR105" s="18" t="str">
        <f t="shared" ca="1" si="34"/>
        <v/>
      </c>
      <c r="AS105" s="18" t="str" cm="1">
        <f t="array" aca="1" ref="AS105" ca="1">IF(AR105="","",IF(AR105&lt;&gt;AR104,1,IF(AS104=misLíneas-2,0,AS104+1)))</f>
        <v/>
      </c>
      <c r="AT105" s="18" t="str" cm="1">
        <f t="array" aca="1" ref="AT105" ca="1">IF(OR(AS105=0,AS105=""),"",INDEX(misCriticidades,AR105)&amp;"-"&amp;IFERROR(MATCH(AS105,miOrdenTarjeta,0),0))</f>
        <v/>
      </c>
      <c r="AV105" s="18">
        <f t="shared" ca="1" si="44"/>
        <v>1</v>
      </c>
      <c r="AW105" s="18" t="str">
        <f t="shared" ca="1" si="35"/>
        <v/>
      </c>
      <c r="AX105" s="18" t="str" cm="1">
        <f t="array" aca="1" ref="AX105" ca="1">IF(AW105="","",IF(AW105&lt;&gt;AW104,1,IF(AX104=misLíneas-2,0,AX104+1)))</f>
        <v/>
      </c>
      <c r="AY105" s="18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18">
        <f t="shared" ca="1" si="45"/>
        <v>1</v>
      </c>
      <c r="D106" s="18" t="str">
        <f t="shared" ca="1" si="46"/>
        <v/>
      </c>
      <c r="E106" s="18" t="str" cm="1">
        <f t="array" aca="1" ref="E106" ca="1">IF(D106="","",IF(D106&lt;&gt;D105,1,IF(E105=misLíneas-2,0,E105+1)))</f>
        <v/>
      </c>
      <c r="F106" s="18" t="str" cm="1">
        <f t="array" aca="1" ref="F106" ca="1">IF(OR(E106=0,E106=""),"",INDEX(misCriticidades,D106)&amp;"-"&amp;IFERROR(MATCH(E106,miOrdenTarjeta,0),0))</f>
        <v/>
      </c>
      <c r="H106" s="18">
        <f t="shared" ca="1" si="36"/>
        <v>1</v>
      </c>
      <c r="I106" s="18" t="str">
        <f t="shared" ca="1" si="47"/>
        <v/>
      </c>
      <c r="J106" s="18" t="str" cm="1">
        <f t="array" aca="1" ref="J106" ca="1">IF(I106="","",IF(I106&lt;&gt;I105,1,IF(J105=misLíneas-2,0,J105+1)))</f>
        <v/>
      </c>
      <c r="K106" s="18" t="str" cm="1">
        <f t="array" aca="1" ref="K106" ca="1">IF(OR(J106=0,J106=""),"",INDEX(misCriticidades,I106)&amp;"-"&amp;IFERROR(MATCH(J106,miOrdenTarjeta,0),0))</f>
        <v/>
      </c>
      <c r="M106" s="18">
        <f t="shared" ca="1" si="37"/>
        <v>1</v>
      </c>
      <c r="N106" s="18" t="str">
        <f t="shared" ca="1" si="48"/>
        <v/>
      </c>
      <c r="O106" s="18" t="str" cm="1">
        <f t="array" aca="1" ref="O106" ca="1">IF(N106="","",IF(N106&lt;&gt;N105,1,IF(O105=misLíneas-2,0,O105+1)))</f>
        <v/>
      </c>
      <c r="P106" s="18" t="str" cm="1">
        <f t="array" aca="1" ref="P106" ca="1">IF(OR(O106=0,O106=""),"",INDEX(misCriticidades,N106)&amp;"-"&amp;IFERROR(MATCH(O106,miOrdenTarjeta,0),0))</f>
        <v/>
      </c>
      <c r="R106" s="18">
        <f t="shared" ca="1" si="38"/>
        <v>12</v>
      </c>
      <c r="S106" s="18">
        <f t="shared" ca="1" si="49"/>
        <v>19</v>
      </c>
      <c r="T106" s="18" cm="1">
        <f t="array" aca="1" ref="T106" ca="1">IF(S106="","",IF(S106&lt;&gt;S105,1,IF(T105=misLíneas-2,0,T105+1)))</f>
        <v>5</v>
      </c>
      <c r="U106" s="18" t="str" cm="1">
        <f t="array" aca="1" ref="U106" ca="1">IF(OR(T106=0,T106=""),"",INDEX(misCriticidades,S106)&amp;"-"&amp;IFERROR(MATCH(T106,miOrdenTarjeta,0),0))</f>
        <v>2-5</v>
      </c>
      <c r="W106" s="18">
        <f t="shared" ca="1" si="39"/>
        <v>1</v>
      </c>
      <c r="X106" s="18" t="str">
        <f t="shared" ca="1" si="50"/>
        <v/>
      </c>
      <c r="Y106" s="18" t="str" cm="1">
        <f t="array" aca="1" ref="Y106" ca="1">IF(X106="","",IF(X106&lt;&gt;X105,1,IF(Y105=misLíneas-2,0,Y105+1)))</f>
        <v/>
      </c>
      <c r="Z106" s="18" t="str" cm="1">
        <f t="array" aca="1" ref="Z106" ca="1">IF(OR(Y106=0,Y106=""),"",INDEX(misCriticidades,X106)&amp;"-"&amp;IFERROR(MATCH(Y106,miOrdenTarjeta,0),0))</f>
        <v/>
      </c>
      <c r="AB106" s="18">
        <f t="shared" ca="1" si="40"/>
        <v>1</v>
      </c>
      <c r="AC106" s="18" t="str">
        <f t="shared" ca="1" si="31"/>
        <v/>
      </c>
      <c r="AD106" s="18" t="str" cm="1">
        <f t="array" aca="1" ref="AD106" ca="1">IF(AC106="","",IF(AC106&lt;&gt;AC105,1,IF(AD105=misLíneas-2,0,AD105+1)))</f>
        <v/>
      </c>
      <c r="AE106" s="18" t="str" cm="1">
        <f t="array" aca="1" ref="AE106" ca="1">IF(OR(AD106=0,AD106=""),"",INDEX(misCriticidades,AC106)&amp;"-"&amp;IFERROR(MATCH(AD106,miOrdenTarjeta,0),0))</f>
        <v/>
      </c>
      <c r="AG106" s="18">
        <f t="shared" ca="1" si="41"/>
        <v>1</v>
      </c>
      <c r="AH106" s="18" t="str">
        <f t="shared" ca="1" si="32"/>
        <v/>
      </c>
      <c r="AI106" s="18" t="str" cm="1">
        <f t="array" aca="1" ref="AI106" ca="1">IF(AH106="","",IF(AH106&lt;&gt;AH105,1,IF(AI105=misLíneas-2,0,AI105+1)))</f>
        <v/>
      </c>
      <c r="AJ106" s="18" t="str" cm="1">
        <f t="array" aca="1" ref="AJ106" ca="1">IF(OR(AI106=0,AI106=""),"",INDEX(misCriticidades,AH106)&amp;"-"&amp;IFERROR(MATCH(AI106,miOrdenTarjeta,0),0))</f>
        <v/>
      </c>
      <c r="AL106" s="18">
        <f t="shared" ca="1" si="42"/>
        <v>1</v>
      </c>
      <c r="AM106" s="18" t="str">
        <f t="shared" ca="1" si="33"/>
        <v/>
      </c>
      <c r="AN106" s="18" t="str" cm="1">
        <f t="array" aca="1" ref="AN106" ca="1">IF(AM106="","",IF(AM106&lt;&gt;AM105,1,IF(AN105=misLíneas-2,0,AN105+1)))</f>
        <v/>
      </c>
      <c r="AO106" s="18" t="str" cm="1">
        <f t="array" aca="1" ref="AO106" ca="1">IF(OR(AN106=0,AN106=""),"",INDEX(misCriticidades,AM106)&amp;"-"&amp;IFERROR(MATCH(AN106,miOrdenTarjeta,0),0))</f>
        <v/>
      </c>
      <c r="AQ106" s="18">
        <f t="shared" ca="1" si="43"/>
        <v>1</v>
      </c>
      <c r="AR106" s="18" t="str">
        <f t="shared" ca="1" si="34"/>
        <v/>
      </c>
      <c r="AS106" s="18" t="str" cm="1">
        <f t="array" aca="1" ref="AS106" ca="1">IF(AR106="","",IF(AR106&lt;&gt;AR105,1,IF(AS105=misLíneas-2,0,AS105+1)))</f>
        <v/>
      </c>
      <c r="AT106" s="18" t="str" cm="1">
        <f t="array" aca="1" ref="AT106" ca="1">IF(OR(AS106=0,AS106=""),"",INDEX(misCriticidades,AR106)&amp;"-"&amp;IFERROR(MATCH(AS106,miOrdenTarjeta,0),0))</f>
        <v/>
      </c>
      <c r="AV106" s="18">
        <f t="shared" ca="1" si="44"/>
        <v>1</v>
      </c>
      <c r="AW106" s="18" t="str">
        <f t="shared" ca="1" si="35"/>
        <v/>
      </c>
      <c r="AX106" s="18" t="str" cm="1">
        <f t="array" aca="1" ref="AX106" ca="1">IF(AW106="","",IF(AW106&lt;&gt;AW105,1,IF(AX105=misLíneas-2,0,AX105+1)))</f>
        <v/>
      </c>
      <c r="AY106" s="18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18">
        <f t="shared" ca="1" si="45"/>
        <v>1</v>
      </c>
      <c r="D107" s="18" t="str">
        <f t="shared" ca="1" si="46"/>
        <v/>
      </c>
      <c r="E107" s="18" t="str" cm="1">
        <f t="array" aca="1" ref="E107" ca="1">IF(D107="","",IF(D107&lt;&gt;D106,1,IF(E106=misLíneas-2,0,E106+1)))</f>
        <v/>
      </c>
      <c r="F107" s="18" t="str" cm="1">
        <f t="array" aca="1" ref="F107" ca="1">IF(OR(E107=0,E107=""),"",INDEX(misCriticidades,D107)&amp;"-"&amp;IFERROR(MATCH(E107,miOrdenTarjeta,0),0))</f>
        <v/>
      </c>
      <c r="H107" s="18">
        <f t="shared" ca="1" si="36"/>
        <v>1</v>
      </c>
      <c r="I107" s="18" t="str">
        <f t="shared" ca="1" si="47"/>
        <v/>
      </c>
      <c r="J107" s="18" t="str" cm="1">
        <f t="array" aca="1" ref="J107" ca="1">IF(I107="","",IF(I107&lt;&gt;I106,1,IF(J106=misLíneas-2,0,J106+1)))</f>
        <v/>
      </c>
      <c r="K107" s="18" t="str" cm="1">
        <f t="array" aca="1" ref="K107" ca="1">IF(OR(J107=0,J107=""),"",INDEX(misCriticidades,I107)&amp;"-"&amp;IFERROR(MATCH(J107,miOrdenTarjeta,0),0))</f>
        <v/>
      </c>
      <c r="M107" s="18">
        <f t="shared" ca="1" si="37"/>
        <v>1</v>
      </c>
      <c r="N107" s="18" t="str">
        <f t="shared" ca="1" si="48"/>
        <v/>
      </c>
      <c r="O107" s="18" t="str" cm="1">
        <f t="array" aca="1" ref="O107" ca="1">IF(N107="","",IF(N107&lt;&gt;N106,1,IF(O106=misLíneas-2,0,O106+1)))</f>
        <v/>
      </c>
      <c r="P107" s="18" t="str" cm="1">
        <f t="array" aca="1" ref="P107" ca="1">IF(OR(O107=0,O107=""),"",INDEX(misCriticidades,N107)&amp;"-"&amp;IFERROR(MATCH(O107,miOrdenTarjeta,0),0))</f>
        <v/>
      </c>
      <c r="R107" s="18">
        <f t="shared" ca="1" si="38"/>
        <v>12</v>
      </c>
      <c r="S107" s="18">
        <f t="shared" ca="1" si="49"/>
        <v>19</v>
      </c>
      <c r="T107" s="18" cm="1">
        <f t="array" aca="1" ref="T107" ca="1">IF(S107="","",IF(S107&lt;&gt;S106,1,IF(T106=misLíneas-2,0,T106+1)))</f>
        <v>6</v>
      </c>
      <c r="U107" s="18" t="str" cm="1">
        <f t="array" aca="1" ref="U107" ca="1">IF(OR(T107=0,T107=""),"",INDEX(misCriticidades,S107)&amp;"-"&amp;IFERROR(MATCH(T107,miOrdenTarjeta,0),0))</f>
        <v>2-6</v>
      </c>
      <c r="W107" s="18">
        <f t="shared" ca="1" si="39"/>
        <v>1</v>
      </c>
      <c r="X107" s="18" t="str">
        <f t="shared" ca="1" si="50"/>
        <v/>
      </c>
      <c r="Y107" s="18" t="str" cm="1">
        <f t="array" aca="1" ref="Y107" ca="1">IF(X107="","",IF(X107&lt;&gt;X106,1,IF(Y106=misLíneas-2,0,Y106+1)))</f>
        <v/>
      </c>
      <c r="Z107" s="18" t="str" cm="1">
        <f t="array" aca="1" ref="Z107" ca="1">IF(OR(Y107=0,Y107=""),"",INDEX(misCriticidades,X107)&amp;"-"&amp;IFERROR(MATCH(Y107,miOrdenTarjeta,0),0))</f>
        <v/>
      </c>
      <c r="AB107" s="18">
        <f t="shared" ca="1" si="40"/>
        <v>1</v>
      </c>
      <c r="AC107" s="18" t="str">
        <f t="shared" ca="1" si="31"/>
        <v/>
      </c>
      <c r="AD107" s="18" t="str" cm="1">
        <f t="array" aca="1" ref="AD107" ca="1">IF(AC107="","",IF(AC107&lt;&gt;AC106,1,IF(AD106=misLíneas-2,0,AD106+1)))</f>
        <v/>
      </c>
      <c r="AE107" s="18" t="str" cm="1">
        <f t="array" aca="1" ref="AE107" ca="1">IF(OR(AD107=0,AD107=""),"",INDEX(misCriticidades,AC107)&amp;"-"&amp;IFERROR(MATCH(AD107,miOrdenTarjeta,0),0))</f>
        <v/>
      </c>
      <c r="AG107" s="18">
        <f t="shared" ca="1" si="41"/>
        <v>1</v>
      </c>
      <c r="AH107" s="18" t="str">
        <f t="shared" ca="1" si="32"/>
        <v/>
      </c>
      <c r="AI107" s="18" t="str" cm="1">
        <f t="array" aca="1" ref="AI107" ca="1">IF(AH107="","",IF(AH107&lt;&gt;AH106,1,IF(AI106=misLíneas-2,0,AI106+1)))</f>
        <v/>
      </c>
      <c r="AJ107" s="18" t="str" cm="1">
        <f t="array" aca="1" ref="AJ107" ca="1">IF(OR(AI107=0,AI107=""),"",INDEX(misCriticidades,AH107)&amp;"-"&amp;IFERROR(MATCH(AI107,miOrdenTarjeta,0),0))</f>
        <v/>
      </c>
      <c r="AL107" s="18">
        <f t="shared" ca="1" si="42"/>
        <v>1</v>
      </c>
      <c r="AM107" s="18" t="str">
        <f t="shared" ca="1" si="33"/>
        <v/>
      </c>
      <c r="AN107" s="18" t="str" cm="1">
        <f t="array" aca="1" ref="AN107" ca="1">IF(AM107="","",IF(AM107&lt;&gt;AM106,1,IF(AN106=misLíneas-2,0,AN106+1)))</f>
        <v/>
      </c>
      <c r="AO107" s="18" t="str" cm="1">
        <f t="array" aca="1" ref="AO107" ca="1">IF(OR(AN107=0,AN107=""),"",INDEX(misCriticidades,AM107)&amp;"-"&amp;IFERROR(MATCH(AN107,miOrdenTarjeta,0),0))</f>
        <v/>
      </c>
      <c r="AQ107" s="18">
        <f t="shared" ca="1" si="43"/>
        <v>1</v>
      </c>
      <c r="AR107" s="18" t="str">
        <f t="shared" ca="1" si="34"/>
        <v/>
      </c>
      <c r="AS107" s="18" t="str" cm="1">
        <f t="array" aca="1" ref="AS107" ca="1">IF(AR107="","",IF(AR107&lt;&gt;AR106,1,IF(AS106=misLíneas-2,0,AS106+1)))</f>
        <v/>
      </c>
      <c r="AT107" s="18" t="str" cm="1">
        <f t="array" aca="1" ref="AT107" ca="1">IF(OR(AS107=0,AS107=""),"",INDEX(misCriticidades,AR107)&amp;"-"&amp;IFERROR(MATCH(AS107,miOrdenTarjeta,0),0))</f>
        <v/>
      </c>
      <c r="AV107" s="18">
        <f t="shared" ca="1" si="44"/>
        <v>1</v>
      </c>
      <c r="AW107" s="18" t="str">
        <f t="shared" ca="1" si="35"/>
        <v/>
      </c>
      <c r="AX107" s="18" t="str" cm="1">
        <f t="array" aca="1" ref="AX107" ca="1">IF(AW107="","",IF(AW107&lt;&gt;AW106,1,IF(AX106=misLíneas-2,0,AX106+1)))</f>
        <v/>
      </c>
      <c r="AY107" s="18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18">
        <f t="shared" ca="1" si="45"/>
        <v>1</v>
      </c>
      <c r="D108" s="18" t="str">
        <f t="shared" ca="1" si="46"/>
        <v/>
      </c>
      <c r="E108" s="18" t="str" cm="1">
        <f t="array" aca="1" ref="E108" ca="1">IF(D108="","",IF(D108&lt;&gt;D107,1,IF(E107=misLíneas-2,0,E107+1)))</f>
        <v/>
      </c>
      <c r="F108" s="18" t="str" cm="1">
        <f t="array" aca="1" ref="F108" ca="1">IF(OR(E108=0,E108=""),"",INDEX(misCriticidades,D108)&amp;"-"&amp;IFERROR(MATCH(E108,miOrdenTarjeta,0),0))</f>
        <v/>
      </c>
      <c r="H108" s="18">
        <f t="shared" ca="1" si="36"/>
        <v>1</v>
      </c>
      <c r="I108" s="18" t="str">
        <f t="shared" ca="1" si="47"/>
        <v/>
      </c>
      <c r="J108" s="18" t="str" cm="1">
        <f t="array" aca="1" ref="J108" ca="1">IF(I108="","",IF(I108&lt;&gt;I107,1,IF(J107=misLíneas-2,0,J107+1)))</f>
        <v/>
      </c>
      <c r="K108" s="18" t="str" cm="1">
        <f t="array" aca="1" ref="K108" ca="1">IF(OR(J108=0,J108=""),"",INDEX(misCriticidades,I108)&amp;"-"&amp;IFERROR(MATCH(J108,miOrdenTarjeta,0),0))</f>
        <v/>
      </c>
      <c r="M108" s="18">
        <f t="shared" ca="1" si="37"/>
        <v>1</v>
      </c>
      <c r="N108" s="18" t="str">
        <f t="shared" ca="1" si="48"/>
        <v/>
      </c>
      <c r="O108" s="18" t="str" cm="1">
        <f t="array" aca="1" ref="O108" ca="1">IF(N108="","",IF(N108&lt;&gt;N107,1,IF(O107=misLíneas-2,0,O107+1)))</f>
        <v/>
      </c>
      <c r="P108" s="18" t="str" cm="1">
        <f t="array" aca="1" ref="P108" ca="1">IF(OR(O108=0,O108=""),"",INDEX(misCriticidades,N108)&amp;"-"&amp;IFERROR(MATCH(O108,miOrdenTarjeta,0),0))</f>
        <v/>
      </c>
      <c r="R108" s="18">
        <f t="shared" ca="1" si="38"/>
        <v>12</v>
      </c>
      <c r="S108" s="18">
        <f t="shared" ca="1" si="49"/>
        <v>19</v>
      </c>
      <c r="T108" s="18" cm="1">
        <f t="array" aca="1" ref="T108" ca="1">IF(S108="","",IF(S108&lt;&gt;S107,1,IF(T107=misLíneas-2,0,T107+1)))</f>
        <v>7</v>
      </c>
      <c r="U108" s="18" t="str" cm="1">
        <f t="array" aca="1" ref="U108" ca="1">IF(OR(T108=0,T108=""),"",INDEX(misCriticidades,S108)&amp;"-"&amp;IFERROR(MATCH(T108,miOrdenTarjeta,0),0))</f>
        <v>2-7</v>
      </c>
      <c r="W108" s="18">
        <f t="shared" ca="1" si="39"/>
        <v>1</v>
      </c>
      <c r="X108" s="18" t="str">
        <f t="shared" ca="1" si="50"/>
        <v/>
      </c>
      <c r="Y108" s="18" t="str" cm="1">
        <f t="array" aca="1" ref="Y108" ca="1">IF(X108="","",IF(X108&lt;&gt;X107,1,IF(Y107=misLíneas-2,0,Y107+1)))</f>
        <v/>
      </c>
      <c r="Z108" s="18" t="str" cm="1">
        <f t="array" aca="1" ref="Z108" ca="1">IF(OR(Y108=0,Y108=""),"",INDEX(misCriticidades,X108)&amp;"-"&amp;IFERROR(MATCH(Y108,miOrdenTarjeta,0),0))</f>
        <v/>
      </c>
      <c r="AB108" s="18">
        <f t="shared" ca="1" si="40"/>
        <v>1</v>
      </c>
      <c r="AC108" s="18" t="str">
        <f t="shared" ca="1" si="31"/>
        <v/>
      </c>
      <c r="AD108" s="18" t="str" cm="1">
        <f t="array" aca="1" ref="AD108" ca="1">IF(AC108="","",IF(AC108&lt;&gt;AC107,1,IF(AD107=misLíneas-2,0,AD107+1)))</f>
        <v/>
      </c>
      <c r="AE108" s="18" t="str" cm="1">
        <f t="array" aca="1" ref="AE108" ca="1">IF(OR(AD108=0,AD108=""),"",INDEX(misCriticidades,AC108)&amp;"-"&amp;IFERROR(MATCH(AD108,miOrdenTarjeta,0),0))</f>
        <v/>
      </c>
      <c r="AG108" s="18">
        <f t="shared" ca="1" si="41"/>
        <v>1</v>
      </c>
      <c r="AH108" s="18" t="str">
        <f t="shared" ca="1" si="32"/>
        <v/>
      </c>
      <c r="AI108" s="18" t="str" cm="1">
        <f t="array" aca="1" ref="AI108" ca="1">IF(AH108="","",IF(AH108&lt;&gt;AH107,1,IF(AI107=misLíneas-2,0,AI107+1)))</f>
        <v/>
      </c>
      <c r="AJ108" s="18" t="str" cm="1">
        <f t="array" aca="1" ref="AJ108" ca="1">IF(OR(AI108=0,AI108=""),"",INDEX(misCriticidades,AH108)&amp;"-"&amp;IFERROR(MATCH(AI108,miOrdenTarjeta,0),0))</f>
        <v/>
      </c>
      <c r="AL108" s="18">
        <f t="shared" ca="1" si="42"/>
        <v>1</v>
      </c>
      <c r="AM108" s="18" t="str">
        <f t="shared" ca="1" si="33"/>
        <v/>
      </c>
      <c r="AN108" s="18" t="str" cm="1">
        <f t="array" aca="1" ref="AN108" ca="1">IF(AM108="","",IF(AM108&lt;&gt;AM107,1,IF(AN107=misLíneas-2,0,AN107+1)))</f>
        <v/>
      </c>
      <c r="AO108" s="18" t="str" cm="1">
        <f t="array" aca="1" ref="AO108" ca="1">IF(OR(AN108=0,AN108=""),"",INDEX(misCriticidades,AM108)&amp;"-"&amp;IFERROR(MATCH(AN108,miOrdenTarjeta,0),0))</f>
        <v/>
      </c>
      <c r="AQ108" s="18">
        <f t="shared" ca="1" si="43"/>
        <v>1</v>
      </c>
      <c r="AR108" s="18" t="str">
        <f t="shared" ca="1" si="34"/>
        <v/>
      </c>
      <c r="AS108" s="18" t="str" cm="1">
        <f t="array" aca="1" ref="AS108" ca="1">IF(AR108="","",IF(AR108&lt;&gt;AR107,1,IF(AS107=misLíneas-2,0,AS107+1)))</f>
        <v/>
      </c>
      <c r="AT108" s="18" t="str" cm="1">
        <f t="array" aca="1" ref="AT108" ca="1">IF(OR(AS108=0,AS108=""),"",INDEX(misCriticidades,AR108)&amp;"-"&amp;IFERROR(MATCH(AS108,miOrdenTarjeta,0),0))</f>
        <v/>
      </c>
      <c r="AV108" s="18">
        <f t="shared" ca="1" si="44"/>
        <v>1</v>
      </c>
      <c r="AW108" s="18" t="str">
        <f t="shared" ca="1" si="35"/>
        <v/>
      </c>
      <c r="AX108" s="18" t="str" cm="1">
        <f t="array" aca="1" ref="AX108" ca="1">IF(AW108="","",IF(AW108&lt;&gt;AW107,1,IF(AX107=misLíneas-2,0,AX107+1)))</f>
        <v/>
      </c>
      <c r="AY108" s="18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18">
        <f t="shared" ca="1" si="45"/>
        <v>1</v>
      </c>
      <c r="D109" s="18" t="str">
        <f t="shared" ca="1" si="46"/>
        <v/>
      </c>
      <c r="E109" s="18" t="str" cm="1">
        <f t="array" aca="1" ref="E109" ca="1">IF(D109="","",IF(D109&lt;&gt;D108,1,IF(E108=misLíneas-2,0,E108+1)))</f>
        <v/>
      </c>
      <c r="F109" s="18" t="str" cm="1">
        <f t="array" aca="1" ref="F109" ca="1">IF(OR(E109=0,E109=""),"",INDEX(misCriticidades,D109)&amp;"-"&amp;IFERROR(MATCH(E109,miOrdenTarjeta,0),0))</f>
        <v/>
      </c>
      <c r="H109" s="18">
        <f t="shared" ca="1" si="36"/>
        <v>1</v>
      </c>
      <c r="I109" s="18" t="str">
        <f t="shared" ca="1" si="47"/>
        <v/>
      </c>
      <c r="J109" s="18" t="str" cm="1">
        <f t="array" aca="1" ref="J109" ca="1">IF(I109="","",IF(I109&lt;&gt;I108,1,IF(J108=misLíneas-2,0,J108+1)))</f>
        <v/>
      </c>
      <c r="K109" s="18" t="str" cm="1">
        <f t="array" aca="1" ref="K109" ca="1">IF(OR(J109=0,J109=""),"",INDEX(misCriticidades,I109)&amp;"-"&amp;IFERROR(MATCH(J109,miOrdenTarjeta,0),0))</f>
        <v/>
      </c>
      <c r="M109" s="18">
        <f t="shared" ca="1" si="37"/>
        <v>1</v>
      </c>
      <c r="N109" s="18" t="str">
        <f t="shared" ca="1" si="48"/>
        <v/>
      </c>
      <c r="O109" s="18" t="str" cm="1">
        <f t="array" aca="1" ref="O109" ca="1">IF(N109="","",IF(N109&lt;&gt;N108,1,IF(O108=misLíneas-2,0,O108+1)))</f>
        <v/>
      </c>
      <c r="P109" s="18" t="str" cm="1">
        <f t="array" aca="1" ref="P109" ca="1">IF(OR(O109=0,O109=""),"",INDEX(misCriticidades,N109)&amp;"-"&amp;IFERROR(MATCH(O109,miOrdenTarjeta,0),0))</f>
        <v/>
      </c>
      <c r="R109" s="18">
        <f t="shared" ca="1" si="38"/>
        <v>12</v>
      </c>
      <c r="S109" s="18">
        <f t="shared" ca="1" si="49"/>
        <v>19</v>
      </c>
      <c r="T109" s="18" cm="1">
        <f t="array" aca="1" ref="T109" ca="1">IF(S109="","",IF(S109&lt;&gt;S108,1,IF(T108=misLíneas-2,0,T108+1)))</f>
        <v>8</v>
      </c>
      <c r="U109" s="18" t="str" cm="1">
        <f t="array" aca="1" ref="U109" ca="1">IF(OR(T109=0,T109=""),"",INDEX(misCriticidades,S109)&amp;"-"&amp;IFERROR(MATCH(T109,miOrdenTarjeta,0),0))</f>
        <v>2-8</v>
      </c>
      <c r="W109" s="18">
        <f t="shared" ca="1" si="39"/>
        <v>1</v>
      </c>
      <c r="X109" s="18" t="str">
        <f t="shared" ca="1" si="50"/>
        <v/>
      </c>
      <c r="Y109" s="18" t="str" cm="1">
        <f t="array" aca="1" ref="Y109" ca="1">IF(X109="","",IF(X109&lt;&gt;X108,1,IF(Y108=misLíneas-2,0,Y108+1)))</f>
        <v/>
      </c>
      <c r="Z109" s="18" t="str" cm="1">
        <f t="array" aca="1" ref="Z109" ca="1">IF(OR(Y109=0,Y109=""),"",INDEX(misCriticidades,X109)&amp;"-"&amp;IFERROR(MATCH(Y109,miOrdenTarjeta,0),0))</f>
        <v/>
      </c>
      <c r="AB109" s="18">
        <f t="shared" ca="1" si="40"/>
        <v>1</v>
      </c>
      <c r="AC109" s="18" t="str">
        <f t="shared" ca="1" si="31"/>
        <v/>
      </c>
      <c r="AD109" s="18" t="str" cm="1">
        <f t="array" aca="1" ref="AD109" ca="1">IF(AC109="","",IF(AC109&lt;&gt;AC108,1,IF(AD108=misLíneas-2,0,AD108+1)))</f>
        <v/>
      </c>
      <c r="AE109" s="18" t="str" cm="1">
        <f t="array" aca="1" ref="AE109" ca="1">IF(OR(AD109=0,AD109=""),"",INDEX(misCriticidades,AC109)&amp;"-"&amp;IFERROR(MATCH(AD109,miOrdenTarjeta,0),0))</f>
        <v/>
      </c>
      <c r="AG109" s="18">
        <f t="shared" ca="1" si="41"/>
        <v>1</v>
      </c>
      <c r="AH109" s="18" t="str">
        <f t="shared" ca="1" si="32"/>
        <v/>
      </c>
      <c r="AI109" s="18" t="str" cm="1">
        <f t="array" aca="1" ref="AI109" ca="1">IF(AH109="","",IF(AH109&lt;&gt;AH108,1,IF(AI108=misLíneas-2,0,AI108+1)))</f>
        <v/>
      </c>
      <c r="AJ109" s="18" t="str" cm="1">
        <f t="array" aca="1" ref="AJ109" ca="1">IF(OR(AI109=0,AI109=""),"",INDEX(misCriticidades,AH109)&amp;"-"&amp;IFERROR(MATCH(AI109,miOrdenTarjeta,0),0))</f>
        <v/>
      </c>
      <c r="AL109" s="18">
        <f t="shared" ca="1" si="42"/>
        <v>1</v>
      </c>
      <c r="AM109" s="18" t="str">
        <f t="shared" ca="1" si="33"/>
        <v/>
      </c>
      <c r="AN109" s="18" t="str" cm="1">
        <f t="array" aca="1" ref="AN109" ca="1">IF(AM109="","",IF(AM109&lt;&gt;AM108,1,IF(AN108=misLíneas-2,0,AN108+1)))</f>
        <v/>
      </c>
      <c r="AO109" s="18" t="str" cm="1">
        <f t="array" aca="1" ref="AO109" ca="1">IF(OR(AN109=0,AN109=""),"",INDEX(misCriticidades,AM109)&amp;"-"&amp;IFERROR(MATCH(AN109,miOrdenTarjeta,0),0))</f>
        <v/>
      </c>
      <c r="AQ109" s="18">
        <f t="shared" ca="1" si="43"/>
        <v>1</v>
      </c>
      <c r="AR109" s="18" t="str">
        <f t="shared" ca="1" si="34"/>
        <v/>
      </c>
      <c r="AS109" s="18" t="str" cm="1">
        <f t="array" aca="1" ref="AS109" ca="1">IF(AR109="","",IF(AR109&lt;&gt;AR108,1,IF(AS108=misLíneas-2,0,AS108+1)))</f>
        <v/>
      </c>
      <c r="AT109" s="18" t="str" cm="1">
        <f t="array" aca="1" ref="AT109" ca="1">IF(OR(AS109=0,AS109=""),"",INDEX(misCriticidades,AR109)&amp;"-"&amp;IFERROR(MATCH(AS109,miOrdenTarjeta,0),0))</f>
        <v/>
      </c>
      <c r="AV109" s="18">
        <f t="shared" ca="1" si="44"/>
        <v>1</v>
      </c>
      <c r="AW109" s="18" t="str">
        <f t="shared" ca="1" si="35"/>
        <v/>
      </c>
      <c r="AX109" s="18" t="str" cm="1">
        <f t="array" aca="1" ref="AX109" ca="1">IF(AW109="","",IF(AW109&lt;&gt;AW108,1,IF(AX108=misLíneas-2,0,AX108+1)))</f>
        <v/>
      </c>
      <c r="AY109" s="18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18">
        <f t="shared" ca="1" si="45"/>
        <v>1</v>
      </c>
      <c r="D110" s="18" t="str">
        <f t="shared" ca="1" si="46"/>
        <v/>
      </c>
      <c r="E110" s="18" t="str" cm="1">
        <f t="array" aca="1" ref="E110" ca="1">IF(D110="","",IF(D110&lt;&gt;D109,1,IF(E109=misLíneas-2,0,E109+1)))</f>
        <v/>
      </c>
      <c r="F110" s="18" t="str" cm="1">
        <f t="array" aca="1" ref="F110" ca="1">IF(OR(E110=0,E110=""),"",INDEX(misCriticidades,D110)&amp;"-"&amp;IFERROR(MATCH(E110,miOrdenTarjeta,0),0))</f>
        <v/>
      </c>
      <c r="H110" s="18">
        <f t="shared" ca="1" si="36"/>
        <v>1</v>
      </c>
      <c r="I110" s="18" t="str">
        <f t="shared" ca="1" si="47"/>
        <v/>
      </c>
      <c r="J110" s="18" t="str" cm="1">
        <f t="array" aca="1" ref="J110" ca="1">IF(I110="","",IF(I110&lt;&gt;I109,1,IF(J109=misLíneas-2,0,J109+1)))</f>
        <v/>
      </c>
      <c r="K110" s="18" t="str" cm="1">
        <f t="array" aca="1" ref="K110" ca="1">IF(OR(J110=0,J110=""),"",INDEX(misCriticidades,I110)&amp;"-"&amp;IFERROR(MATCH(J110,miOrdenTarjeta,0),0))</f>
        <v/>
      </c>
      <c r="M110" s="18">
        <f t="shared" ca="1" si="37"/>
        <v>1</v>
      </c>
      <c r="N110" s="18" t="str">
        <f t="shared" ca="1" si="48"/>
        <v/>
      </c>
      <c r="O110" s="18" t="str" cm="1">
        <f t="array" aca="1" ref="O110" ca="1">IF(N110="","",IF(N110&lt;&gt;N109,1,IF(O109=misLíneas-2,0,O109+1)))</f>
        <v/>
      </c>
      <c r="P110" s="18" t="str" cm="1">
        <f t="array" aca="1" ref="P110" ca="1">IF(OR(O110=0,O110=""),"",INDEX(misCriticidades,N110)&amp;"-"&amp;IFERROR(MATCH(O110,miOrdenTarjeta,0),0))</f>
        <v/>
      </c>
      <c r="R110" s="18">
        <f t="shared" ca="1" si="38"/>
        <v>12</v>
      </c>
      <c r="S110" s="18">
        <f t="shared" ca="1" si="49"/>
        <v>19</v>
      </c>
      <c r="T110" s="18" cm="1">
        <f t="array" aca="1" ref="T110" ca="1">IF(S110="","",IF(S110&lt;&gt;S109,1,IF(T109=misLíneas-2,0,T109+1)))</f>
        <v>0</v>
      </c>
      <c r="U110" s="18" t="str" cm="1">
        <f t="array" aca="1" ref="U110" ca="1">IF(OR(T110=0,T110=""),"",INDEX(misCriticidades,S110)&amp;"-"&amp;IFERROR(MATCH(T110,miOrdenTarjeta,0),0))</f>
        <v/>
      </c>
      <c r="W110" s="18">
        <f t="shared" ca="1" si="39"/>
        <v>1</v>
      </c>
      <c r="X110" s="18" t="str">
        <f t="shared" ca="1" si="50"/>
        <v/>
      </c>
      <c r="Y110" s="18" t="str" cm="1">
        <f t="array" aca="1" ref="Y110" ca="1">IF(X110="","",IF(X110&lt;&gt;X109,1,IF(Y109=misLíneas-2,0,Y109+1)))</f>
        <v/>
      </c>
      <c r="Z110" s="18" t="str" cm="1">
        <f t="array" aca="1" ref="Z110" ca="1">IF(OR(Y110=0,Y110=""),"",INDEX(misCriticidades,X110)&amp;"-"&amp;IFERROR(MATCH(Y110,miOrdenTarjeta,0),0))</f>
        <v/>
      </c>
      <c r="AB110" s="18">
        <f t="shared" ca="1" si="40"/>
        <v>1</v>
      </c>
      <c r="AC110" s="18" t="str">
        <f t="shared" ca="1" si="31"/>
        <v/>
      </c>
      <c r="AD110" s="18" t="str" cm="1">
        <f t="array" aca="1" ref="AD110" ca="1">IF(AC110="","",IF(AC110&lt;&gt;AC109,1,IF(AD109=misLíneas-2,0,AD109+1)))</f>
        <v/>
      </c>
      <c r="AE110" s="18" t="str" cm="1">
        <f t="array" aca="1" ref="AE110" ca="1">IF(OR(AD110=0,AD110=""),"",INDEX(misCriticidades,AC110)&amp;"-"&amp;IFERROR(MATCH(AD110,miOrdenTarjeta,0),0))</f>
        <v/>
      </c>
      <c r="AG110" s="18">
        <f t="shared" ca="1" si="41"/>
        <v>1</v>
      </c>
      <c r="AH110" s="18" t="str">
        <f t="shared" ca="1" si="32"/>
        <v/>
      </c>
      <c r="AI110" s="18" t="str" cm="1">
        <f t="array" aca="1" ref="AI110" ca="1">IF(AH110="","",IF(AH110&lt;&gt;AH109,1,IF(AI109=misLíneas-2,0,AI109+1)))</f>
        <v/>
      </c>
      <c r="AJ110" s="18" t="str" cm="1">
        <f t="array" aca="1" ref="AJ110" ca="1">IF(OR(AI110=0,AI110=""),"",INDEX(misCriticidades,AH110)&amp;"-"&amp;IFERROR(MATCH(AI110,miOrdenTarjeta,0),0))</f>
        <v/>
      </c>
      <c r="AL110" s="18">
        <f t="shared" ca="1" si="42"/>
        <v>1</v>
      </c>
      <c r="AM110" s="18" t="str">
        <f t="shared" ca="1" si="33"/>
        <v/>
      </c>
      <c r="AN110" s="18" t="str" cm="1">
        <f t="array" aca="1" ref="AN110" ca="1">IF(AM110="","",IF(AM110&lt;&gt;AM109,1,IF(AN109=misLíneas-2,0,AN109+1)))</f>
        <v/>
      </c>
      <c r="AO110" s="18" t="str" cm="1">
        <f t="array" aca="1" ref="AO110" ca="1">IF(OR(AN110=0,AN110=""),"",INDEX(misCriticidades,AM110)&amp;"-"&amp;IFERROR(MATCH(AN110,miOrdenTarjeta,0),0))</f>
        <v/>
      </c>
      <c r="AQ110" s="18">
        <f t="shared" ca="1" si="43"/>
        <v>1</v>
      </c>
      <c r="AR110" s="18" t="str">
        <f t="shared" ca="1" si="34"/>
        <v/>
      </c>
      <c r="AS110" s="18" t="str" cm="1">
        <f t="array" aca="1" ref="AS110" ca="1">IF(AR110="","",IF(AR110&lt;&gt;AR109,1,IF(AS109=misLíneas-2,0,AS109+1)))</f>
        <v/>
      </c>
      <c r="AT110" s="18" t="str" cm="1">
        <f t="array" aca="1" ref="AT110" ca="1">IF(OR(AS110=0,AS110=""),"",INDEX(misCriticidades,AR110)&amp;"-"&amp;IFERROR(MATCH(AS110,miOrdenTarjeta,0),0))</f>
        <v/>
      </c>
      <c r="AV110" s="18">
        <f t="shared" ca="1" si="44"/>
        <v>1</v>
      </c>
      <c r="AW110" s="18" t="str">
        <f t="shared" ca="1" si="35"/>
        <v/>
      </c>
      <c r="AX110" s="18" t="str" cm="1">
        <f t="array" aca="1" ref="AX110" ca="1">IF(AW110="","",IF(AW110&lt;&gt;AW109,1,IF(AX109=misLíneas-2,0,AX109+1)))</f>
        <v/>
      </c>
      <c r="AY110" s="18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18">
        <f t="shared" ca="1" si="45"/>
        <v>1</v>
      </c>
      <c r="D111" s="18" t="str">
        <f t="shared" ca="1" si="46"/>
        <v/>
      </c>
      <c r="E111" s="18" t="str" cm="1">
        <f t="array" aca="1" ref="E111" ca="1">IF(D111="","",IF(D111&lt;&gt;D110,1,IF(E110=misLíneas-2,0,E110+1)))</f>
        <v/>
      </c>
      <c r="F111" s="18" t="str" cm="1">
        <f t="array" aca="1" ref="F111" ca="1">IF(OR(E111=0,E111=""),"",INDEX(misCriticidades,D111)&amp;"-"&amp;IFERROR(MATCH(E111,miOrdenTarjeta,0),0))</f>
        <v/>
      </c>
      <c r="H111" s="18">
        <f t="shared" ca="1" si="36"/>
        <v>1</v>
      </c>
      <c r="I111" s="18" t="str">
        <f t="shared" ca="1" si="47"/>
        <v/>
      </c>
      <c r="J111" s="18" t="str" cm="1">
        <f t="array" aca="1" ref="J111" ca="1">IF(I111="","",IF(I111&lt;&gt;I110,1,IF(J110=misLíneas-2,0,J110+1)))</f>
        <v/>
      </c>
      <c r="K111" s="18" t="str" cm="1">
        <f t="array" aca="1" ref="K111" ca="1">IF(OR(J111=0,J111=""),"",INDEX(misCriticidades,I111)&amp;"-"&amp;IFERROR(MATCH(J111,miOrdenTarjeta,0),0))</f>
        <v/>
      </c>
      <c r="M111" s="18">
        <f t="shared" ca="1" si="37"/>
        <v>1</v>
      </c>
      <c r="N111" s="18" t="str">
        <f t="shared" ca="1" si="48"/>
        <v/>
      </c>
      <c r="O111" s="18" t="str" cm="1">
        <f t="array" aca="1" ref="O111" ca="1">IF(N111="","",IF(N111&lt;&gt;N110,1,IF(O110=misLíneas-2,0,O110+1)))</f>
        <v/>
      </c>
      <c r="P111" s="18" t="str" cm="1">
        <f t="array" aca="1" ref="P111" ca="1">IF(OR(O111=0,O111=""),"",INDEX(misCriticidades,N111)&amp;"-"&amp;IFERROR(MATCH(O111,miOrdenTarjeta,0),0))</f>
        <v/>
      </c>
      <c r="R111" s="18">
        <f t="shared" ca="1" si="38"/>
        <v>13</v>
      </c>
      <c r="S111" s="18">
        <f t="shared" ca="1" si="49"/>
        <v>18</v>
      </c>
      <c r="T111" s="18" cm="1">
        <f t="array" aca="1" ref="T111" ca="1">IF(S111="","",IF(S111&lt;&gt;S110,1,IF(T110=misLíneas-2,0,T110+1)))</f>
        <v>1</v>
      </c>
      <c r="U111" s="18" t="str" cm="1">
        <f t="array" aca="1" ref="U111" ca="1">IF(OR(T111=0,T111=""),"",INDEX(misCriticidades,S111)&amp;"-"&amp;IFERROR(MATCH(T111,miOrdenTarjeta,0),0))</f>
        <v>2-1</v>
      </c>
      <c r="W111" s="18">
        <f t="shared" ca="1" si="39"/>
        <v>1</v>
      </c>
      <c r="X111" s="18" t="str">
        <f t="shared" ca="1" si="50"/>
        <v/>
      </c>
      <c r="Y111" s="18" t="str" cm="1">
        <f t="array" aca="1" ref="Y111" ca="1">IF(X111="","",IF(X111&lt;&gt;X110,1,IF(Y110=misLíneas-2,0,Y110+1)))</f>
        <v/>
      </c>
      <c r="Z111" s="18" t="str" cm="1">
        <f t="array" aca="1" ref="Z111" ca="1">IF(OR(Y111=0,Y111=""),"",INDEX(misCriticidades,X111)&amp;"-"&amp;IFERROR(MATCH(Y111,miOrdenTarjeta,0),0))</f>
        <v/>
      </c>
      <c r="AB111" s="18">
        <f t="shared" ca="1" si="40"/>
        <v>1</v>
      </c>
      <c r="AC111" s="18" t="str">
        <f t="shared" ca="1" si="31"/>
        <v/>
      </c>
      <c r="AD111" s="18" t="str" cm="1">
        <f t="array" aca="1" ref="AD111" ca="1">IF(AC111="","",IF(AC111&lt;&gt;AC110,1,IF(AD110=misLíneas-2,0,AD110+1)))</f>
        <v/>
      </c>
      <c r="AE111" s="18" t="str" cm="1">
        <f t="array" aca="1" ref="AE111" ca="1">IF(OR(AD111=0,AD111=""),"",INDEX(misCriticidades,AC111)&amp;"-"&amp;IFERROR(MATCH(AD111,miOrdenTarjeta,0),0))</f>
        <v/>
      </c>
      <c r="AG111" s="18">
        <f t="shared" ca="1" si="41"/>
        <v>1</v>
      </c>
      <c r="AH111" s="18" t="str">
        <f t="shared" ca="1" si="32"/>
        <v/>
      </c>
      <c r="AI111" s="18" t="str" cm="1">
        <f t="array" aca="1" ref="AI111" ca="1">IF(AH111="","",IF(AH111&lt;&gt;AH110,1,IF(AI110=misLíneas-2,0,AI110+1)))</f>
        <v/>
      </c>
      <c r="AJ111" s="18" t="str" cm="1">
        <f t="array" aca="1" ref="AJ111" ca="1">IF(OR(AI111=0,AI111=""),"",INDEX(misCriticidades,AH111)&amp;"-"&amp;IFERROR(MATCH(AI111,miOrdenTarjeta,0),0))</f>
        <v/>
      </c>
      <c r="AL111" s="18">
        <f t="shared" ca="1" si="42"/>
        <v>1</v>
      </c>
      <c r="AM111" s="18" t="str">
        <f t="shared" ca="1" si="33"/>
        <v/>
      </c>
      <c r="AN111" s="18" t="str" cm="1">
        <f t="array" aca="1" ref="AN111" ca="1">IF(AM111="","",IF(AM111&lt;&gt;AM110,1,IF(AN110=misLíneas-2,0,AN110+1)))</f>
        <v/>
      </c>
      <c r="AO111" s="18" t="str" cm="1">
        <f t="array" aca="1" ref="AO111" ca="1">IF(OR(AN111=0,AN111=""),"",INDEX(misCriticidades,AM111)&amp;"-"&amp;IFERROR(MATCH(AN111,miOrdenTarjeta,0),0))</f>
        <v/>
      </c>
      <c r="AQ111" s="18">
        <f t="shared" ca="1" si="43"/>
        <v>1</v>
      </c>
      <c r="AR111" s="18" t="str">
        <f t="shared" ca="1" si="34"/>
        <v/>
      </c>
      <c r="AS111" s="18" t="str" cm="1">
        <f t="array" aca="1" ref="AS111" ca="1">IF(AR111="","",IF(AR111&lt;&gt;AR110,1,IF(AS110=misLíneas-2,0,AS110+1)))</f>
        <v/>
      </c>
      <c r="AT111" s="18" t="str" cm="1">
        <f t="array" aca="1" ref="AT111" ca="1">IF(OR(AS111=0,AS111=""),"",INDEX(misCriticidades,AR111)&amp;"-"&amp;IFERROR(MATCH(AS111,miOrdenTarjeta,0),0))</f>
        <v/>
      </c>
      <c r="AV111" s="18">
        <f t="shared" ca="1" si="44"/>
        <v>1</v>
      </c>
      <c r="AW111" s="18" t="str">
        <f t="shared" ca="1" si="35"/>
        <v/>
      </c>
      <c r="AX111" s="18" t="str" cm="1">
        <f t="array" aca="1" ref="AX111" ca="1">IF(AW111="","",IF(AW111&lt;&gt;AW110,1,IF(AX110=misLíneas-2,0,AX110+1)))</f>
        <v/>
      </c>
      <c r="AY111" s="18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18">
        <f t="shared" ca="1" si="45"/>
        <v>1</v>
      </c>
      <c r="D112" s="18" t="str">
        <f t="shared" ca="1" si="46"/>
        <v/>
      </c>
      <c r="E112" s="18" t="str" cm="1">
        <f t="array" aca="1" ref="E112" ca="1">IF(D112="","",IF(D112&lt;&gt;D111,1,IF(E111=misLíneas-2,0,E111+1)))</f>
        <v/>
      </c>
      <c r="F112" s="18" t="str" cm="1">
        <f t="array" aca="1" ref="F112" ca="1">IF(OR(E112=0,E112=""),"",INDEX(misCriticidades,D112)&amp;"-"&amp;IFERROR(MATCH(E112,miOrdenTarjeta,0),0))</f>
        <v/>
      </c>
      <c r="H112" s="18">
        <f t="shared" ca="1" si="36"/>
        <v>1</v>
      </c>
      <c r="I112" s="18" t="str">
        <f t="shared" ca="1" si="47"/>
        <v/>
      </c>
      <c r="J112" s="18" t="str" cm="1">
        <f t="array" aca="1" ref="J112" ca="1">IF(I112="","",IF(I112&lt;&gt;I111,1,IF(J111=misLíneas-2,0,J111+1)))</f>
        <v/>
      </c>
      <c r="K112" s="18" t="str" cm="1">
        <f t="array" aca="1" ref="K112" ca="1">IF(OR(J112=0,J112=""),"",INDEX(misCriticidades,I112)&amp;"-"&amp;IFERROR(MATCH(J112,miOrdenTarjeta,0),0))</f>
        <v/>
      </c>
      <c r="M112" s="18">
        <f t="shared" ca="1" si="37"/>
        <v>1</v>
      </c>
      <c r="N112" s="18" t="str">
        <f t="shared" ca="1" si="48"/>
        <v/>
      </c>
      <c r="O112" s="18" t="str" cm="1">
        <f t="array" aca="1" ref="O112" ca="1">IF(N112="","",IF(N112&lt;&gt;N111,1,IF(O111=misLíneas-2,0,O111+1)))</f>
        <v/>
      </c>
      <c r="P112" s="18" t="str" cm="1">
        <f t="array" aca="1" ref="P112" ca="1">IF(OR(O112=0,O112=""),"",INDEX(misCriticidades,N112)&amp;"-"&amp;IFERROR(MATCH(O112,miOrdenTarjeta,0),0))</f>
        <v/>
      </c>
      <c r="R112" s="18">
        <f t="shared" ca="1" si="38"/>
        <v>13</v>
      </c>
      <c r="S112" s="18">
        <f t="shared" ca="1" si="49"/>
        <v>18</v>
      </c>
      <c r="T112" s="18" cm="1">
        <f t="array" aca="1" ref="T112" ca="1">IF(S112="","",IF(S112&lt;&gt;S111,1,IF(T111=misLíneas-2,0,T111+1)))</f>
        <v>2</v>
      </c>
      <c r="U112" s="18" t="str" cm="1">
        <f t="array" aca="1" ref="U112" ca="1">IF(OR(T112=0,T112=""),"",INDEX(misCriticidades,S112)&amp;"-"&amp;IFERROR(MATCH(T112,miOrdenTarjeta,0),0))</f>
        <v>2-2</v>
      </c>
      <c r="W112" s="18">
        <f t="shared" ca="1" si="39"/>
        <v>1</v>
      </c>
      <c r="X112" s="18" t="str">
        <f t="shared" ca="1" si="50"/>
        <v/>
      </c>
      <c r="Y112" s="18" t="str" cm="1">
        <f t="array" aca="1" ref="Y112" ca="1">IF(X112="","",IF(X112&lt;&gt;X111,1,IF(Y111=misLíneas-2,0,Y111+1)))</f>
        <v/>
      </c>
      <c r="Z112" s="18" t="str" cm="1">
        <f t="array" aca="1" ref="Z112" ca="1">IF(OR(Y112=0,Y112=""),"",INDEX(misCriticidades,X112)&amp;"-"&amp;IFERROR(MATCH(Y112,miOrdenTarjeta,0),0))</f>
        <v/>
      </c>
      <c r="AB112" s="18">
        <f t="shared" ca="1" si="40"/>
        <v>1</v>
      </c>
      <c r="AC112" s="18" t="str">
        <f t="shared" ca="1" si="31"/>
        <v/>
      </c>
      <c r="AD112" s="18" t="str" cm="1">
        <f t="array" aca="1" ref="AD112" ca="1">IF(AC112="","",IF(AC112&lt;&gt;AC111,1,IF(AD111=misLíneas-2,0,AD111+1)))</f>
        <v/>
      </c>
      <c r="AE112" s="18" t="str" cm="1">
        <f t="array" aca="1" ref="AE112" ca="1">IF(OR(AD112=0,AD112=""),"",INDEX(misCriticidades,AC112)&amp;"-"&amp;IFERROR(MATCH(AD112,miOrdenTarjeta,0),0))</f>
        <v/>
      </c>
      <c r="AG112" s="18">
        <f t="shared" ca="1" si="41"/>
        <v>1</v>
      </c>
      <c r="AH112" s="18" t="str">
        <f t="shared" ca="1" si="32"/>
        <v/>
      </c>
      <c r="AI112" s="18" t="str" cm="1">
        <f t="array" aca="1" ref="AI112" ca="1">IF(AH112="","",IF(AH112&lt;&gt;AH111,1,IF(AI111=misLíneas-2,0,AI111+1)))</f>
        <v/>
      </c>
      <c r="AJ112" s="18" t="str" cm="1">
        <f t="array" aca="1" ref="AJ112" ca="1">IF(OR(AI112=0,AI112=""),"",INDEX(misCriticidades,AH112)&amp;"-"&amp;IFERROR(MATCH(AI112,miOrdenTarjeta,0),0))</f>
        <v/>
      </c>
      <c r="AL112" s="18">
        <f t="shared" ca="1" si="42"/>
        <v>1</v>
      </c>
      <c r="AM112" s="18" t="str">
        <f t="shared" ca="1" si="33"/>
        <v/>
      </c>
      <c r="AN112" s="18" t="str" cm="1">
        <f t="array" aca="1" ref="AN112" ca="1">IF(AM112="","",IF(AM112&lt;&gt;AM111,1,IF(AN111=misLíneas-2,0,AN111+1)))</f>
        <v/>
      </c>
      <c r="AO112" s="18" t="str" cm="1">
        <f t="array" aca="1" ref="AO112" ca="1">IF(OR(AN112=0,AN112=""),"",INDEX(misCriticidades,AM112)&amp;"-"&amp;IFERROR(MATCH(AN112,miOrdenTarjeta,0),0))</f>
        <v/>
      </c>
      <c r="AQ112" s="18">
        <f t="shared" ca="1" si="43"/>
        <v>1</v>
      </c>
      <c r="AR112" s="18" t="str">
        <f t="shared" ca="1" si="34"/>
        <v/>
      </c>
      <c r="AS112" s="18" t="str" cm="1">
        <f t="array" aca="1" ref="AS112" ca="1">IF(AR112="","",IF(AR112&lt;&gt;AR111,1,IF(AS111=misLíneas-2,0,AS111+1)))</f>
        <v/>
      </c>
      <c r="AT112" s="18" t="str" cm="1">
        <f t="array" aca="1" ref="AT112" ca="1">IF(OR(AS112=0,AS112=""),"",INDEX(misCriticidades,AR112)&amp;"-"&amp;IFERROR(MATCH(AS112,miOrdenTarjeta,0),0))</f>
        <v/>
      </c>
      <c r="AV112" s="18">
        <f t="shared" ca="1" si="44"/>
        <v>1</v>
      </c>
      <c r="AW112" s="18" t="str">
        <f t="shared" ca="1" si="35"/>
        <v/>
      </c>
      <c r="AX112" s="18" t="str" cm="1">
        <f t="array" aca="1" ref="AX112" ca="1">IF(AW112="","",IF(AW112&lt;&gt;AW111,1,IF(AX111=misLíneas-2,0,AX111+1)))</f>
        <v/>
      </c>
      <c r="AY112" s="18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18">
        <f t="shared" ca="1" si="45"/>
        <v>1</v>
      </c>
      <c r="D113" s="18" t="str">
        <f t="shared" ca="1" si="46"/>
        <v/>
      </c>
      <c r="E113" s="18" t="str" cm="1">
        <f t="array" aca="1" ref="E113" ca="1">IF(D113="","",IF(D113&lt;&gt;D112,1,IF(E112=misLíneas-2,0,E112+1)))</f>
        <v/>
      </c>
      <c r="F113" s="18" t="str" cm="1">
        <f t="array" aca="1" ref="F113" ca="1">IF(OR(E113=0,E113=""),"",INDEX(misCriticidades,D113)&amp;"-"&amp;IFERROR(MATCH(E113,miOrdenTarjeta,0),0))</f>
        <v/>
      </c>
      <c r="H113" s="18">
        <f t="shared" ca="1" si="36"/>
        <v>1</v>
      </c>
      <c r="I113" s="18" t="str">
        <f t="shared" ca="1" si="47"/>
        <v/>
      </c>
      <c r="J113" s="18" t="str" cm="1">
        <f t="array" aca="1" ref="J113" ca="1">IF(I113="","",IF(I113&lt;&gt;I112,1,IF(J112=misLíneas-2,0,J112+1)))</f>
        <v/>
      </c>
      <c r="K113" s="18" t="str" cm="1">
        <f t="array" aca="1" ref="K113" ca="1">IF(OR(J113=0,J113=""),"",INDEX(misCriticidades,I113)&amp;"-"&amp;IFERROR(MATCH(J113,miOrdenTarjeta,0),0))</f>
        <v/>
      </c>
      <c r="M113" s="18">
        <f t="shared" ca="1" si="37"/>
        <v>1</v>
      </c>
      <c r="N113" s="18" t="str">
        <f t="shared" ca="1" si="48"/>
        <v/>
      </c>
      <c r="O113" s="18" t="str" cm="1">
        <f t="array" aca="1" ref="O113" ca="1">IF(N113="","",IF(N113&lt;&gt;N112,1,IF(O112=misLíneas-2,0,O112+1)))</f>
        <v/>
      </c>
      <c r="P113" s="18" t="str" cm="1">
        <f t="array" aca="1" ref="P113" ca="1">IF(OR(O113=0,O113=""),"",INDEX(misCriticidades,N113)&amp;"-"&amp;IFERROR(MATCH(O113,miOrdenTarjeta,0),0))</f>
        <v/>
      </c>
      <c r="R113" s="18">
        <f t="shared" ca="1" si="38"/>
        <v>13</v>
      </c>
      <c r="S113" s="18">
        <f t="shared" ca="1" si="49"/>
        <v>18</v>
      </c>
      <c r="T113" s="18" cm="1">
        <f t="array" aca="1" ref="T113" ca="1">IF(S113="","",IF(S113&lt;&gt;S112,1,IF(T112=misLíneas-2,0,T112+1)))</f>
        <v>3</v>
      </c>
      <c r="U113" s="18" t="str" cm="1">
        <f t="array" aca="1" ref="U113" ca="1">IF(OR(T113=0,T113=""),"",INDEX(misCriticidades,S113)&amp;"-"&amp;IFERROR(MATCH(T113,miOrdenTarjeta,0),0))</f>
        <v>2-3</v>
      </c>
      <c r="W113" s="18">
        <f t="shared" ca="1" si="39"/>
        <v>1</v>
      </c>
      <c r="X113" s="18" t="str">
        <f t="shared" ca="1" si="50"/>
        <v/>
      </c>
      <c r="Y113" s="18" t="str" cm="1">
        <f t="array" aca="1" ref="Y113" ca="1">IF(X113="","",IF(X113&lt;&gt;X112,1,IF(Y112=misLíneas-2,0,Y112+1)))</f>
        <v/>
      </c>
      <c r="Z113" s="18" t="str" cm="1">
        <f t="array" aca="1" ref="Z113" ca="1">IF(OR(Y113=0,Y113=""),"",INDEX(misCriticidades,X113)&amp;"-"&amp;IFERROR(MATCH(Y113,miOrdenTarjeta,0),0))</f>
        <v/>
      </c>
      <c r="AB113" s="18">
        <f t="shared" ca="1" si="40"/>
        <v>1</v>
      </c>
      <c r="AC113" s="18" t="str">
        <f t="shared" ca="1" si="31"/>
        <v/>
      </c>
      <c r="AD113" s="18" t="str" cm="1">
        <f t="array" aca="1" ref="AD113" ca="1">IF(AC113="","",IF(AC113&lt;&gt;AC112,1,IF(AD112=misLíneas-2,0,AD112+1)))</f>
        <v/>
      </c>
      <c r="AE113" s="18" t="str" cm="1">
        <f t="array" aca="1" ref="AE113" ca="1">IF(OR(AD113=0,AD113=""),"",INDEX(misCriticidades,AC113)&amp;"-"&amp;IFERROR(MATCH(AD113,miOrdenTarjeta,0),0))</f>
        <v/>
      </c>
      <c r="AG113" s="18">
        <f t="shared" ca="1" si="41"/>
        <v>1</v>
      </c>
      <c r="AH113" s="18" t="str">
        <f t="shared" ca="1" si="32"/>
        <v/>
      </c>
      <c r="AI113" s="18" t="str" cm="1">
        <f t="array" aca="1" ref="AI113" ca="1">IF(AH113="","",IF(AH113&lt;&gt;AH112,1,IF(AI112=misLíneas-2,0,AI112+1)))</f>
        <v/>
      </c>
      <c r="AJ113" s="18" t="str" cm="1">
        <f t="array" aca="1" ref="AJ113" ca="1">IF(OR(AI113=0,AI113=""),"",INDEX(misCriticidades,AH113)&amp;"-"&amp;IFERROR(MATCH(AI113,miOrdenTarjeta,0),0))</f>
        <v/>
      </c>
      <c r="AL113" s="18">
        <f t="shared" ca="1" si="42"/>
        <v>1</v>
      </c>
      <c r="AM113" s="18" t="str">
        <f t="shared" ca="1" si="33"/>
        <v/>
      </c>
      <c r="AN113" s="18" t="str" cm="1">
        <f t="array" aca="1" ref="AN113" ca="1">IF(AM113="","",IF(AM113&lt;&gt;AM112,1,IF(AN112=misLíneas-2,0,AN112+1)))</f>
        <v/>
      </c>
      <c r="AO113" s="18" t="str" cm="1">
        <f t="array" aca="1" ref="AO113" ca="1">IF(OR(AN113=0,AN113=""),"",INDEX(misCriticidades,AM113)&amp;"-"&amp;IFERROR(MATCH(AN113,miOrdenTarjeta,0),0))</f>
        <v/>
      </c>
      <c r="AQ113" s="18">
        <f t="shared" ca="1" si="43"/>
        <v>1</v>
      </c>
      <c r="AR113" s="18" t="str">
        <f t="shared" ca="1" si="34"/>
        <v/>
      </c>
      <c r="AS113" s="18" t="str" cm="1">
        <f t="array" aca="1" ref="AS113" ca="1">IF(AR113="","",IF(AR113&lt;&gt;AR112,1,IF(AS112=misLíneas-2,0,AS112+1)))</f>
        <v/>
      </c>
      <c r="AT113" s="18" t="str" cm="1">
        <f t="array" aca="1" ref="AT113" ca="1">IF(OR(AS113=0,AS113=""),"",INDEX(misCriticidades,AR113)&amp;"-"&amp;IFERROR(MATCH(AS113,miOrdenTarjeta,0),0))</f>
        <v/>
      </c>
      <c r="AV113" s="18">
        <f t="shared" ca="1" si="44"/>
        <v>1</v>
      </c>
      <c r="AW113" s="18" t="str">
        <f t="shared" ca="1" si="35"/>
        <v/>
      </c>
      <c r="AX113" s="18" t="str" cm="1">
        <f t="array" aca="1" ref="AX113" ca="1">IF(AW113="","",IF(AW113&lt;&gt;AW112,1,IF(AX112=misLíneas-2,0,AX112+1)))</f>
        <v/>
      </c>
      <c r="AY113" s="18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18">
        <f t="shared" ca="1" si="45"/>
        <v>1</v>
      </c>
      <c r="D114" s="18" t="str">
        <f t="shared" ca="1" si="46"/>
        <v/>
      </c>
      <c r="E114" s="18" t="str" cm="1">
        <f t="array" aca="1" ref="E114" ca="1">IF(D114="","",IF(D114&lt;&gt;D113,1,IF(E113=misLíneas-2,0,E113+1)))</f>
        <v/>
      </c>
      <c r="F114" s="18" t="str" cm="1">
        <f t="array" aca="1" ref="F114" ca="1">IF(OR(E114=0,E114=""),"",INDEX(misCriticidades,D114)&amp;"-"&amp;IFERROR(MATCH(E114,miOrdenTarjeta,0),0))</f>
        <v/>
      </c>
      <c r="H114" s="18">
        <f t="shared" ca="1" si="36"/>
        <v>1</v>
      </c>
      <c r="I114" s="18" t="str">
        <f t="shared" ca="1" si="47"/>
        <v/>
      </c>
      <c r="J114" s="18" t="str" cm="1">
        <f t="array" aca="1" ref="J114" ca="1">IF(I114="","",IF(I114&lt;&gt;I113,1,IF(J113=misLíneas-2,0,J113+1)))</f>
        <v/>
      </c>
      <c r="K114" s="18" t="str" cm="1">
        <f t="array" aca="1" ref="K114" ca="1">IF(OR(J114=0,J114=""),"",INDEX(misCriticidades,I114)&amp;"-"&amp;IFERROR(MATCH(J114,miOrdenTarjeta,0),0))</f>
        <v/>
      </c>
      <c r="M114" s="18">
        <f t="shared" ca="1" si="37"/>
        <v>1</v>
      </c>
      <c r="N114" s="18" t="str">
        <f t="shared" ca="1" si="48"/>
        <v/>
      </c>
      <c r="O114" s="18" t="str" cm="1">
        <f t="array" aca="1" ref="O114" ca="1">IF(N114="","",IF(N114&lt;&gt;N113,1,IF(O113=misLíneas-2,0,O113+1)))</f>
        <v/>
      </c>
      <c r="P114" s="18" t="str" cm="1">
        <f t="array" aca="1" ref="P114" ca="1">IF(OR(O114=0,O114=""),"",INDEX(misCriticidades,N114)&amp;"-"&amp;IFERROR(MATCH(O114,miOrdenTarjeta,0),0))</f>
        <v/>
      </c>
      <c r="R114" s="18">
        <f t="shared" ca="1" si="38"/>
        <v>13</v>
      </c>
      <c r="S114" s="18">
        <f t="shared" ca="1" si="49"/>
        <v>18</v>
      </c>
      <c r="T114" s="18" cm="1">
        <f t="array" aca="1" ref="T114" ca="1">IF(S114="","",IF(S114&lt;&gt;S113,1,IF(T113=misLíneas-2,0,T113+1)))</f>
        <v>4</v>
      </c>
      <c r="U114" s="18" t="str" cm="1">
        <f t="array" aca="1" ref="U114" ca="1">IF(OR(T114=0,T114=""),"",INDEX(misCriticidades,S114)&amp;"-"&amp;IFERROR(MATCH(T114,miOrdenTarjeta,0),0))</f>
        <v>2-4</v>
      </c>
      <c r="W114" s="18">
        <f t="shared" ca="1" si="39"/>
        <v>1</v>
      </c>
      <c r="X114" s="18" t="str">
        <f t="shared" ca="1" si="50"/>
        <v/>
      </c>
      <c r="Y114" s="18" t="str" cm="1">
        <f t="array" aca="1" ref="Y114" ca="1">IF(X114="","",IF(X114&lt;&gt;X113,1,IF(Y113=misLíneas-2,0,Y113+1)))</f>
        <v/>
      </c>
      <c r="Z114" s="18" t="str" cm="1">
        <f t="array" aca="1" ref="Z114" ca="1">IF(OR(Y114=0,Y114=""),"",INDEX(misCriticidades,X114)&amp;"-"&amp;IFERROR(MATCH(Y114,miOrdenTarjeta,0),0))</f>
        <v/>
      </c>
      <c r="AB114" s="18">
        <f t="shared" ca="1" si="40"/>
        <v>1</v>
      </c>
      <c r="AC114" s="18" t="str">
        <f t="shared" ca="1" si="31"/>
        <v/>
      </c>
      <c r="AD114" s="18" t="str" cm="1">
        <f t="array" aca="1" ref="AD114" ca="1">IF(AC114="","",IF(AC114&lt;&gt;AC113,1,IF(AD113=misLíneas-2,0,AD113+1)))</f>
        <v/>
      </c>
      <c r="AE114" s="18" t="str" cm="1">
        <f t="array" aca="1" ref="AE114" ca="1">IF(OR(AD114=0,AD114=""),"",INDEX(misCriticidades,AC114)&amp;"-"&amp;IFERROR(MATCH(AD114,miOrdenTarjeta,0),0))</f>
        <v/>
      </c>
      <c r="AG114" s="18">
        <f t="shared" ca="1" si="41"/>
        <v>1</v>
      </c>
      <c r="AH114" s="18" t="str">
        <f t="shared" ca="1" si="32"/>
        <v/>
      </c>
      <c r="AI114" s="18" t="str" cm="1">
        <f t="array" aca="1" ref="AI114" ca="1">IF(AH114="","",IF(AH114&lt;&gt;AH113,1,IF(AI113=misLíneas-2,0,AI113+1)))</f>
        <v/>
      </c>
      <c r="AJ114" s="18" t="str" cm="1">
        <f t="array" aca="1" ref="AJ114" ca="1">IF(OR(AI114=0,AI114=""),"",INDEX(misCriticidades,AH114)&amp;"-"&amp;IFERROR(MATCH(AI114,miOrdenTarjeta,0),0))</f>
        <v/>
      </c>
      <c r="AL114" s="18">
        <f t="shared" ca="1" si="42"/>
        <v>1</v>
      </c>
      <c r="AM114" s="18" t="str">
        <f t="shared" ca="1" si="33"/>
        <v/>
      </c>
      <c r="AN114" s="18" t="str" cm="1">
        <f t="array" aca="1" ref="AN114" ca="1">IF(AM114="","",IF(AM114&lt;&gt;AM113,1,IF(AN113=misLíneas-2,0,AN113+1)))</f>
        <v/>
      </c>
      <c r="AO114" s="18" t="str" cm="1">
        <f t="array" aca="1" ref="AO114" ca="1">IF(OR(AN114=0,AN114=""),"",INDEX(misCriticidades,AM114)&amp;"-"&amp;IFERROR(MATCH(AN114,miOrdenTarjeta,0),0))</f>
        <v/>
      </c>
      <c r="AQ114" s="18">
        <f t="shared" ca="1" si="43"/>
        <v>1</v>
      </c>
      <c r="AR114" s="18" t="str">
        <f t="shared" ca="1" si="34"/>
        <v/>
      </c>
      <c r="AS114" s="18" t="str" cm="1">
        <f t="array" aca="1" ref="AS114" ca="1">IF(AR114="","",IF(AR114&lt;&gt;AR113,1,IF(AS113=misLíneas-2,0,AS113+1)))</f>
        <v/>
      </c>
      <c r="AT114" s="18" t="str" cm="1">
        <f t="array" aca="1" ref="AT114" ca="1">IF(OR(AS114=0,AS114=""),"",INDEX(misCriticidades,AR114)&amp;"-"&amp;IFERROR(MATCH(AS114,miOrdenTarjeta,0),0))</f>
        <v/>
      </c>
      <c r="AV114" s="18">
        <f t="shared" ca="1" si="44"/>
        <v>1</v>
      </c>
      <c r="AW114" s="18" t="str">
        <f t="shared" ca="1" si="35"/>
        <v/>
      </c>
      <c r="AX114" s="18" t="str" cm="1">
        <f t="array" aca="1" ref="AX114" ca="1">IF(AW114="","",IF(AW114&lt;&gt;AW113,1,IF(AX113=misLíneas-2,0,AX113+1)))</f>
        <v/>
      </c>
      <c r="AY114" s="18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18">
        <f t="shared" ca="1" si="45"/>
        <v>1</v>
      </c>
      <c r="D115" s="18" t="str">
        <f t="shared" ca="1" si="46"/>
        <v/>
      </c>
      <c r="E115" s="18" t="str" cm="1">
        <f t="array" aca="1" ref="E115" ca="1">IF(D115="","",IF(D115&lt;&gt;D114,1,IF(E114=misLíneas-2,0,E114+1)))</f>
        <v/>
      </c>
      <c r="F115" s="18" t="str" cm="1">
        <f t="array" aca="1" ref="F115" ca="1">IF(OR(E115=0,E115=""),"",INDEX(misCriticidades,D115)&amp;"-"&amp;IFERROR(MATCH(E115,miOrdenTarjeta,0),0))</f>
        <v/>
      </c>
      <c r="H115" s="18">
        <f t="shared" ca="1" si="36"/>
        <v>1</v>
      </c>
      <c r="I115" s="18" t="str">
        <f t="shared" ca="1" si="47"/>
        <v/>
      </c>
      <c r="J115" s="18" t="str" cm="1">
        <f t="array" aca="1" ref="J115" ca="1">IF(I115="","",IF(I115&lt;&gt;I114,1,IF(J114=misLíneas-2,0,J114+1)))</f>
        <v/>
      </c>
      <c r="K115" s="18" t="str" cm="1">
        <f t="array" aca="1" ref="K115" ca="1">IF(OR(J115=0,J115=""),"",INDEX(misCriticidades,I115)&amp;"-"&amp;IFERROR(MATCH(J115,miOrdenTarjeta,0),0))</f>
        <v/>
      </c>
      <c r="M115" s="18">
        <f t="shared" ca="1" si="37"/>
        <v>1</v>
      </c>
      <c r="N115" s="18" t="str">
        <f t="shared" ca="1" si="48"/>
        <v/>
      </c>
      <c r="O115" s="18" t="str" cm="1">
        <f t="array" aca="1" ref="O115" ca="1">IF(N115="","",IF(N115&lt;&gt;N114,1,IF(O114=misLíneas-2,0,O114+1)))</f>
        <v/>
      </c>
      <c r="P115" s="18" t="str" cm="1">
        <f t="array" aca="1" ref="P115" ca="1">IF(OR(O115=0,O115=""),"",INDEX(misCriticidades,N115)&amp;"-"&amp;IFERROR(MATCH(O115,miOrdenTarjeta,0),0))</f>
        <v/>
      </c>
      <c r="R115" s="18">
        <f t="shared" ca="1" si="38"/>
        <v>13</v>
      </c>
      <c r="S115" s="18">
        <f t="shared" ca="1" si="49"/>
        <v>18</v>
      </c>
      <c r="T115" s="18" cm="1">
        <f t="array" aca="1" ref="T115" ca="1">IF(S115="","",IF(S115&lt;&gt;S114,1,IF(T114=misLíneas-2,0,T114+1)))</f>
        <v>5</v>
      </c>
      <c r="U115" s="18" t="str" cm="1">
        <f t="array" aca="1" ref="U115" ca="1">IF(OR(T115=0,T115=""),"",INDEX(misCriticidades,S115)&amp;"-"&amp;IFERROR(MATCH(T115,miOrdenTarjeta,0),0))</f>
        <v>2-5</v>
      </c>
      <c r="W115" s="18">
        <f t="shared" ca="1" si="39"/>
        <v>1</v>
      </c>
      <c r="X115" s="18" t="str">
        <f t="shared" ca="1" si="50"/>
        <v/>
      </c>
      <c r="Y115" s="18" t="str" cm="1">
        <f t="array" aca="1" ref="Y115" ca="1">IF(X115="","",IF(X115&lt;&gt;X114,1,IF(Y114=misLíneas-2,0,Y114+1)))</f>
        <v/>
      </c>
      <c r="Z115" s="18" t="str" cm="1">
        <f t="array" aca="1" ref="Z115" ca="1">IF(OR(Y115=0,Y115=""),"",INDEX(misCriticidades,X115)&amp;"-"&amp;IFERROR(MATCH(Y115,miOrdenTarjeta,0),0))</f>
        <v/>
      </c>
      <c r="AB115" s="18">
        <f t="shared" ca="1" si="40"/>
        <v>1</v>
      </c>
      <c r="AC115" s="18" t="str">
        <f t="shared" ca="1" si="31"/>
        <v/>
      </c>
      <c r="AD115" s="18" t="str" cm="1">
        <f t="array" aca="1" ref="AD115" ca="1">IF(AC115="","",IF(AC115&lt;&gt;AC114,1,IF(AD114=misLíneas-2,0,AD114+1)))</f>
        <v/>
      </c>
      <c r="AE115" s="18" t="str" cm="1">
        <f t="array" aca="1" ref="AE115" ca="1">IF(OR(AD115=0,AD115=""),"",INDEX(misCriticidades,AC115)&amp;"-"&amp;IFERROR(MATCH(AD115,miOrdenTarjeta,0),0))</f>
        <v/>
      </c>
      <c r="AG115" s="18">
        <f t="shared" ca="1" si="41"/>
        <v>1</v>
      </c>
      <c r="AH115" s="18" t="str">
        <f t="shared" ca="1" si="32"/>
        <v/>
      </c>
      <c r="AI115" s="18" t="str" cm="1">
        <f t="array" aca="1" ref="AI115" ca="1">IF(AH115="","",IF(AH115&lt;&gt;AH114,1,IF(AI114=misLíneas-2,0,AI114+1)))</f>
        <v/>
      </c>
      <c r="AJ115" s="18" t="str" cm="1">
        <f t="array" aca="1" ref="AJ115" ca="1">IF(OR(AI115=0,AI115=""),"",INDEX(misCriticidades,AH115)&amp;"-"&amp;IFERROR(MATCH(AI115,miOrdenTarjeta,0),0))</f>
        <v/>
      </c>
      <c r="AL115" s="18">
        <f t="shared" ca="1" si="42"/>
        <v>1</v>
      </c>
      <c r="AM115" s="18" t="str">
        <f t="shared" ca="1" si="33"/>
        <v/>
      </c>
      <c r="AN115" s="18" t="str" cm="1">
        <f t="array" aca="1" ref="AN115" ca="1">IF(AM115="","",IF(AM115&lt;&gt;AM114,1,IF(AN114=misLíneas-2,0,AN114+1)))</f>
        <v/>
      </c>
      <c r="AO115" s="18" t="str" cm="1">
        <f t="array" aca="1" ref="AO115" ca="1">IF(OR(AN115=0,AN115=""),"",INDEX(misCriticidades,AM115)&amp;"-"&amp;IFERROR(MATCH(AN115,miOrdenTarjeta,0),0))</f>
        <v/>
      </c>
      <c r="AQ115" s="18">
        <f t="shared" ca="1" si="43"/>
        <v>1</v>
      </c>
      <c r="AR115" s="18" t="str">
        <f t="shared" ca="1" si="34"/>
        <v/>
      </c>
      <c r="AS115" s="18" t="str" cm="1">
        <f t="array" aca="1" ref="AS115" ca="1">IF(AR115="","",IF(AR115&lt;&gt;AR114,1,IF(AS114=misLíneas-2,0,AS114+1)))</f>
        <v/>
      </c>
      <c r="AT115" s="18" t="str" cm="1">
        <f t="array" aca="1" ref="AT115" ca="1">IF(OR(AS115=0,AS115=""),"",INDEX(misCriticidades,AR115)&amp;"-"&amp;IFERROR(MATCH(AS115,miOrdenTarjeta,0),0))</f>
        <v/>
      </c>
      <c r="AV115" s="18">
        <f t="shared" ca="1" si="44"/>
        <v>1</v>
      </c>
      <c r="AW115" s="18" t="str">
        <f t="shared" ca="1" si="35"/>
        <v/>
      </c>
      <c r="AX115" s="18" t="str" cm="1">
        <f t="array" aca="1" ref="AX115" ca="1">IF(AW115="","",IF(AW115&lt;&gt;AW114,1,IF(AX114=misLíneas-2,0,AX114+1)))</f>
        <v/>
      </c>
      <c r="AY115" s="18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18">
        <f t="shared" ca="1" si="45"/>
        <v>1</v>
      </c>
      <c r="D116" s="18" t="str">
        <f t="shared" ca="1" si="46"/>
        <v/>
      </c>
      <c r="E116" s="18" t="str" cm="1">
        <f t="array" aca="1" ref="E116" ca="1">IF(D116="","",IF(D116&lt;&gt;D115,1,IF(E115=misLíneas-2,0,E115+1)))</f>
        <v/>
      </c>
      <c r="F116" s="18" t="str" cm="1">
        <f t="array" aca="1" ref="F116" ca="1">IF(OR(E116=0,E116=""),"",INDEX(misCriticidades,D116)&amp;"-"&amp;IFERROR(MATCH(E116,miOrdenTarjeta,0),0))</f>
        <v/>
      </c>
      <c r="H116" s="18">
        <f t="shared" ca="1" si="36"/>
        <v>1</v>
      </c>
      <c r="I116" s="18" t="str">
        <f t="shared" ca="1" si="47"/>
        <v/>
      </c>
      <c r="J116" s="18" t="str" cm="1">
        <f t="array" aca="1" ref="J116" ca="1">IF(I116="","",IF(I116&lt;&gt;I115,1,IF(J115=misLíneas-2,0,J115+1)))</f>
        <v/>
      </c>
      <c r="K116" s="18" t="str" cm="1">
        <f t="array" aca="1" ref="K116" ca="1">IF(OR(J116=0,J116=""),"",INDEX(misCriticidades,I116)&amp;"-"&amp;IFERROR(MATCH(J116,miOrdenTarjeta,0),0))</f>
        <v/>
      </c>
      <c r="M116" s="18">
        <f t="shared" ca="1" si="37"/>
        <v>1</v>
      </c>
      <c r="N116" s="18" t="str">
        <f t="shared" ca="1" si="48"/>
        <v/>
      </c>
      <c r="O116" s="18" t="str" cm="1">
        <f t="array" aca="1" ref="O116" ca="1">IF(N116="","",IF(N116&lt;&gt;N115,1,IF(O115=misLíneas-2,0,O115+1)))</f>
        <v/>
      </c>
      <c r="P116" s="18" t="str" cm="1">
        <f t="array" aca="1" ref="P116" ca="1">IF(OR(O116=0,O116=""),"",INDEX(misCriticidades,N116)&amp;"-"&amp;IFERROR(MATCH(O116,miOrdenTarjeta,0),0))</f>
        <v/>
      </c>
      <c r="R116" s="18">
        <f t="shared" ca="1" si="38"/>
        <v>13</v>
      </c>
      <c r="S116" s="18">
        <f t="shared" ca="1" si="49"/>
        <v>18</v>
      </c>
      <c r="T116" s="18" cm="1">
        <f t="array" aca="1" ref="T116" ca="1">IF(S116="","",IF(S116&lt;&gt;S115,1,IF(T115=misLíneas-2,0,T115+1)))</f>
        <v>6</v>
      </c>
      <c r="U116" s="18" t="str" cm="1">
        <f t="array" aca="1" ref="U116" ca="1">IF(OR(T116=0,T116=""),"",INDEX(misCriticidades,S116)&amp;"-"&amp;IFERROR(MATCH(T116,miOrdenTarjeta,0),0))</f>
        <v>2-6</v>
      </c>
      <c r="W116" s="18">
        <f t="shared" ca="1" si="39"/>
        <v>1</v>
      </c>
      <c r="X116" s="18" t="str">
        <f t="shared" ca="1" si="50"/>
        <v/>
      </c>
      <c r="Y116" s="18" t="str" cm="1">
        <f t="array" aca="1" ref="Y116" ca="1">IF(X116="","",IF(X116&lt;&gt;X115,1,IF(Y115=misLíneas-2,0,Y115+1)))</f>
        <v/>
      </c>
      <c r="Z116" s="18" t="str" cm="1">
        <f t="array" aca="1" ref="Z116" ca="1">IF(OR(Y116=0,Y116=""),"",INDEX(misCriticidades,X116)&amp;"-"&amp;IFERROR(MATCH(Y116,miOrdenTarjeta,0),0))</f>
        <v/>
      </c>
      <c r="AB116" s="18">
        <f t="shared" ca="1" si="40"/>
        <v>1</v>
      </c>
      <c r="AC116" s="18" t="str">
        <f t="shared" ca="1" si="31"/>
        <v/>
      </c>
      <c r="AD116" s="18" t="str" cm="1">
        <f t="array" aca="1" ref="AD116" ca="1">IF(AC116="","",IF(AC116&lt;&gt;AC115,1,IF(AD115=misLíneas-2,0,AD115+1)))</f>
        <v/>
      </c>
      <c r="AE116" s="18" t="str" cm="1">
        <f t="array" aca="1" ref="AE116" ca="1">IF(OR(AD116=0,AD116=""),"",INDEX(misCriticidades,AC116)&amp;"-"&amp;IFERROR(MATCH(AD116,miOrdenTarjeta,0),0))</f>
        <v/>
      </c>
      <c r="AG116" s="18">
        <f t="shared" ca="1" si="41"/>
        <v>1</v>
      </c>
      <c r="AH116" s="18" t="str">
        <f t="shared" ca="1" si="32"/>
        <v/>
      </c>
      <c r="AI116" s="18" t="str" cm="1">
        <f t="array" aca="1" ref="AI116" ca="1">IF(AH116="","",IF(AH116&lt;&gt;AH115,1,IF(AI115=misLíneas-2,0,AI115+1)))</f>
        <v/>
      </c>
      <c r="AJ116" s="18" t="str" cm="1">
        <f t="array" aca="1" ref="AJ116" ca="1">IF(OR(AI116=0,AI116=""),"",INDEX(misCriticidades,AH116)&amp;"-"&amp;IFERROR(MATCH(AI116,miOrdenTarjeta,0),0))</f>
        <v/>
      </c>
      <c r="AL116" s="18">
        <f t="shared" ca="1" si="42"/>
        <v>1</v>
      </c>
      <c r="AM116" s="18" t="str">
        <f t="shared" ca="1" si="33"/>
        <v/>
      </c>
      <c r="AN116" s="18" t="str" cm="1">
        <f t="array" aca="1" ref="AN116" ca="1">IF(AM116="","",IF(AM116&lt;&gt;AM115,1,IF(AN115=misLíneas-2,0,AN115+1)))</f>
        <v/>
      </c>
      <c r="AO116" s="18" t="str" cm="1">
        <f t="array" aca="1" ref="AO116" ca="1">IF(OR(AN116=0,AN116=""),"",INDEX(misCriticidades,AM116)&amp;"-"&amp;IFERROR(MATCH(AN116,miOrdenTarjeta,0),0))</f>
        <v/>
      </c>
      <c r="AQ116" s="18">
        <f t="shared" ca="1" si="43"/>
        <v>1</v>
      </c>
      <c r="AR116" s="18" t="str">
        <f t="shared" ca="1" si="34"/>
        <v/>
      </c>
      <c r="AS116" s="18" t="str" cm="1">
        <f t="array" aca="1" ref="AS116" ca="1">IF(AR116="","",IF(AR116&lt;&gt;AR115,1,IF(AS115=misLíneas-2,0,AS115+1)))</f>
        <v/>
      </c>
      <c r="AT116" s="18" t="str" cm="1">
        <f t="array" aca="1" ref="AT116" ca="1">IF(OR(AS116=0,AS116=""),"",INDEX(misCriticidades,AR116)&amp;"-"&amp;IFERROR(MATCH(AS116,miOrdenTarjeta,0),0))</f>
        <v/>
      </c>
      <c r="AV116" s="18">
        <f t="shared" ca="1" si="44"/>
        <v>1</v>
      </c>
      <c r="AW116" s="18" t="str">
        <f t="shared" ca="1" si="35"/>
        <v/>
      </c>
      <c r="AX116" s="18" t="str" cm="1">
        <f t="array" aca="1" ref="AX116" ca="1">IF(AW116="","",IF(AW116&lt;&gt;AW115,1,IF(AX115=misLíneas-2,0,AX115+1)))</f>
        <v/>
      </c>
      <c r="AY116" s="18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18">
        <f t="shared" ca="1" si="45"/>
        <v>1</v>
      </c>
      <c r="D117" s="18" t="str">
        <f t="shared" ca="1" si="46"/>
        <v/>
      </c>
      <c r="E117" s="18" t="str" cm="1">
        <f t="array" aca="1" ref="E117" ca="1">IF(D117="","",IF(D117&lt;&gt;D116,1,IF(E116=misLíneas-2,0,E116+1)))</f>
        <v/>
      </c>
      <c r="F117" s="18" t="str" cm="1">
        <f t="array" aca="1" ref="F117" ca="1">IF(OR(E117=0,E117=""),"",INDEX(misCriticidades,D117)&amp;"-"&amp;IFERROR(MATCH(E117,miOrdenTarjeta,0),0))</f>
        <v/>
      </c>
      <c r="H117" s="18">
        <f t="shared" ca="1" si="36"/>
        <v>1</v>
      </c>
      <c r="I117" s="18" t="str">
        <f t="shared" ca="1" si="47"/>
        <v/>
      </c>
      <c r="J117" s="18" t="str" cm="1">
        <f t="array" aca="1" ref="J117" ca="1">IF(I117="","",IF(I117&lt;&gt;I116,1,IF(J116=misLíneas-2,0,J116+1)))</f>
        <v/>
      </c>
      <c r="K117" s="18" t="str" cm="1">
        <f t="array" aca="1" ref="K117" ca="1">IF(OR(J117=0,J117=""),"",INDEX(misCriticidades,I117)&amp;"-"&amp;IFERROR(MATCH(J117,miOrdenTarjeta,0),0))</f>
        <v/>
      </c>
      <c r="M117" s="18">
        <f t="shared" ca="1" si="37"/>
        <v>1</v>
      </c>
      <c r="N117" s="18" t="str">
        <f t="shared" ca="1" si="48"/>
        <v/>
      </c>
      <c r="O117" s="18" t="str" cm="1">
        <f t="array" aca="1" ref="O117" ca="1">IF(N117="","",IF(N117&lt;&gt;N116,1,IF(O116=misLíneas-2,0,O116+1)))</f>
        <v/>
      </c>
      <c r="P117" s="18" t="str" cm="1">
        <f t="array" aca="1" ref="P117" ca="1">IF(OR(O117=0,O117=""),"",INDEX(misCriticidades,N117)&amp;"-"&amp;IFERROR(MATCH(O117,miOrdenTarjeta,0),0))</f>
        <v/>
      </c>
      <c r="R117" s="18">
        <f t="shared" ca="1" si="38"/>
        <v>13</v>
      </c>
      <c r="S117" s="18">
        <f t="shared" ca="1" si="49"/>
        <v>18</v>
      </c>
      <c r="T117" s="18" cm="1">
        <f t="array" aca="1" ref="T117" ca="1">IF(S117="","",IF(S117&lt;&gt;S116,1,IF(T116=misLíneas-2,0,T116+1)))</f>
        <v>7</v>
      </c>
      <c r="U117" s="18" t="str" cm="1">
        <f t="array" aca="1" ref="U117" ca="1">IF(OR(T117=0,T117=""),"",INDEX(misCriticidades,S117)&amp;"-"&amp;IFERROR(MATCH(T117,miOrdenTarjeta,0),0))</f>
        <v>2-7</v>
      </c>
      <c r="W117" s="18">
        <f t="shared" ca="1" si="39"/>
        <v>1</v>
      </c>
      <c r="X117" s="18" t="str">
        <f t="shared" ca="1" si="50"/>
        <v/>
      </c>
      <c r="Y117" s="18" t="str" cm="1">
        <f t="array" aca="1" ref="Y117" ca="1">IF(X117="","",IF(X117&lt;&gt;X116,1,IF(Y116=misLíneas-2,0,Y116+1)))</f>
        <v/>
      </c>
      <c r="Z117" s="18" t="str" cm="1">
        <f t="array" aca="1" ref="Z117" ca="1">IF(OR(Y117=0,Y117=""),"",INDEX(misCriticidades,X117)&amp;"-"&amp;IFERROR(MATCH(Y117,miOrdenTarjeta,0),0))</f>
        <v/>
      </c>
      <c r="AB117" s="18">
        <f t="shared" ca="1" si="40"/>
        <v>1</v>
      </c>
      <c r="AC117" s="18" t="str">
        <f t="shared" ca="1" si="31"/>
        <v/>
      </c>
      <c r="AD117" s="18" t="str" cm="1">
        <f t="array" aca="1" ref="AD117" ca="1">IF(AC117="","",IF(AC117&lt;&gt;AC116,1,IF(AD116=misLíneas-2,0,AD116+1)))</f>
        <v/>
      </c>
      <c r="AE117" s="18" t="str" cm="1">
        <f t="array" aca="1" ref="AE117" ca="1">IF(OR(AD117=0,AD117=""),"",INDEX(misCriticidades,AC117)&amp;"-"&amp;IFERROR(MATCH(AD117,miOrdenTarjeta,0),0))</f>
        <v/>
      </c>
      <c r="AG117" s="18">
        <f t="shared" ca="1" si="41"/>
        <v>1</v>
      </c>
      <c r="AH117" s="18" t="str">
        <f t="shared" ca="1" si="32"/>
        <v/>
      </c>
      <c r="AI117" s="18" t="str" cm="1">
        <f t="array" aca="1" ref="AI117" ca="1">IF(AH117="","",IF(AH117&lt;&gt;AH116,1,IF(AI116=misLíneas-2,0,AI116+1)))</f>
        <v/>
      </c>
      <c r="AJ117" s="18" t="str" cm="1">
        <f t="array" aca="1" ref="AJ117" ca="1">IF(OR(AI117=0,AI117=""),"",INDEX(misCriticidades,AH117)&amp;"-"&amp;IFERROR(MATCH(AI117,miOrdenTarjeta,0),0))</f>
        <v/>
      </c>
      <c r="AL117" s="18">
        <f t="shared" ca="1" si="42"/>
        <v>1</v>
      </c>
      <c r="AM117" s="18" t="str">
        <f t="shared" ca="1" si="33"/>
        <v/>
      </c>
      <c r="AN117" s="18" t="str" cm="1">
        <f t="array" aca="1" ref="AN117" ca="1">IF(AM117="","",IF(AM117&lt;&gt;AM116,1,IF(AN116=misLíneas-2,0,AN116+1)))</f>
        <v/>
      </c>
      <c r="AO117" s="18" t="str" cm="1">
        <f t="array" aca="1" ref="AO117" ca="1">IF(OR(AN117=0,AN117=""),"",INDEX(misCriticidades,AM117)&amp;"-"&amp;IFERROR(MATCH(AN117,miOrdenTarjeta,0),0))</f>
        <v/>
      </c>
      <c r="AQ117" s="18">
        <f t="shared" ca="1" si="43"/>
        <v>1</v>
      </c>
      <c r="AR117" s="18" t="str">
        <f t="shared" ca="1" si="34"/>
        <v/>
      </c>
      <c r="AS117" s="18" t="str" cm="1">
        <f t="array" aca="1" ref="AS117" ca="1">IF(AR117="","",IF(AR117&lt;&gt;AR116,1,IF(AS116=misLíneas-2,0,AS116+1)))</f>
        <v/>
      </c>
      <c r="AT117" s="18" t="str" cm="1">
        <f t="array" aca="1" ref="AT117" ca="1">IF(OR(AS117=0,AS117=""),"",INDEX(misCriticidades,AR117)&amp;"-"&amp;IFERROR(MATCH(AS117,miOrdenTarjeta,0),0))</f>
        <v/>
      </c>
      <c r="AV117" s="18">
        <f t="shared" ca="1" si="44"/>
        <v>1</v>
      </c>
      <c r="AW117" s="18" t="str">
        <f t="shared" ca="1" si="35"/>
        <v/>
      </c>
      <c r="AX117" s="18" t="str" cm="1">
        <f t="array" aca="1" ref="AX117" ca="1">IF(AW117="","",IF(AW117&lt;&gt;AW116,1,IF(AX116=misLíneas-2,0,AX116+1)))</f>
        <v/>
      </c>
      <c r="AY117" s="18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18">
        <f t="shared" ca="1" si="45"/>
        <v>1</v>
      </c>
      <c r="D118" s="18" t="str">
        <f t="shared" ca="1" si="46"/>
        <v/>
      </c>
      <c r="E118" s="18" t="str" cm="1">
        <f t="array" aca="1" ref="E118" ca="1">IF(D118="","",IF(D118&lt;&gt;D117,1,IF(E117=misLíneas-2,0,E117+1)))</f>
        <v/>
      </c>
      <c r="F118" s="18" t="str" cm="1">
        <f t="array" aca="1" ref="F118" ca="1">IF(OR(E118=0,E118=""),"",INDEX(misCriticidades,D118)&amp;"-"&amp;IFERROR(MATCH(E118,miOrdenTarjeta,0),0))</f>
        <v/>
      </c>
      <c r="H118" s="18">
        <f t="shared" ca="1" si="36"/>
        <v>1</v>
      </c>
      <c r="I118" s="18" t="str">
        <f t="shared" ca="1" si="47"/>
        <v/>
      </c>
      <c r="J118" s="18" t="str" cm="1">
        <f t="array" aca="1" ref="J118" ca="1">IF(I118="","",IF(I118&lt;&gt;I117,1,IF(J117=misLíneas-2,0,J117+1)))</f>
        <v/>
      </c>
      <c r="K118" s="18" t="str" cm="1">
        <f t="array" aca="1" ref="K118" ca="1">IF(OR(J118=0,J118=""),"",INDEX(misCriticidades,I118)&amp;"-"&amp;IFERROR(MATCH(J118,miOrdenTarjeta,0),0))</f>
        <v/>
      </c>
      <c r="M118" s="18">
        <f t="shared" ca="1" si="37"/>
        <v>1</v>
      </c>
      <c r="N118" s="18" t="str">
        <f t="shared" ca="1" si="48"/>
        <v/>
      </c>
      <c r="O118" s="18" t="str" cm="1">
        <f t="array" aca="1" ref="O118" ca="1">IF(N118="","",IF(N118&lt;&gt;N117,1,IF(O117=misLíneas-2,0,O117+1)))</f>
        <v/>
      </c>
      <c r="P118" s="18" t="str" cm="1">
        <f t="array" aca="1" ref="P118" ca="1">IF(OR(O118=0,O118=""),"",INDEX(misCriticidades,N118)&amp;"-"&amp;IFERROR(MATCH(O118,miOrdenTarjeta,0),0))</f>
        <v/>
      </c>
      <c r="R118" s="18">
        <f t="shared" ca="1" si="38"/>
        <v>13</v>
      </c>
      <c r="S118" s="18">
        <f t="shared" ca="1" si="49"/>
        <v>18</v>
      </c>
      <c r="T118" s="18" cm="1">
        <f t="array" aca="1" ref="T118" ca="1">IF(S118="","",IF(S118&lt;&gt;S117,1,IF(T117=misLíneas-2,0,T117+1)))</f>
        <v>8</v>
      </c>
      <c r="U118" s="18" t="str" cm="1">
        <f t="array" aca="1" ref="U118" ca="1">IF(OR(T118=0,T118=""),"",INDEX(misCriticidades,S118)&amp;"-"&amp;IFERROR(MATCH(T118,miOrdenTarjeta,0),0))</f>
        <v>2-8</v>
      </c>
      <c r="W118" s="18">
        <f t="shared" ca="1" si="39"/>
        <v>1</v>
      </c>
      <c r="X118" s="18" t="str">
        <f t="shared" ca="1" si="50"/>
        <v/>
      </c>
      <c r="Y118" s="18" t="str" cm="1">
        <f t="array" aca="1" ref="Y118" ca="1">IF(X118="","",IF(X118&lt;&gt;X117,1,IF(Y117=misLíneas-2,0,Y117+1)))</f>
        <v/>
      </c>
      <c r="Z118" s="18" t="str" cm="1">
        <f t="array" aca="1" ref="Z118" ca="1">IF(OR(Y118=0,Y118=""),"",INDEX(misCriticidades,X118)&amp;"-"&amp;IFERROR(MATCH(Y118,miOrdenTarjeta,0),0))</f>
        <v/>
      </c>
      <c r="AB118" s="18">
        <f t="shared" ca="1" si="40"/>
        <v>1</v>
      </c>
      <c r="AC118" s="18" t="str">
        <f t="shared" ca="1" si="31"/>
        <v/>
      </c>
      <c r="AD118" s="18" t="str" cm="1">
        <f t="array" aca="1" ref="AD118" ca="1">IF(AC118="","",IF(AC118&lt;&gt;AC117,1,IF(AD117=misLíneas-2,0,AD117+1)))</f>
        <v/>
      </c>
      <c r="AE118" s="18" t="str" cm="1">
        <f t="array" aca="1" ref="AE118" ca="1">IF(OR(AD118=0,AD118=""),"",INDEX(misCriticidades,AC118)&amp;"-"&amp;IFERROR(MATCH(AD118,miOrdenTarjeta,0),0))</f>
        <v/>
      </c>
      <c r="AG118" s="18">
        <f t="shared" ca="1" si="41"/>
        <v>1</v>
      </c>
      <c r="AH118" s="18" t="str">
        <f t="shared" ca="1" si="32"/>
        <v/>
      </c>
      <c r="AI118" s="18" t="str" cm="1">
        <f t="array" aca="1" ref="AI118" ca="1">IF(AH118="","",IF(AH118&lt;&gt;AH117,1,IF(AI117=misLíneas-2,0,AI117+1)))</f>
        <v/>
      </c>
      <c r="AJ118" s="18" t="str" cm="1">
        <f t="array" aca="1" ref="AJ118" ca="1">IF(OR(AI118=0,AI118=""),"",INDEX(misCriticidades,AH118)&amp;"-"&amp;IFERROR(MATCH(AI118,miOrdenTarjeta,0),0))</f>
        <v/>
      </c>
      <c r="AL118" s="18">
        <f t="shared" ca="1" si="42"/>
        <v>1</v>
      </c>
      <c r="AM118" s="18" t="str">
        <f t="shared" ca="1" si="33"/>
        <v/>
      </c>
      <c r="AN118" s="18" t="str" cm="1">
        <f t="array" aca="1" ref="AN118" ca="1">IF(AM118="","",IF(AM118&lt;&gt;AM117,1,IF(AN117=misLíneas-2,0,AN117+1)))</f>
        <v/>
      </c>
      <c r="AO118" s="18" t="str" cm="1">
        <f t="array" aca="1" ref="AO118" ca="1">IF(OR(AN118=0,AN118=""),"",INDEX(misCriticidades,AM118)&amp;"-"&amp;IFERROR(MATCH(AN118,miOrdenTarjeta,0),0))</f>
        <v/>
      </c>
      <c r="AQ118" s="18">
        <f t="shared" ca="1" si="43"/>
        <v>1</v>
      </c>
      <c r="AR118" s="18" t="str">
        <f t="shared" ca="1" si="34"/>
        <v/>
      </c>
      <c r="AS118" s="18" t="str" cm="1">
        <f t="array" aca="1" ref="AS118" ca="1">IF(AR118="","",IF(AR118&lt;&gt;AR117,1,IF(AS117=misLíneas-2,0,AS117+1)))</f>
        <v/>
      </c>
      <c r="AT118" s="18" t="str" cm="1">
        <f t="array" aca="1" ref="AT118" ca="1">IF(OR(AS118=0,AS118=""),"",INDEX(misCriticidades,AR118)&amp;"-"&amp;IFERROR(MATCH(AS118,miOrdenTarjeta,0),0))</f>
        <v/>
      </c>
      <c r="AV118" s="18">
        <f t="shared" ca="1" si="44"/>
        <v>1</v>
      </c>
      <c r="AW118" s="18" t="str">
        <f t="shared" ca="1" si="35"/>
        <v/>
      </c>
      <c r="AX118" s="18" t="str" cm="1">
        <f t="array" aca="1" ref="AX118" ca="1">IF(AW118="","",IF(AW118&lt;&gt;AW117,1,IF(AX117=misLíneas-2,0,AX117+1)))</f>
        <v/>
      </c>
      <c r="AY118" s="18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18">
        <f t="shared" ca="1" si="45"/>
        <v>1</v>
      </c>
      <c r="D119" s="18" t="str">
        <f t="shared" ca="1" si="46"/>
        <v/>
      </c>
      <c r="E119" s="18" t="str" cm="1">
        <f t="array" aca="1" ref="E119" ca="1">IF(D119="","",IF(D119&lt;&gt;D118,1,IF(E118=misLíneas-2,0,E118+1)))</f>
        <v/>
      </c>
      <c r="F119" s="18" t="str" cm="1">
        <f t="array" aca="1" ref="F119" ca="1">IF(OR(E119=0,E119=""),"",INDEX(misCriticidades,D119)&amp;"-"&amp;IFERROR(MATCH(E119,miOrdenTarjeta,0),0))</f>
        <v/>
      </c>
      <c r="H119" s="18">
        <f t="shared" ca="1" si="36"/>
        <v>1</v>
      </c>
      <c r="I119" s="18" t="str">
        <f t="shared" ca="1" si="47"/>
        <v/>
      </c>
      <c r="J119" s="18" t="str" cm="1">
        <f t="array" aca="1" ref="J119" ca="1">IF(I119="","",IF(I119&lt;&gt;I118,1,IF(J118=misLíneas-2,0,J118+1)))</f>
        <v/>
      </c>
      <c r="K119" s="18" t="str" cm="1">
        <f t="array" aca="1" ref="K119" ca="1">IF(OR(J119=0,J119=""),"",INDEX(misCriticidades,I119)&amp;"-"&amp;IFERROR(MATCH(J119,miOrdenTarjeta,0),0))</f>
        <v/>
      </c>
      <c r="M119" s="18">
        <f t="shared" ca="1" si="37"/>
        <v>1</v>
      </c>
      <c r="N119" s="18" t="str">
        <f t="shared" ca="1" si="48"/>
        <v/>
      </c>
      <c r="O119" s="18" t="str" cm="1">
        <f t="array" aca="1" ref="O119" ca="1">IF(N119="","",IF(N119&lt;&gt;N118,1,IF(O118=misLíneas-2,0,O118+1)))</f>
        <v/>
      </c>
      <c r="P119" s="18" t="str" cm="1">
        <f t="array" aca="1" ref="P119" ca="1">IF(OR(O119=0,O119=""),"",INDEX(misCriticidades,N119)&amp;"-"&amp;IFERROR(MATCH(O119,miOrdenTarjeta,0),0))</f>
        <v/>
      </c>
      <c r="R119" s="18">
        <f t="shared" ca="1" si="38"/>
        <v>13</v>
      </c>
      <c r="S119" s="18">
        <f t="shared" ca="1" si="49"/>
        <v>18</v>
      </c>
      <c r="T119" s="18" cm="1">
        <f t="array" aca="1" ref="T119" ca="1">IF(S119="","",IF(S119&lt;&gt;S118,1,IF(T118=misLíneas-2,0,T118+1)))</f>
        <v>0</v>
      </c>
      <c r="U119" s="18" t="str" cm="1">
        <f t="array" aca="1" ref="U119" ca="1">IF(OR(T119=0,T119=""),"",INDEX(misCriticidades,S119)&amp;"-"&amp;IFERROR(MATCH(T119,miOrdenTarjeta,0),0))</f>
        <v/>
      </c>
      <c r="W119" s="18">
        <f t="shared" ca="1" si="39"/>
        <v>1</v>
      </c>
      <c r="X119" s="18" t="str">
        <f t="shared" ca="1" si="50"/>
        <v/>
      </c>
      <c r="Y119" s="18" t="str" cm="1">
        <f t="array" aca="1" ref="Y119" ca="1">IF(X119="","",IF(X119&lt;&gt;X118,1,IF(Y118=misLíneas-2,0,Y118+1)))</f>
        <v/>
      </c>
      <c r="Z119" s="18" t="str" cm="1">
        <f t="array" aca="1" ref="Z119" ca="1">IF(OR(Y119=0,Y119=""),"",INDEX(misCriticidades,X119)&amp;"-"&amp;IFERROR(MATCH(Y119,miOrdenTarjeta,0),0))</f>
        <v/>
      </c>
      <c r="AB119" s="18">
        <f t="shared" ca="1" si="40"/>
        <v>1</v>
      </c>
      <c r="AC119" s="18" t="str">
        <f t="shared" ca="1" si="31"/>
        <v/>
      </c>
      <c r="AD119" s="18" t="str" cm="1">
        <f t="array" aca="1" ref="AD119" ca="1">IF(AC119="","",IF(AC119&lt;&gt;AC118,1,IF(AD118=misLíneas-2,0,AD118+1)))</f>
        <v/>
      </c>
      <c r="AE119" s="18" t="str" cm="1">
        <f t="array" aca="1" ref="AE119" ca="1">IF(OR(AD119=0,AD119=""),"",INDEX(misCriticidades,AC119)&amp;"-"&amp;IFERROR(MATCH(AD119,miOrdenTarjeta,0),0))</f>
        <v/>
      </c>
      <c r="AG119" s="18">
        <f t="shared" ca="1" si="41"/>
        <v>1</v>
      </c>
      <c r="AH119" s="18" t="str">
        <f t="shared" ca="1" si="32"/>
        <v/>
      </c>
      <c r="AI119" s="18" t="str" cm="1">
        <f t="array" aca="1" ref="AI119" ca="1">IF(AH119="","",IF(AH119&lt;&gt;AH118,1,IF(AI118=misLíneas-2,0,AI118+1)))</f>
        <v/>
      </c>
      <c r="AJ119" s="18" t="str" cm="1">
        <f t="array" aca="1" ref="AJ119" ca="1">IF(OR(AI119=0,AI119=""),"",INDEX(misCriticidades,AH119)&amp;"-"&amp;IFERROR(MATCH(AI119,miOrdenTarjeta,0),0))</f>
        <v/>
      </c>
      <c r="AL119" s="18">
        <f t="shared" ca="1" si="42"/>
        <v>1</v>
      </c>
      <c r="AM119" s="18" t="str">
        <f t="shared" ca="1" si="33"/>
        <v/>
      </c>
      <c r="AN119" s="18" t="str" cm="1">
        <f t="array" aca="1" ref="AN119" ca="1">IF(AM119="","",IF(AM119&lt;&gt;AM118,1,IF(AN118=misLíneas-2,0,AN118+1)))</f>
        <v/>
      </c>
      <c r="AO119" s="18" t="str" cm="1">
        <f t="array" aca="1" ref="AO119" ca="1">IF(OR(AN119=0,AN119=""),"",INDEX(misCriticidades,AM119)&amp;"-"&amp;IFERROR(MATCH(AN119,miOrdenTarjeta,0),0))</f>
        <v/>
      </c>
      <c r="AQ119" s="18">
        <f t="shared" ca="1" si="43"/>
        <v>1</v>
      </c>
      <c r="AR119" s="18" t="str">
        <f t="shared" ca="1" si="34"/>
        <v/>
      </c>
      <c r="AS119" s="18" t="str" cm="1">
        <f t="array" aca="1" ref="AS119" ca="1">IF(AR119="","",IF(AR119&lt;&gt;AR118,1,IF(AS118=misLíneas-2,0,AS118+1)))</f>
        <v/>
      </c>
      <c r="AT119" s="18" t="str" cm="1">
        <f t="array" aca="1" ref="AT119" ca="1">IF(OR(AS119=0,AS119=""),"",INDEX(misCriticidades,AR119)&amp;"-"&amp;IFERROR(MATCH(AS119,miOrdenTarjeta,0),0))</f>
        <v/>
      </c>
      <c r="AV119" s="18">
        <f t="shared" ca="1" si="44"/>
        <v>1</v>
      </c>
      <c r="AW119" s="18" t="str">
        <f t="shared" ca="1" si="35"/>
        <v/>
      </c>
      <c r="AX119" s="18" t="str" cm="1">
        <f t="array" aca="1" ref="AX119" ca="1">IF(AW119="","",IF(AW119&lt;&gt;AW118,1,IF(AX118=misLíneas-2,0,AX118+1)))</f>
        <v/>
      </c>
      <c r="AY119" s="18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18">
        <f t="shared" ca="1" si="45"/>
        <v>1</v>
      </c>
      <c r="D120" s="18" t="str">
        <f t="shared" ca="1" si="46"/>
        <v/>
      </c>
      <c r="E120" s="18" t="str" cm="1">
        <f t="array" aca="1" ref="E120" ca="1">IF(D120="","",IF(D120&lt;&gt;D119,1,IF(E119=misLíneas-2,0,E119+1)))</f>
        <v/>
      </c>
      <c r="F120" s="18" t="str" cm="1">
        <f t="array" aca="1" ref="F120" ca="1">IF(OR(E120=0,E120=""),"",INDEX(misCriticidades,D120)&amp;"-"&amp;IFERROR(MATCH(E120,miOrdenTarjeta,0),0))</f>
        <v/>
      </c>
      <c r="H120" s="18">
        <f t="shared" ca="1" si="36"/>
        <v>1</v>
      </c>
      <c r="I120" s="18" t="str">
        <f t="shared" ca="1" si="47"/>
        <v/>
      </c>
      <c r="J120" s="18" t="str" cm="1">
        <f t="array" aca="1" ref="J120" ca="1">IF(I120="","",IF(I120&lt;&gt;I119,1,IF(J119=misLíneas-2,0,J119+1)))</f>
        <v/>
      </c>
      <c r="K120" s="18" t="str" cm="1">
        <f t="array" aca="1" ref="K120" ca="1">IF(OR(J120=0,J120=""),"",INDEX(misCriticidades,I120)&amp;"-"&amp;IFERROR(MATCH(J120,miOrdenTarjeta,0),0))</f>
        <v/>
      </c>
      <c r="M120" s="18">
        <f t="shared" ca="1" si="37"/>
        <v>1</v>
      </c>
      <c r="N120" s="18" t="str">
        <f t="shared" ca="1" si="48"/>
        <v/>
      </c>
      <c r="O120" s="18" t="str" cm="1">
        <f t="array" aca="1" ref="O120" ca="1">IF(N120="","",IF(N120&lt;&gt;N119,1,IF(O119=misLíneas-2,0,O119+1)))</f>
        <v/>
      </c>
      <c r="P120" s="18" t="str" cm="1">
        <f t="array" aca="1" ref="P120" ca="1">IF(OR(O120=0,O120=""),"",INDEX(misCriticidades,N120)&amp;"-"&amp;IFERROR(MATCH(O120,miOrdenTarjeta,0),0))</f>
        <v/>
      </c>
      <c r="R120" s="18">
        <f t="shared" ca="1" si="38"/>
        <v>14</v>
      </c>
      <c r="S120" s="18">
        <f t="shared" ca="1" si="49"/>
        <v>17</v>
      </c>
      <c r="T120" s="18" cm="1">
        <f t="array" aca="1" ref="T120" ca="1">IF(S120="","",IF(S120&lt;&gt;S119,1,IF(T119=misLíneas-2,0,T119+1)))</f>
        <v>1</v>
      </c>
      <c r="U120" s="18" t="str" cm="1">
        <f t="array" aca="1" ref="U120" ca="1">IF(OR(T120=0,T120=""),"",INDEX(misCriticidades,S120)&amp;"-"&amp;IFERROR(MATCH(T120,miOrdenTarjeta,0),0))</f>
        <v>1-1</v>
      </c>
      <c r="W120" s="18">
        <f t="shared" ca="1" si="39"/>
        <v>1</v>
      </c>
      <c r="X120" s="18" t="str">
        <f t="shared" ca="1" si="50"/>
        <v/>
      </c>
      <c r="Y120" s="18" t="str" cm="1">
        <f t="array" aca="1" ref="Y120" ca="1">IF(X120="","",IF(X120&lt;&gt;X119,1,IF(Y119=misLíneas-2,0,Y119+1)))</f>
        <v/>
      </c>
      <c r="Z120" s="18" t="str" cm="1">
        <f t="array" aca="1" ref="Z120" ca="1">IF(OR(Y120=0,Y120=""),"",INDEX(misCriticidades,X120)&amp;"-"&amp;IFERROR(MATCH(Y120,miOrdenTarjeta,0),0))</f>
        <v/>
      </c>
      <c r="AB120" s="18">
        <f t="shared" ca="1" si="40"/>
        <v>1</v>
      </c>
      <c r="AC120" s="18" t="str">
        <f t="shared" ca="1" si="31"/>
        <v/>
      </c>
      <c r="AD120" s="18" t="str" cm="1">
        <f t="array" aca="1" ref="AD120" ca="1">IF(AC120="","",IF(AC120&lt;&gt;AC119,1,IF(AD119=misLíneas-2,0,AD119+1)))</f>
        <v/>
      </c>
      <c r="AE120" s="18" t="str" cm="1">
        <f t="array" aca="1" ref="AE120" ca="1">IF(OR(AD120=0,AD120=""),"",INDEX(misCriticidades,AC120)&amp;"-"&amp;IFERROR(MATCH(AD120,miOrdenTarjeta,0),0))</f>
        <v/>
      </c>
      <c r="AG120" s="18">
        <f t="shared" ca="1" si="41"/>
        <v>1</v>
      </c>
      <c r="AH120" s="18" t="str">
        <f t="shared" ca="1" si="32"/>
        <v/>
      </c>
      <c r="AI120" s="18" t="str" cm="1">
        <f t="array" aca="1" ref="AI120" ca="1">IF(AH120="","",IF(AH120&lt;&gt;AH119,1,IF(AI119=misLíneas-2,0,AI119+1)))</f>
        <v/>
      </c>
      <c r="AJ120" s="18" t="str" cm="1">
        <f t="array" aca="1" ref="AJ120" ca="1">IF(OR(AI120=0,AI120=""),"",INDEX(misCriticidades,AH120)&amp;"-"&amp;IFERROR(MATCH(AI120,miOrdenTarjeta,0),0))</f>
        <v/>
      </c>
      <c r="AL120" s="18">
        <f t="shared" ca="1" si="42"/>
        <v>1</v>
      </c>
      <c r="AM120" s="18" t="str">
        <f t="shared" ca="1" si="33"/>
        <v/>
      </c>
      <c r="AN120" s="18" t="str" cm="1">
        <f t="array" aca="1" ref="AN120" ca="1">IF(AM120="","",IF(AM120&lt;&gt;AM119,1,IF(AN119=misLíneas-2,0,AN119+1)))</f>
        <v/>
      </c>
      <c r="AO120" s="18" t="str" cm="1">
        <f t="array" aca="1" ref="AO120" ca="1">IF(OR(AN120=0,AN120=""),"",INDEX(misCriticidades,AM120)&amp;"-"&amp;IFERROR(MATCH(AN120,miOrdenTarjeta,0),0))</f>
        <v/>
      </c>
      <c r="AQ120" s="18">
        <f t="shared" ca="1" si="43"/>
        <v>1</v>
      </c>
      <c r="AR120" s="18" t="str">
        <f t="shared" ca="1" si="34"/>
        <v/>
      </c>
      <c r="AS120" s="18" t="str" cm="1">
        <f t="array" aca="1" ref="AS120" ca="1">IF(AR120="","",IF(AR120&lt;&gt;AR119,1,IF(AS119=misLíneas-2,0,AS119+1)))</f>
        <v/>
      </c>
      <c r="AT120" s="18" t="str" cm="1">
        <f t="array" aca="1" ref="AT120" ca="1">IF(OR(AS120=0,AS120=""),"",INDEX(misCriticidades,AR120)&amp;"-"&amp;IFERROR(MATCH(AS120,miOrdenTarjeta,0),0))</f>
        <v/>
      </c>
      <c r="AV120" s="18">
        <f t="shared" ca="1" si="44"/>
        <v>1</v>
      </c>
      <c r="AW120" s="18" t="str">
        <f t="shared" ca="1" si="35"/>
        <v/>
      </c>
      <c r="AX120" s="18" t="str" cm="1">
        <f t="array" aca="1" ref="AX120" ca="1">IF(AW120="","",IF(AW120&lt;&gt;AW119,1,IF(AX119=misLíneas-2,0,AX119+1)))</f>
        <v/>
      </c>
      <c r="AY120" s="18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18">
        <f t="shared" ca="1" si="45"/>
        <v>1</v>
      </c>
      <c r="D121" s="18" t="str">
        <f t="shared" ca="1" si="46"/>
        <v/>
      </c>
      <c r="E121" s="18" t="str" cm="1">
        <f t="array" aca="1" ref="E121" ca="1">IF(D121="","",IF(D121&lt;&gt;D120,1,IF(E120=misLíneas-2,0,E120+1)))</f>
        <v/>
      </c>
      <c r="F121" s="18" t="str" cm="1">
        <f t="array" aca="1" ref="F121" ca="1">IF(OR(E121=0,E121=""),"",INDEX(misCriticidades,D121)&amp;"-"&amp;IFERROR(MATCH(E121,miOrdenTarjeta,0),0))</f>
        <v/>
      </c>
      <c r="H121" s="18">
        <f t="shared" ca="1" si="36"/>
        <v>1</v>
      </c>
      <c r="I121" s="18" t="str">
        <f t="shared" ca="1" si="47"/>
        <v/>
      </c>
      <c r="J121" s="18" t="str" cm="1">
        <f t="array" aca="1" ref="J121" ca="1">IF(I121="","",IF(I121&lt;&gt;I120,1,IF(J120=misLíneas-2,0,J120+1)))</f>
        <v/>
      </c>
      <c r="K121" s="18" t="str" cm="1">
        <f t="array" aca="1" ref="K121" ca="1">IF(OR(J121=0,J121=""),"",INDEX(misCriticidades,I121)&amp;"-"&amp;IFERROR(MATCH(J121,miOrdenTarjeta,0),0))</f>
        <v/>
      </c>
      <c r="M121" s="18">
        <f t="shared" ca="1" si="37"/>
        <v>1</v>
      </c>
      <c r="N121" s="18" t="str">
        <f t="shared" ca="1" si="48"/>
        <v/>
      </c>
      <c r="O121" s="18" t="str" cm="1">
        <f t="array" aca="1" ref="O121" ca="1">IF(N121="","",IF(N121&lt;&gt;N120,1,IF(O120=misLíneas-2,0,O120+1)))</f>
        <v/>
      </c>
      <c r="P121" s="18" t="str" cm="1">
        <f t="array" aca="1" ref="P121" ca="1">IF(OR(O121=0,O121=""),"",INDEX(misCriticidades,N121)&amp;"-"&amp;IFERROR(MATCH(O121,miOrdenTarjeta,0),0))</f>
        <v/>
      </c>
      <c r="R121" s="18">
        <f t="shared" ca="1" si="38"/>
        <v>14</v>
      </c>
      <c r="S121" s="18">
        <f t="shared" ca="1" si="49"/>
        <v>17</v>
      </c>
      <c r="T121" s="18" cm="1">
        <f t="array" aca="1" ref="T121" ca="1">IF(S121="","",IF(S121&lt;&gt;S120,1,IF(T120=misLíneas-2,0,T120+1)))</f>
        <v>2</v>
      </c>
      <c r="U121" s="18" t="str" cm="1">
        <f t="array" aca="1" ref="U121" ca="1">IF(OR(T121=0,T121=""),"",INDEX(misCriticidades,S121)&amp;"-"&amp;IFERROR(MATCH(T121,miOrdenTarjeta,0),0))</f>
        <v>1-2</v>
      </c>
      <c r="W121" s="18">
        <f t="shared" ca="1" si="39"/>
        <v>1</v>
      </c>
      <c r="X121" s="18" t="str">
        <f t="shared" ca="1" si="50"/>
        <v/>
      </c>
      <c r="Y121" s="18" t="str" cm="1">
        <f t="array" aca="1" ref="Y121" ca="1">IF(X121="","",IF(X121&lt;&gt;X120,1,IF(Y120=misLíneas-2,0,Y120+1)))</f>
        <v/>
      </c>
      <c r="Z121" s="18" t="str" cm="1">
        <f t="array" aca="1" ref="Z121" ca="1">IF(OR(Y121=0,Y121=""),"",INDEX(misCriticidades,X121)&amp;"-"&amp;IFERROR(MATCH(Y121,miOrdenTarjeta,0),0))</f>
        <v/>
      </c>
      <c r="AB121" s="18">
        <f t="shared" ca="1" si="40"/>
        <v>1</v>
      </c>
      <c r="AC121" s="18" t="str">
        <f t="shared" ca="1" si="31"/>
        <v/>
      </c>
      <c r="AD121" s="18" t="str" cm="1">
        <f t="array" aca="1" ref="AD121" ca="1">IF(AC121="","",IF(AC121&lt;&gt;AC120,1,IF(AD120=misLíneas-2,0,AD120+1)))</f>
        <v/>
      </c>
      <c r="AE121" s="18" t="str" cm="1">
        <f t="array" aca="1" ref="AE121" ca="1">IF(OR(AD121=0,AD121=""),"",INDEX(misCriticidades,AC121)&amp;"-"&amp;IFERROR(MATCH(AD121,miOrdenTarjeta,0),0))</f>
        <v/>
      </c>
      <c r="AG121" s="18">
        <f t="shared" ca="1" si="41"/>
        <v>1</v>
      </c>
      <c r="AH121" s="18" t="str">
        <f t="shared" ca="1" si="32"/>
        <v/>
      </c>
      <c r="AI121" s="18" t="str" cm="1">
        <f t="array" aca="1" ref="AI121" ca="1">IF(AH121="","",IF(AH121&lt;&gt;AH120,1,IF(AI120=misLíneas-2,0,AI120+1)))</f>
        <v/>
      </c>
      <c r="AJ121" s="18" t="str" cm="1">
        <f t="array" aca="1" ref="AJ121" ca="1">IF(OR(AI121=0,AI121=""),"",INDEX(misCriticidades,AH121)&amp;"-"&amp;IFERROR(MATCH(AI121,miOrdenTarjeta,0),0))</f>
        <v/>
      </c>
      <c r="AL121" s="18">
        <f t="shared" ca="1" si="42"/>
        <v>1</v>
      </c>
      <c r="AM121" s="18" t="str">
        <f t="shared" ca="1" si="33"/>
        <v/>
      </c>
      <c r="AN121" s="18" t="str" cm="1">
        <f t="array" aca="1" ref="AN121" ca="1">IF(AM121="","",IF(AM121&lt;&gt;AM120,1,IF(AN120=misLíneas-2,0,AN120+1)))</f>
        <v/>
      </c>
      <c r="AO121" s="18" t="str" cm="1">
        <f t="array" aca="1" ref="AO121" ca="1">IF(OR(AN121=0,AN121=""),"",INDEX(misCriticidades,AM121)&amp;"-"&amp;IFERROR(MATCH(AN121,miOrdenTarjeta,0),0))</f>
        <v/>
      </c>
      <c r="AQ121" s="18">
        <f t="shared" ca="1" si="43"/>
        <v>1</v>
      </c>
      <c r="AR121" s="18" t="str">
        <f t="shared" ca="1" si="34"/>
        <v/>
      </c>
      <c r="AS121" s="18" t="str" cm="1">
        <f t="array" aca="1" ref="AS121" ca="1">IF(AR121="","",IF(AR121&lt;&gt;AR120,1,IF(AS120=misLíneas-2,0,AS120+1)))</f>
        <v/>
      </c>
      <c r="AT121" s="18" t="str" cm="1">
        <f t="array" aca="1" ref="AT121" ca="1">IF(OR(AS121=0,AS121=""),"",INDEX(misCriticidades,AR121)&amp;"-"&amp;IFERROR(MATCH(AS121,miOrdenTarjeta,0),0))</f>
        <v/>
      </c>
      <c r="AV121" s="18">
        <f t="shared" ca="1" si="44"/>
        <v>1</v>
      </c>
      <c r="AW121" s="18" t="str">
        <f t="shared" ca="1" si="35"/>
        <v/>
      </c>
      <c r="AX121" s="18" t="str" cm="1">
        <f t="array" aca="1" ref="AX121" ca="1">IF(AW121="","",IF(AW121&lt;&gt;AW120,1,IF(AX120=misLíneas-2,0,AX120+1)))</f>
        <v/>
      </c>
      <c r="AY121" s="18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18">
        <f t="shared" ca="1" si="45"/>
        <v>1</v>
      </c>
      <c r="D122" s="18" t="str">
        <f t="shared" ca="1" si="46"/>
        <v/>
      </c>
      <c r="E122" s="18" t="str" cm="1">
        <f t="array" aca="1" ref="E122" ca="1">IF(D122="","",IF(D122&lt;&gt;D121,1,IF(E121=misLíneas-2,0,E121+1)))</f>
        <v/>
      </c>
      <c r="F122" s="18" t="str" cm="1">
        <f t="array" aca="1" ref="F122" ca="1">IF(OR(E122=0,E122=""),"",INDEX(misCriticidades,D122)&amp;"-"&amp;IFERROR(MATCH(E122,miOrdenTarjeta,0),0))</f>
        <v/>
      </c>
      <c r="H122" s="18">
        <f t="shared" ca="1" si="36"/>
        <v>1</v>
      </c>
      <c r="I122" s="18" t="str">
        <f t="shared" ca="1" si="47"/>
        <v/>
      </c>
      <c r="J122" s="18" t="str" cm="1">
        <f t="array" aca="1" ref="J122" ca="1">IF(I122="","",IF(I122&lt;&gt;I121,1,IF(J121=misLíneas-2,0,J121+1)))</f>
        <v/>
      </c>
      <c r="K122" s="18" t="str" cm="1">
        <f t="array" aca="1" ref="K122" ca="1">IF(OR(J122=0,J122=""),"",INDEX(misCriticidades,I122)&amp;"-"&amp;IFERROR(MATCH(J122,miOrdenTarjeta,0),0))</f>
        <v/>
      </c>
      <c r="M122" s="18">
        <f t="shared" ca="1" si="37"/>
        <v>1</v>
      </c>
      <c r="N122" s="18" t="str">
        <f t="shared" ca="1" si="48"/>
        <v/>
      </c>
      <c r="O122" s="18" t="str" cm="1">
        <f t="array" aca="1" ref="O122" ca="1">IF(N122="","",IF(N122&lt;&gt;N121,1,IF(O121=misLíneas-2,0,O121+1)))</f>
        <v/>
      </c>
      <c r="P122" s="18" t="str" cm="1">
        <f t="array" aca="1" ref="P122" ca="1">IF(OR(O122=0,O122=""),"",INDEX(misCriticidades,N122)&amp;"-"&amp;IFERROR(MATCH(O122,miOrdenTarjeta,0),0))</f>
        <v/>
      </c>
      <c r="R122" s="18">
        <f t="shared" ca="1" si="38"/>
        <v>14</v>
      </c>
      <c r="S122" s="18">
        <f t="shared" ca="1" si="49"/>
        <v>17</v>
      </c>
      <c r="T122" s="18" cm="1">
        <f t="array" aca="1" ref="T122" ca="1">IF(S122="","",IF(S122&lt;&gt;S121,1,IF(T121=misLíneas-2,0,T121+1)))</f>
        <v>3</v>
      </c>
      <c r="U122" s="18" t="str" cm="1">
        <f t="array" aca="1" ref="U122" ca="1">IF(OR(T122=0,T122=""),"",INDEX(misCriticidades,S122)&amp;"-"&amp;IFERROR(MATCH(T122,miOrdenTarjeta,0),0))</f>
        <v>1-3</v>
      </c>
      <c r="W122" s="18">
        <f t="shared" ca="1" si="39"/>
        <v>1</v>
      </c>
      <c r="X122" s="18" t="str">
        <f t="shared" ca="1" si="50"/>
        <v/>
      </c>
      <c r="Y122" s="18" t="str" cm="1">
        <f t="array" aca="1" ref="Y122" ca="1">IF(X122="","",IF(X122&lt;&gt;X121,1,IF(Y121=misLíneas-2,0,Y121+1)))</f>
        <v/>
      </c>
      <c r="Z122" s="18" t="str" cm="1">
        <f t="array" aca="1" ref="Z122" ca="1">IF(OR(Y122=0,Y122=""),"",INDEX(misCriticidades,X122)&amp;"-"&amp;IFERROR(MATCH(Y122,miOrdenTarjeta,0),0))</f>
        <v/>
      </c>
      <c r="AB122" s="18">
        <f t="shared" ca="1" si="40"/>
        <v>1</v>
      </c>
      <c r="AC122" s="18" t="str">
        <f t="shared" ca="1" si="31"/>
        <v/>
      </c>
      <c r="AD122" s="18" t="str" cm="1">
        <f t="array" aca="1" ref="AD122" ca="1">IF(AC122="","",IF(AC122&lt;&gt;AC121,1,IF(AD121=misLíneas-2,0,AD121+1)))</f>
        <v/>
      </c>
      <c r="AE122" s="18" t="str" cm="1">
        <f t="array" aca="1" ref="AE122" ca="1">IF(OR(AD122=0,AD122=""),"",INDEX(misCriticidades,AC122)&amp;"-"&amp;IFERROR(MATCH(AD122,miOrdenTarjeta,0),0))</f>
        <v/>
      </c>
      <c r="AG122" s="18">
        <f t="shared" ca="1" si="41"/>
        <v>1</v>
      </c>
      <c r="AH122" s="18" t="str">
        <f t="shared" ca="1" si="32"/>
        <v/>
      </c>
      <c r="AI122" s="18" t="str" cm="1">
        <f t="array" aca="1" ref="AI122" ca="1">IF(AH122="","",IF(AH122&lt;&gt;AH121,1,IF(AI121=misLíneas-2,0,AI121+1)))</f>
        <v/>
      </c>
      <c r="AJ122" s="18" t="str" cm="1">
        <f t="array" aca="1" ref="AJ122" ca="1">IF(OR(AI122=0,AI122=""),"",INDEX(misCriticidades,AH122)&amp;"-"&amp;IFERROR(MATCH(AI122,miOrdenTarjeta,0),0))</f>
        <v/>
      </c>
      <c r="AL122" s="18">
        <f t="shared" ca="1" si="42"/>
        <v>1</v>
      </c>
      <c r="AM122" s="18" t="str">
        <f t="shared" ca="1" si="33"/>
        <v/>
      </c>
      <c r="AN122" s="18" t="str" cm="1">
        <f t="array" aca="1" ref="AN122" ca="1">IF(AM122="","",IF(AM122&lt;&gt;AM121,1,IF(AN121=misLíneas-2,0,AN121+1)))</f>
        <v/>
      </c>
      <c r="AO122" s="18" t="str" cm="1">
        <f t="array" aca="1" ref="AO122" ca="1">IF(OR(AN122=0,AN122=""),"",INDEX(misCriticidades,AM122)&amp;"-"&amp;IFERROR(MATCH(AN122,miOrdenTarjeta,0),0))</f>
        <v/>
      </c>
      <c r="AQ122" s="18">
        <f t="shared" ca="1" si="43"/>
        <v>1</v>
      </c>
      <c r="AR122" s="18" t="str">
        <f t="shared" ca="1" si="34"/>
        <v/>
      </c>
      <c r="AS122" s="18" t="str" cm="1">
        <f t="array" aca="1" ref="AS122" ca="1">IF(AR122="","",IF(AR122&lt;&gt;AR121,1,IF(AS121=misLíneas-2,0,AS121+1)))</f>
        <v/>
      </c>
      <c r="AT122" s="18" t="str" cm="1">
        <f t="array" aca="1" ref="AT122" ca="1">IF(OR(AS122=0,AS122=""),"",INDEX(misCriticidades,AR122)&amp;"-"&amp;IFERROR(MATCH(AS122,miOrdenTarjeta,0),0))</f>
        <v/>
      </c>
      <c r="AV122" s="18">
        <f t="shared" ca="1" si="44"/>
        <v>1</v>
      </c>
      <c r="AW122" s="18" t="str">
        <f t="shared" ca="1" si="35"/>
        <v/>
      </c>
      <c r="AX122" s="18" t="str" cm="1">
        <f t="array" aca="1" ref="AX122" ca="1">IF(AW122="","",IF(AW122&lt;&gt;AW121,1,IF(AX121=misLíneas-2,0,AX121+1)))</f>
        <v/>
      </c>
      <c r="AY122" s="18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18">
        <f t="shared" ca="1" si="45"/>
        <v>1</v>
      </c>
      <c r="D123" s="18" t="str">
        <f t="shared" ca="1" si="46"/>
        <v/>
      </c>
      <c r="E123" s="18" t="str" cm="1">
        <f t="array" aca="1" ref="E123" ca="1">IF(D123="","",IF(D123&lt;&gt;D122,1,IF(E122=misLíneas-2,0,E122+1)))</f>
        <v/>
      </c>
      <c r="F123" s="18" t="str" cm="1">
        <f t="array" aca="1" ref="F123" ca="1">IF(OR(E123=0,E123=""),"",INDEX(misCriticidades,D123)&amp;"-"&amp;IFERROR(MATCH(E123,miOrdenTarjeta,0),0))</f>
        <v/>
      </c>
      <c r="H123" s="18">
        <f t="shared" ca="1" si="36"/>
        <v>1</v>
      </c>
      <c r="I123" s="18" t="str">
        <f t="shared" ca="1" si="47"/>
        <v/>
      </c>
      <c r="J123" s="18" t="str" cm="1">
        <f t="array" aca="1" ref="J123" ca="1">IF(I123="","",IF(I123&lt;&gt;I122,1,IF(J122=misLíneas-2,0,J122+1)))</f>
        <v/>
      </c>
      <c r="K123" s="18" t="str" cm="1">
        <f t="array" aca="1" ref="K123" ca="1">IF(OR(J123=0,J123=""),"",INDEX(misCriticidades,I123)&amp;"-"&amp;IFERROR(MATCH(J123,miOrdenTarjeta,0),0))</f>
        <v/>
      </c>
      <c r="M123" s="18">
        <f t="shared" ca="1" si="37"/>
        <v>1</v>
      </c>
      <c r="N123" s="18" t="str">
        <f t="shared" ca="1" si="48"/>
        <v/>
      </c>
      <c r="O123" s="18" t="str" cm="1">
        <f t="array" aca="1" ref="O123" ca="1">IF(N123="","",IF(N123&lt;&gt;N122,1,IF(O122=misLíneas-2,0,O122+1)))</f>
        <v/>
      </c>
      <c r="P123" s="18" t="str" cm="1">
        <f t="array" aca="1" ref="P123" ca="1">IF(OR(O123=0,O123=""),"",INDEX(misCriticidades,N123)&amp;"-"&amp;IFERROR(MATCH(O123,miOrdenTarjeta,0),0))</f>
        <v/>
      </c>
      <c r="R123" s="18">
        <f t="shared" ca="1" si="38"/>
        <v>14</v>
      </c>
      <c r="S123" s="18">
        <f t="shared" ca="1" si="49"/>
        <v>17</v>
      </c>
      <c r="T123" s="18" cm="1">
        <f t="array" aca="1" ref="T123" ca="1">IF(S123="","",IF(S123&lt;&gt;S122,1,IF(T122=misLíneas-2,0,T122+1)))</f>
        <v>4</v>
      </c>
      <c r="U123" s="18" t="str" cm="1">
        <f t="array" aca="1" ref="U123" ca="1">IF(OR(T123=0,T123=""),"",INDEX(misCriticidades,S123)&amp;"-"&amp;IFERROR(MATCH(T123,miOrdenTarjeta,0),0))</f>
        <v>1-4</v>
      </c>
      <c r="W123" s="18">
        <f t="shared" ca="1" si="39"/>
        <v>1</v>
      </c>
      <c r="X123" s="18" t="str">
        <f t="shared" ca="1" si="50"/>
        <v/>
      </c>
      <c r="Y123" s="18" t="str" cm="1">
        <f t="array" aca="1" ref="Y123" ca="1">IF(X123="","",IF(X123&lt;&gt;X122,1,IF(Y122=misLíneas-2,0,Y122+1)))</f>
        <v/>
      </c>
      <c r="Z123" s="18" t="str" cm="1">
        <f t="array" aca="1" ref="Z123" ca="1">IF(OR(Y123=0,Y123=""),"",INDEX(misCriticidades,X123)&amp;"-"&amp;IFERROR(MATCH(Y123,miOrdenTarjeta,0),0))</f>
        <v/>
      </c>
      <c r="AB123" s="18">
        <f t="shared" ca="1" si="40"/>
        <v>1</v>
      </c>
      <c r="AC123" s="18" t="str">
        <f t="shared" ca="1" si="31"/>
        <v/>
      </c>
      <c r="AD123" s="18" t="str" cm="1">
        <f t="array" aca="1" ref="AD123" ca="1">IF(AC123="","",IF(AC123&lt;&gt;AC122,1,IF(AD122=misLíneas-2,0,AD122+1)))</f>
        <v/>
      </c>
      <c r="AE123" s="18" t="str" cm="1">
        <f t="array" aca="1" ref="AE123" ca="1">IF(OR(AD123=0,AD123=""),"",INDEX(misCriticidades,AC123)&amp;"-"&amp;IFERROR(MATCH(AD123,miOrdenTarjeta,0),0))</f>
        <v/>
      </c>
      <c r="AG123" s="18">
        <f t="shared" ca="1" si="41"/>
        <v>1</v>
      </c>
      <c r="AH123" s="18" t="str">
        <f t="shared" ca="1" si="32"/>
        <v/>
      </c>
      <c r="AI123" s="18" t="str" cm="1">
        <f t="array" aca="1" ref="AI123" ca="1">IF(AH123="","",IF(AH123&lt;&gt;AH122,1,IF(AI122=misLíneas-2,0,AI122+1)))</f>
        <v/>
      </c>
      <c r="AJ123" s="18" t="str" cm="1">
        <f t="array" aca="1" ref="AJ123" ca="1">IF(OR(AI123=0,AI123=""),"",INDEX(misCriticidades,AH123)&amp;"-"&amp;IFERROR(MATCH(AI123,miOrdenTarjeta,0),0))</f>
        <v/>
      </c>
      <c r="AL123" s="18">
        <f t="shared" ca="1" si="42"/>
        <v>1</v>
      </c>
      <c r="AM123" s="18" t="str">
        <f t="shared" ca="1" si="33"/>
        <v/>
      </c>
      <c r="AN123" s="18" t="str" cm="1">
        <f t="array" aca="1" ref="AN123" ca="1">IF(AM123="","",IF(AM123&lt;&gt;AM122,1,IF(AN122=misLíneas-2,0,AN122+1)))</f>
        <v/>
      </c>
      <c r="AO123" s="18" t="str" cm="1">
        <f t="array" aca="1" ref="AO123" ca="1">IF(OR(AN123=0,AN123=""),"",INDEX(misCriticidades,AM123)&amp;"-"&amp;IFERROR(MATCH(AN123,miOrdenTarjeta,0),0))</f>
        <v/>
      </c>
      <c r="AQ123" s="18">
        <f t="shared" ca="1" si="43"/>
        <v>1</v>
      </c>
      <c r="AR123" s="18" t="str">
        <f t="shared" ca="1" si="34"/>
        <v/>
      </c>
      <c r="AS123" s="18" t="str" cm="1">
        <f t="array" aca="1" ref="AS123" ca="1">IF(AR123="","",IF(AR123&lt;&gt;AR122,1,IF(AS122=misLíneas-2,0,AS122+1)))</f>
        <v/>
      </c>
      <c r="AT123" s="18" t="str" cm="1">
        <f t="array" aca="1" ref="AT123" ca="1">IF(OR(AS123=0,AS123=""),"",INDEX(misCriticidades,AR123)&amp;"-"&amp;IFERROR(MATCH(AS123,miOrdenTarjeta,0),0))</f>
        <v/>
      </c>
      <c r="AV123" s="18">
        <f t="shared" ca="1" si="44"/>
        <v>1</v>
      </c>
      <c r="AW123" s="18" t="str">
        <f t="shared" ca="1" si="35"/>
        <v/>
      </c>
      <c r="AX123" s="18" t="str" cm="1">
        <f t="array" aca="1" ref="AX123" ca="1">IF(AW123="","",IF(AW123&lt;&gt;AW122,1,IF(AX122=misLíneas-2,0,AX122+1)))</f>
        <v/>
      </c>
      <c r="AY123" s="18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18">
        <f t="shared" ca="1" si="45"/>
        <v>1</v>
      </c>
      <c r="D124" s="18" t="str">
        <f t="shared" ca="1" si="46"/>
        <v/>
      </c>
      <c r="E124" s="18" t="str" cm="1">
        <f t="array" aca="1" ref="E124" ca="1">IF(D124="","",IF(D124&lt;&gt;D123,1,IF(E123=misLíneas-2,0,E123+1)))</f>
        <v/>
      </c>
      <c r="F124" s="18" t="str" cm="1">
        <f t="array" aca="1" ref="F124" ca="1">IF(OR(E124=0,E124=""),"",INDEX(misCriticidades,D124)&amp;"-"&amp;IFERROR(MATCH(E124,miOrdenTarjeta,0),0))</f>
        <v/>
      </c>
      <c r="H124" s="18">
        <f t="shared" ca="1" si="36"/>
        <v>1</v>
      </c>
      <c r="I124" s="18" t="str">
        <f t="shared" ca="1" si="47"/>
        <v/>
      </c>
      <c r="J124" s="18" t="str" cm="1">
        <f t="array" aca="1" ref="J124" ca="1">IF(I124="","",IF(I124&lt;&gt;I123,1,IF(J123=misLíneas-2,0,J123+1)))</f>
        <v/>
      </c>
      <c r="K124" s="18" t="str" cm="1">
        <f t="array" aca="1" ref="K124" ca="1">IF(OR(J124=0,J124=""),"",INDEX(misCriticidades,I124)&amp;"-"&amp;IFERROR(MATCH(J124,miOrdenTarjeta,0),0))</f>
        <v/>
      </c>
      <c r="M124" s="18">
        <f t="shared" ca="1" si="37"/>
        <v>1</v>
      </c>
      <c r="N124" s="18" t="str">
        <f t="shared" ca="1" si="48"/>
        <v/>
      </c>
      <c r="O124" s="18" t="str" cm="1">
        <f t="array" aca="1" ref="O124" ca="1">IF(N124="","",IF(N124&lt;&gt;N123,1,IF(O123=misLíneas-2,0,O123+1)))</f>
        <v/>
      </c>
      <c r="P124" s="18" t="str" cm="1">
        <f t="array" aca="1" ref="P124" ca="1">IF(OR(O124=0,O124=""),"",INDEX(misCriticidades,N124)&amp;"-"&amp;IFERROR(MATCH(O124,miOrdenTarjeta,0),0))</f>
        <v/>
      </c>
      <c r="R124" s="18">
        <f t="shared" ca="1" si="38"/>
        <v>14</v>
      </c>
      <c r="S124" s="18">
        <f t="shared" ca="1" si="49"/>
        <v>17</v>
      </c>
      <c r="T124" s="18" cm="1">
        <f t="array" aca="1" ref="T124" ca="1">IF(S124="","",IF(S124&lt;&gt;S123,1,IF(T123=misLíneas-2,0,T123+1)))</f>
        <v>5</v>
      </c>
      <c r="U124" s="18" t="str" cm="1">
        <f t="array" aca="1" ref="U124" ca="1">IF(OR(T124=0,T124=""),"",INDEX(misCriticidades,S124)&amp;"-"&amp;IFERROR(MATCH(T124,miOrdenTarjeta,0),0))</f>
        <v>1-5</v>
      </c>
      <c r="W124" s="18">
        <f t="shared" ca="1" si="39"/>
        <v>1</v>
      </c>
      <c r="X124" s="18" t="str">
        <f t="shared" ca="1" si="50"/>
        <v/>
      </c>
      <c r="Y124" s="18" t="str" cm="1">
        <f t="array" aca="1" ref="Y124" ca="1">IF(X124="","",IF(X124&lt;&gt;X123,1,IF(Y123=misLíneas-2,0,Y123+1)))</f>
        <v/>
      </c>
      <c r="Z124" s="18" t="str" cm="1">
        <f t="array" aca="1" ref="Z124" ca="1">IF(OR(Y124=0,Y124=""),"",INDEX(misCriticidades,X124)&amp;"-"&amp;IFERROR(MATCH(Y124,miOrdenTarjeta,0),0))</f>
        <v/>
      </c>
      <c r="AB124" s="18">
        <f t="shared" ca="1" si="40"/>
        <v>1</v>
      </c>
      <c r="AC124" s="18" t="str">
        <f t="shared" ca="1" si="31"/>
        <v/>
      </c>
      <c r="AD124" s="18" t="str" cm="1">
        <f t="array" aca="1" ref="AD124" ca="1">IF(AC124="","",IF(AC124&lt;&gt;AC123,1,IF(AD123=misLíneas-2,0,AD123+1)))</f>
        <v/>
      </c>
      <c r="AE124" s="18" t="str" cm="1">
        <f t="array" aca="1" ref="AE124" ca="1">IF(OR(AD124=0,AD124=""),"",INDEX(misCriticidades,AC124)&amp;"-"&amp;IFERROR(MATCH(AD124,miOrdenTarjeta,0),0))</f>
        <v/>
      </c>
      <c r="AG124" s="18">
        <f t="shared" ca="1" si="41"/>
        <v>1</v>
      </c>
      <c r="AH124" s="18" t="str">
        <f t="shared" ca="1" si="32"/>
        <v/>
      </c>
      <c r="AI124" s="18" t="str" cm="1">
        <f t="array" aca="1" ref="AI124" ca="1">IF(AH124="","",IF(AH124&lt;&gt;AH123,1,IF(AI123=misLíneas-2,0,AI123+1)))</f>
        <v/>
      </c>
      <c r="AJ124" s="18" t="str" cm="1">
        <f t="array" aca="1" ref="AJ124" ca="1">IF(OR(AI124=0,AI124=""),"",INDEX(misCriticidades,AH124)&amp;"-"&amp;IFERROR(MATCH(AI124,miOrdenTarjeta,0),0))</f>
        <v/>
      </c>
      <c r="AL124" s="18">
        <f t="shared" ca="1" si="42"/>
        <v>1</v>
      </c>
      <c r="AM124" s="18" t="str">
        <f t="shared" ca="1" si="33"/>
        <v/>
      </c>
      <c r="AN124" s="18" t="str" cm="1">
        <f t="array" aca="1" ref="AN124" ca="1">IF(AM124="","",IF(AM124&lt;&gt;AM123,1,IF(AN123=misLíneas-2,0,AN123+1)))</f>
        <v/>
      </c>
      <c r="AO124" s="18" t="str" cm="1">
        <f t="array" aca="1" ref="AO124" ca="1">IF(OR(AN124=0,AN124=""),"",INDEX(misCriticidades,AM124)&amp;"-"&amp;IFERROR(MATCH(AN124,miOrdenTarjeta,0),0))</f>
        <v/>
      </c>
      <c r="AQ124" s="18">
        <f t="shared" ca="1" si="43"/>
        <v>1</v>
      </c>
      <c r="AR124" s="18" t="str">
        <f t="shared" ca="1" si="34"/>
        <v/>
      </c>
      <c r="AS124" s="18" t="str" cm="1">
        <f t="array" aca="1" ref="AS124" ca="1">IF(AR124="","",IF(AR124&lt;&gt;AR123,1,IF(AS123=misLíneas-2,0,AS123+1)))</f>
        <v/>
      </c>
      <c r="AT124" s="18" t="str" cm="1">
        <f t="array" aca="1" ref="AT124" ca="1">IF(OR(AS124=0,AS124=""),"",INDEX(misCriticidades,AR124)&amp;"-"&amp;IFERROR(MATCH(AS124,miOrdenTarjeta,0),0))</f>
        <v/>
      </c>
      <c r="AV124" s="18">
        <f t="shared" ca="1" si="44"/>
        <v>1</v>
      </c>
      <c r="AW124" s="18" t="str">
        <f t="shared" ca="1" si="35"/>
        <v/>
      </c>
      <c r="AX124" s="18" t="str" cm="1">
        <f t="array" aca="1" ref="AX124" ca="1">IF(AW124="","",IF(AW124&lt;&gt;AW123,1,IF(AX123=misLíneas-2,0,AX123+1)))</f>
        <v/>
      </c>
      <c r="AY124" s="18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18">
        <f t="shared" ca="1" si="45"/>
        <v>1</v>
      </c>
      <c r="D125" s="18" t="str">
        <f t="shared" ca="1" si="46"/>
        <v/>
      </c>
      <c r="E125" s="18" t="str" cm="1">
        <f t="array" aca="1" ref="E125" ca="1">IF(D125="","",IF(D125&lt;&gt;D124,1,IF(E124=misLíneas-2,0,E124+1)))</f>
        <v/>
      </c>
      <c r="F125" s="18" t="str" cm="1">
        <f t="array" aca="1" ref="F125" ca="1">IF(OR(E125=0,E125=""),"",INDEX(misCriticidades,D125)&amp;"-"&amp;IFERROR(MATCH(E125,miOrdenTarjeta,0),0))</f>
        <v/>
      </c>
      <c r="H125" s="18">
        <f t="shared" ca="1" si="36"/>
        <v>1</v>
      </c>
      <c r="I125" s="18" t="str">
        <f t="shared" ca="1" si="47"/>
        <v/>
      </c>
      <c r="J125" s="18" t="str" cm="1">
        <f t="array" aca="1" ref="J125" ca="1">IF(I125="","",IF(I125&lt;&gt;I124,1,IF(J124=misLíneas-2,0,J124+1)))</f>
        <v/>
      </c>
      <c r="K125" s="18" t="str" cm="1">
        <f t="array" aca="1" ref="K125" ca="1">IF(OR(J125=0,J125=""),"",INDEX(misCriticidades,I125)&amp;"-"&amp;IFERROR(MATCH(J125,miOrdenTarjeta,0),0))</f>
        <v/>
      </c>
      <c r="M125" s="18">
        <f t="shared" ca="1" si="37"/>
        <v>1</v>
      </c>
      <c r="N125" s="18" t="str">
        <f t="shared" ca="1" si="48"/>
        <v/>
      </c>
      <c r="O125" s="18" t="str" cm="1">
        <f t="array" aca="1" ref="O125" ca="1">IF(N125="","",IF(N125&lt;&gt;N124,1,IF(O124=misLíneas-2,0,O124+1)))</f>
        <v/>
      </c>
      <c r="P125" s="18" t="str" cm="1">
        <f t="array" aca="1" ref="P125" ca="1">IF(OR(O125=0,O125=""),"",INDEX(misCriticidades,N125)&amp;"-"&amp;IFERROR(MATCH(O125,miOrdenTarjeta,0),0))</f>
        <v/>
      </c>
      <c r="R125" s="18">
        <f t="shared" ca="1" si="38"/>
        <v>14</v>
      </c>
      <c r="S125" s="18">
        <f t="shared" ca="1" si="49"/>
        <v>17</v>
      </c>
      <c r="T125" s="18" cm="1">
        <f t="array" aca="1" ref="T125" ca="1">IF(S125="","",IF(S125&lt;&gt;S124,1,IF(T124=misLíneas-2,0,T124+1)))</f>
        <v>6</v>
      </c>
      <c r="U125" s="18" t="str" cm="1">
        <f t="array" aca="1" ref="U125" ca="1">IF(OR(T125=0,T125=""),"",INDEX(misCriticidades,S125)&amp;"-"&amp;IFERROR(MATCH(T125,miOrdenTarjeta,0),0))</f>
        <v>1-6</v>
      </c>
      <c r="W125" s="18">
        <f t="shared" ca="1" si="39"/>
        <v>1</v>
      </c>
      <c r="X125" s="18" t="str">
        <f t="shared" ca="1" si="50"/>
        <v/>
      </c>
      <c r="Y125" s="18" t="str" cm="1">
        <f t="array" aca="1" ref="Y125" ca="1">IF(X125="","",IF(X125&lt;&gt;X124,1,IF(Y124=misLíneas-2,0,Y124+1)))</f>
        <v/>
      </c>
      <c r="Z125" s="18" t="str" cm="1">
        <f t="array" aca="1" ref="Z125" ca="1">IF(OR(Y125=0,Y125=""),"",INDEX(misCriticidades,X125)&amp;"-"&amp;IFERROR(MATCH(Y125,miOrdenTarjeta,0),0))</f>
        <v/>
      </c>
      <c r="AB125" s="18">
        <f t="shared" ca="1" si="40"/>
        <v>1</v>
      </c>
      <c r="AC125" s="18" t="str">
        <f t="shared" ca="1" si="31"/>
        <v/>
      </c>
      <c r="AD125" s="18" t="str" cm="1">
        <f t="array" aca="1" ref="AD125" ca="1">IF(AC125="","",IF(AC125&lt;&gt;AC124,1,IF(AD124=misLíneas-2,0,AD124+1)))</f>
        <v/>
      </c>
      <c r="AE125" s="18" t="str" cm="1">
        <f t="array" aca="1" ref="AE125" ca="1">IF(OR(AD125=0,AD125=""),"",INDEX(misCriticidades,AC125)&amp;"-"&amp;IFERROR(MATCH(AD125,miOrdenTarjeta,0),0))</f>
        <v/>
      </c>
      <c r="AG125" s="18">
        <f t="shared" ca="1" si="41"/>
        <v>1</v>
      </c>
      <c r="AH125" s="18" t="str">
        <f t="shared" ca="1" si="32"/>
        <v/>
      </c>
      <c r="AI125" s="18" t="str" cm="1">
        <f t="array" aca="1" ref="AI125" ca="1">IF(AH125="","",IF(AH125&lt;&gt;AH124,1,IF(AI124=misLíneas-2,0,AI124+1)))</f>
        <v/>
      </c>
      <c r="AJ125" s="18" t="str" cm="1">
        <f t="array" aca="1" ref="AJ125" ca="1">IF(OR(AI125=0,AI125=""),"",INDEX(misCriticidades,AH125)&amp;"-"&amp;IFERROR(MATCH(AI125,miOrdenTarjeta,0),0))</f>
        <v/>
      </c>
      <c r="AL125" s="18">
        <f t="shared" ca="1" si="42"/>
        <v>1</v>
      </c>
      <c r="AM125" s="18" t="str">
        <f t="shared" ca="1" si="33"/>
        <v/>
      </c>
      <c r="AN125" s="18" t="str" cm="1">
        <f t="array" aca="1" ref="AN125" ca="1">IF(AM125="","",IF(AM125&lt;&gt;AM124,1,IF(AN124=misLíneas-2,0,AN124+1)))</f>
        <v/>
      </c>
      <c r="AO125" s="18" t="str" cm="1">
        <f t="array" aca="1" ref="AO125" ca="1">IF(OR(AN125=0,AN125=""),"",INDEX(misCriticidades,AM125)&amp;"-"&amp;IFERROR(MATCH(AN125,miOrdenTarjeta,0),0))</f>
        <v/>
      </c>
      <c r="AQ125" s="18">
        <f t="shared" ca="1" si="43"/>
        <v>1</v>
      </c>
      <c r="AR125" s="18" t="str">
        <f t="shared" ca="1" si="34"/>
        <v/>
      </c>
      <c r="AS125" s="18" t="str" cm="1">
        <f t="array" aca="1" ref="AS125" ca="1">IF(AR125="","",IF(AR125&lt;&gt;AR124,1,IF(AS124=misLíneas-2,0,AS124+1)))</f>
        <v/>
      </c>
      <c r="AT125" s="18" t="str" cm="1">
        <f t="array" aca="1" ref="AT125" ca="1">IF(OR(AS125=0,AS125=""),"",INDEX(misCriticidades,AR125)&amp;"-"&amp;IFERROR(MATCH(AS125,miOrdenTarjeta,0),0))</f>
        <v/>
      </c>
      <c r="AV125" s="18">
        <f t="shared" ca="1" si="44"/>
        <v>1</v>
      </c>
      <c r="AW125" s="18" t="str">
        <f t="shared" ca="1" si="35"/>
        <v/>
      </c>
      <c r="AX125" s="18" t="str" cm="1">
        <f t="array" aca="1" ref="AX125" ca="1">IF(AW125="","",IF(AW125&lt;&gt;AW124,1,IF(AX124=misLíneas-2,0,AX124+1)))</f>
        <v/>
      </c>
      <c r="AY125" s="18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18">
        <f t="shared" ca="1" si="45"/>
        <v>1</v>
      </c>
      <c r="D126" s="18" t="str">
        <f t="shared" ca="1" si="46"/>
        <v/>
      </c>
      <c r="E126" s="18" t="str" cm="1">
        <f t="array" aca="1" ref="E126" ca="1">IF(D126="","",IF(D126&lt;&gt;D125,1,IF(E125=misLíneas-2,0,E125+1)))</f>
        <v/>
      </c>
      <c r="F126" s="18" t="str" cm="1">
        <f t="array" aca="1" ref="F126" ca="1">IF(OR(E126=0,E126=""),"",INDEX(misCriticidades,D126)&amp;"-"&amp;IFERROR(MATCH(E126,miOrdenTarjeta,0),0))</f>
        <v/>
      </c>
      <c r="H126" s="18">
        <f t="shared" ca="1" si="36"/>
        <v>1</v>
      </c>
      <c r="I126" s="18" t="str">
        <f t="shared" ca="1" si="47"/>
        <v/>
      </c>
      <c r="J126" s="18" t="str" cm="1">
        <f t="array" aca="1" ref="J126" ca="1">IF(I126="","",IF(I126&lt;&gt;I125,1,IF(J125=misLíneas-2,0,J125+1)))</f>
        <v/>
      </c>
      <c r="K126" s="18" t="str" cm="1">
        <f t="array" aca="1" ref="K126" ca="1">IF(OR(J126=0,J126=""),"",INDEX(misCriticidades,I126)&amp;"-"&amp;IFERROR(MATCH(J126,miOrdenTarjeta,0),0))</f>
        <v/>
      </c>
      <c r="M126" s="18">
        <f t="shared" ca="1" si="37"/>
        <v>1</v>
      </c>
      <c r="N126" s="18" t="str">
        <f t="shared" ca="1" si="48"/>
        <v/>
      </c>
      <c r="O126" s="18" t="str" cm="1">
        <f t="array" aca="1" ref="O126" ca="1">IF(N126="","",IF(N126&lt;&gt;N125,1,IF(O125=misLíneas-2,0,O125+1)))</f>
        <v/>
      </c>
      <c r="P126" s="18" t="str" cm="1">
        <f t="array" aca="1" ref="P126" ca="1">IF(OR(O126=0,O126=""),"",INDEX(misCriticidades,N126)&amp;"-"&amp;IFERROR(MATCH(O126,miOrdenTarjeta,0),0))</f>
        <v/>
      </c>
      <c r="R126" s="18">
        <f t="shared" ca="1" si="38"/>
        <v>14</v>
      </c>
      <c r="S126" s="18">
        <f t="shared" ca="1" si="49"/>
        <v>17</v>
      </c>
      <c r="T126" s="18" cm="1">
        <f t="array" aca="1" ref="T126" ca="1">IF(S126="","",IF(S126&lt;&gt;S125,1,IF(T125=misLíneas-2,0,T125+1)))</f>
        <v>7</v>
      </c>
      <c r="U126" s="18" t="str" cm="1">
        <f t="array" aca="1" ref="U126" ca="1">IF(OR(T126=0,T126=""),"",INDEX(misCriticidades,S126)&amp;"-"&amp;IFERROR(MATCH(T126,miOrdenTarjeta,0),0))</f>
        <v>1-7</v>
      </c>
      <c r="W126" s="18">
        <f t="shared" ca="1" si="39"/>
        <v>1</v>
      </c>
      <c r="X126" s="18" t="str">
        <f t="shared" ca="1" si="50"/>
        <v/>
      </c>
      <c r="Y126" s="18" t="str" cm="1">
        <f t="array" aca="1" ref="Y126" ca="1">IF(X126="","",IF(X126&lt;&gt;X125,1,IF(Y125=misLíneas-2,0,Y125+1)))</f>
        <v/>
      </c>
      <c r="Z126" s="18" t="str" cm="1">
        <f t="array" aca="1" ref="Z126" ca="1">IF(OR(Y126=0,Y126=""),"",INDEX(misCriticidades,X126)&amp;"-"&amp;IFERROR(MATCH(Y126,miOrdenTarjeta,0),0))</f>
        <v/>
      </c>
      <c r="AB126" s="18">
        <f t="shared" ca="1" si="40"/>
        <v>1</v>
      </c>
      <c r="AC126" s="18" t="str">
        <f t="shared" ca="1" si="31"/>
        <v/>
      </c>
      <c r="AD126" s="18" t="str" cm="1">
        <f t="array" aca="1" ref="AD126" ca="1">IF(AC126="","",IF(AC126&lt;&gt;AC125,1,IF(AD125=misLíneas-2,0,AD125+1)))</f>
        <v/>
      </c>
      <c r="AE126" s="18" t="str" cm="1">
        <f t="array" aca="1" ref="AE126" ca="1">IF(OR(AD126=0,AD126=""),"",INDEX(misCriticidades,AC126)&amp;"-"&amp;IFERROR(MATCH(AD126,miOrdenTarjeta,0),0))</f>
        <v/>
      </c>
      <c r="AG126" s="18">
        <f t="shared" ca="1" si="41"/>
        <v>1</v>
      </c>
      <c r="AH126" s="18" t="str">
        <f t="shared" ca="1" si="32"/>
        <v/>
      </c>
      <c r="AI126" s="18" t="str" cm="1">
        <f t="array" aca="1" ref="AI126" ca="1">IF(AH126="","",IF(AH126&lt;&gt;AH125,1,IF(AI125=misLíneas-2,0,AI125+1)))</f>
        <v/>
      </c>
      <c r="AJ126" s="18" t="str" cm="1">
        <f t="array" aca="1" ref="AJ126" ca="1">IF(OR(AI126=0,AI126=""),"",INDEX(misCriticidades,AH126)&amp;"-"&amp;IFERROR(MATCH(AI126,miOrdenTarjeta,0),0))</f>
        <v/>
      </c>
      <c r="AL126" s="18">
        <f t="shared" ca="1" si="42"/>
        <v>1</v>
      </c>
      <c r="AM126" s="18" t="str">
        <f t="shared" ca="1" si="33"/>
        <v/>
      </c>
      <c r="AN126" s="18" t="str" cm="1">
        <f t="array" aca="1" ref="AN126" ca="1">IF(AM126="","",IF(AM126&lt;&gt;AM125,1,IF(AN125=misLíneas-2,0,AN125+1)))</f>
        <v/>
      </c>
      <c r="AO126" s="18" t="str" cm="1">
        <f t="array" aca="1" ref="AO126" ca="1">IF(OR(AN126=0,AN126=""),"",INDEX(misCriticidades,AM126)&amp;"-"&amp;IFERROR(MATCH(AN126,miOrdenTarjeta,0),0))</f>
        <v/>
      </c>
      <c r="AQ126" s="18">
        <f t="shared" ca="1" si="43"/>
        <v>1</v>
      </c>
      <c r="AR126" s="18" t="str">
        <f t="shared" ca="1" si="34"/>
        <v/>
      </c>
      <c r="AS126" s="18" t="str" cm="1">
        <f t="array" aca="1" ref="AS126" ca="1">IF(AR126="","",IF(AR126&lt;&gt;AR125,1,IF(AS125=misLíneas-2,0,AS125+1)))</f>
        <v/>
      </c>
      <c r="AT126" s="18" t="str" cm="1">
        <f t="array" aca="1" ref="AT126" ca="1">IF(OR(AS126=0,AS126=""),"",INDEX(misCriticidades,AR126)&amp;"-"&amp;IFERROR(MATCH(AS126,miOrdenTarjeta,0),0))</f>
        <v/>
      </c>
      <c r="AV126" s="18">
        <f t="shared" ca="1" si="44"/>
        <v>1</v>
      </c>
      <c r="AW126" s="18" t="str">
        <f t="shared" ca="1" si="35"/>
        <v/>
      </c>
      <c r="AX126" s="18" t="str" cm="1">
        <f t="array" aca="1" ref="AX126" ca="1">IF(AW126="","",IF(AW126&lt;&gt;AW125,1,IF(AX125=misLíneas-2,0,AX125+1)))</f>
        <v/>
      </c>
      <c r="AY126" s="18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18">
        <f t="shared" ca="1" si="45"/>
        <v>1</v>
      </c>
      <c r="D127" s="18" t="str">
        <f t="shared" ca="1" si="46"/>
        <v/>
      </c>
      <c r="E127" s="18" t="str" cm="1">
        <f t="array" aca="1" ref="E127" ca="1">IF(D127="","",IF(D127&lt;&gt;D126,1,IF(E126=misLíneas-2,0,E126+1)))</f>
        <v/>
      </c>
      <c r="F127" s="18" t="str" cm="1">
        <f t="array" aca="1" ref="F127" ca="1">IF(OR(E127=0,E127=""),"",INDEX(misCriticidades,D127)&amp;"-"&amp;IFERROR(MATCH(E127,miOrdenTarjeta,0),0))</f>
        <v/>
      </c>
      <c r="H127" s="18">
        <f t="shared" ca="1" si="36"/>
        <v>1</v>
      </c>
      <c r="I127" s="18" t="str">
        <f t="shared" ca="1" si="47"/>
        <v/>
      </c>
      <c r="J127" s="18" t="str" cm="1">
        <f t="array" aca="1" ref="J127" ca="1">IF(I127="","",IF(I127&lt;&gt;I126,1,IF(J126=misLíneas-2,0,J126+1)))</f>
        <v/>
      </c>
      <c r="K127" s="18" t="str" cm="1">
        <f t="array" aca="1" ref="K127" ca="1">IF(OR(J127=0,J127=""),"",INDEX(misCriticidades,I127)&amp;"-"&amp;IFERROR(MATCH(J127,miOrdenTarjeta,0),0))</f>
        <v/>
      </c>
      <c r="M127" s="18">
        <f t="shared" ca="1" si="37"/>
        <v>1</v>
      </c>
      <c r="N127" s="18" t="str">
        <f t="shared" ca="1" si="48"/>
        <v/>
      </c>
      <c r="O127" s="18" t="str" cm="1">
        <f t="array" aca="1" ref="O127" ca="1">IF(N127="","",IF(N127&lt;&gt;N126,1,IF(O126=misLíneas-2,0,O126+1)))</f>
        <v/>
      </c>
      <c r="P127" s="18" t="str" cm="1">
        <f t="array" aca="1" ref="P127" ca="1">IF(OR(O127=0,O127=""),"",INDEX(misCriticidades,N127)&amp;"-"&amp;IFERROR(MATCH(O127,miOrdenTarjeta,0),0))</f>
        <v/>
      </c>
      <c r="R127" s="18">
        <f t="shared" ca="1" si="38"/>
        <v>14</v>
      </c>
      <c r="S127" s="18">
        <f t="shared" ca="1" si="49"/>
        <v>17</v>
      </c>
      <c r="T127" s="18" cm="1">
        <f t="array" aca="1" ref="T127" ca="1">IF(S127="","",IF(S127&lt;&gt;S126,1,IF(T126=misLíneas-2,0,T126+1)))</f>
        <v>8</v>
      </c>
      <c r="U127" s="18" t="str" cm="1">
        <f t="array" aca="1" ref="U127" ca="1">IF(OR(T127=0,T127=""),"",INDEX(misCriticidades,S127)&amp;"-"&amp;IFERROR(MATCH(T127,miOrdenTarjeta,0),0))</f>
        <v>1-8</v>
      </c>
      <c r="W127" s="18">
        <f t="shared" ca="1" si="39"/>
        <v>1</v>
      </c>
      <c r="X127" s="18" t="str">
        <f t="shared" ca="1" si="50"/>
        <v/>
      </c>
      <c r="Y127" s="18" t="str" cm="1">
        <f t="array" aca="1" ref="Y127" ca="1">IF(X127="","",IF(X127&lt;&gt;X126,1,IF(Y126=misLíneas-2,0,Y126+1)))</f>
        <v/>
      </c>
      <c r="Z127" s="18" t="str" cm="1">
        <f t="array" aca="1" ref="Z127" ca="1">IF(OR(Y127=0,Y127=""),"",INDEX(misCriticidades,X127)&amp;"-"&amp;IFERROR(MATCH(Y127,miOrdenTarjeta,0),0))</f>
        <v/>
      </c>
      <c r="AB127" s="18">
        <f t="shared" ca="1" si="40"/>
        <v>1</v>
      </c>
      <c r="AC127" s="18" t="str">
        <f t="shared" ca="1" si="31"/>
        <v/>
      </c>
      <c r="AD127" s="18" t="str" cm="1">
        <f t="array" aca="1" ref="AD127" ca="1">IF(AC127="","",IF(AC127&lt;&gt;AC126,1,IF(AD126=misLíneas-2,0,AD126+1)))</f>
        <v/>
      </c>
      <c r="AE127" s="18" t="str" cm="1">
        <f t="array" aca="1" ref="AE127" ca="1">IF(OR(AD127=0,AD127=""),"",INDEX(misCriticidades,AC127)&amp;"-"&amp;IFERROR(MATCH(AD127,miOrdenTarjeta,0),0))</f>
        <v/>
      </c>
      <c r="AG127" s="18">
        <f t="shared" ca="1" si="41"/>
        <v>1</v>
      </c>
      <c r="AH127" s="18" t="str">
        <f t="shared" ca="1" si="32"/>
        <v/>
      </c>
      <c r="AI127" s="18" t="str" cm="1">
        <f t="array" aca="1" ref="AI127" ca="1">IF(AH127="","",IF(AH127&lt;&gt;AH126,1,IF(AI126=misLíneas-2,0,AI126+1)))</f>
        <v/>
      </c>
      <c r="AJ127" s="18" t="str" cm="1">
        <f t="array" aca="1" ref="AJ127" ca="1">IF(OR(AI127=0,AI127=""),"",INDEX(misCriticidades,AH127)&amp;"-"&amp;IFERROR(MATCH(AI127,miOrdenTarjeta,0),0))</f>
        <v/>
      </c>
      <c r="AL127" s="18">
        <f t="shared" ca="1" si="42"/>
        <v>1</v>
      </c>
      <c r="AM127" s="18" t="str">
        <f t="shared" ca="1" si="33"/>
        <v/>
      </c>
      <c r="AN127" s="18" t="str" cm="1">
        <f t="array" aca="1" ref="AN127" ca="1">IF(AM127="","",IF(AM127&lt;&gt;AM126,1,IF(AN126=misLíneas-2,0,AN126+1)))</f>
        <v/>
      </c>
      <c r="AO127" s="18" t="str" cm="1">
        <f t="array" aca="1" ref="AO127" ca="1">IF(OR(AN127=0,AN127=""),"",INDEX(misCriticidades,AM127)&amp;"-"&amp;IFERROR(MATCH(AN127,miOrdenTarjeta,0),0))</f>
        <v/>
      </c>
      <c r="AQ127" s="18">
        <f t="shared" ca="1" si="43"/>
        <v>1</v>
      </c>
      <c r="AR127" s="18" t="str">
        <f t="shared" ca="1" si="34"/>
        <v/>
      </c>
      <c r="AS127" s="18" t="str" cm="1">
        <f t="array" aca="1" ref="AS127" ca="1">IF(AR127="","",IF(AR127&lt;&gt;AR126,1,IF(AS126=misLíneas-2,0,AS126+1)))</f>
        <v/>
      </c>
      <c r="AT127" s="18" t="str" cm="1">
        <f t="array" aca="1" ref="AT127" ca="1">IF(OR(AS127=0,AS127=""),"",INDEX(misCriticidades,AR127)&amp;"-"&amp;IFERROR(MATCH(AS127,miOrdenTarjeta,0),0))</f>
        <v/>
      </c>
      <c r="AV127" s="18">
        <f t="shared" ca="1" si="44"/>
        <v>1</v>
      </c>
      <c r="AW127" s="18" t="str">
        <f t="shared" ca="1" si="35"/>
        <v/>
      </c>
      <c r="AX127" s="18" t="str" cm="1">
        <f t="array" aca="1" ref="AX127" ca="1">IF(AW127="","",IF(AW127&lt;&gt;AW126,1,IF(AX126=misLíneas-2,0,AX126+1)))</f>
        <v/>
      </c>
      <c r="AY127" s="18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18">
        <f t="shared" ca="1" si="45"/>
        <v>1</v>
      </c>
      <c r="D128" s="18" t="str">
        <f t="shared" ca="1" si="46"/>
        <v/>
      </c>
      <c r="E128" s="18" t="str" cm="1">
        <f t="array" aca="1" ref="E128" ca="1">IF(D128="","",IF(D128&lt;&gt;D127,1,IF(E127=misLíneas-2,0,E127+1)))</f>
        <v/>
      </c>
      <c r="F128" s="18" t="str" cm="1">
        <f t="array" aca="1" ref="F128" ca="1">IF(OR(E128=0,E128=""),"",INDEX(misCriticidades,D128)&amp;"-"&amp;IFERROR(MATCH(E128,miOrdenTarjeta,0),0))</f>
        <v/>
      </c>
      <c r="H128" s="18">
        <f t="shared" ca="1" si="36"/>
        <v>1</v>
      </c>
      <c r="I128" s="18" t="str">
        <f t="shared" ca="1" si="47"/>
        <v/>
      </c>
      <c r="J128" s="18" t="str" cm="1">
        <f t="array" aca="1" ref="J128" ca="1">IF(I128="","",IF(I128&lt;&gt;I127,1,IF(J127=misLíneas-2,0,J127+1)))</f>
        <v/>
      </c>
      <c r="K128" s="18" t="str" cm="1">
        <f t="array" aca="1" ref="K128" ca="1">IF(OR(J128=0,J128=""),"",INDEX(misCriticidades,I128)&amp;"-"&amp;IFERROR(MATCH(J128,miOrdenTarjeta,0),0))</f>
        <v/>
      </c>
      <c r="M128" s="18">
        <f t="shared" ca="1" si="37"/>
        <v>1</v>
      </c>
      <c r="N128" s="18" t="str">
        <f t="shared" ca="1" si="48"/>
        <v/>
      </c>
      <c r="O128" s="18" t="str" cm="1">
        <f t="array" aca="1" ref="O128" ca="1">IF(N128="","",IF(N128&lt;&gt;N127,1,IF(O127=misLíneas-2,0,O127+1)))</f>
        <v/>
      </c>
      <c r="P128" s="18" t="str" cm="1">
        <f t="array" aca="1" ref="P128" ca="1">IF(OR(O128=0,O128=""),"",INDEX(misCriticidades,N128)&amp;"-"&amp;IFERROR(MATCH(O128,miOrdenTarjeta,0),0))</f>
        <v/>
      </c>
      <c r="R128" s="18">
        <f t="shared" ca="1" si="38"/>
        <v>14</v>
      </c>
      <c r="S128" s="18">
        <f t="shared" ca="1" si="49"/>
        <v>17</v>
      </c>
      <c r="T128" s="18" cm="1">
        <f t="array" aca="1" ref="T128" ca="1">IF(S128="","",IF(S128&lt;&gt;S127,1,IF(T127=misLíneas-2,0,T127+1)))</f>
        <v>0</v>
      </c>
      <c r="U128" s="18" t="str" cm="1">
        <f t="array" aca="1" ref="U128" ca="1">IF(OR(T128=0,T128=""),"",INDEX(misCriticidades,S128)&amp;"-"&amp;IFERROR(MATCH(T128,miOrdenTarjeta,0),0))</f>
        <v/>
      </c>
      <c r="W128" s="18">
        <f t="shared" ca="1" si="39"/>
        <v>1</v>
      </c>
      <c r="X128" s="18" t="str">
        <f t="shared" ca="1" si="50"/>
        <v/>
      </c>
      <c r="Y128" s="18" t="str" cm="1">
        <f t="array" aca="1" ref="Y128" ca="1">IF(X128="","",IF(X128&lt;&gt;X127,1,IF(Y127=misLíneas-2,0,Y127+1)))</f>
        <v/>
      </c>
      <c r="Z128" s="18" t="str" cm="1">
        <f t="array" aca="1" ref="Z128" ca="1">IF(OR(Y128=0,Y128=""),"",INDEX(misCriticidades,X128)&amp;"-"&amp;IFERROR(MATCH(Y128,miOrdenTarjeta,0),0))</f>
        <v/>
      </c>
      <c r="AB128" s="18">
        <f t="shared" ca="1" si="40"/>
        <v>1</v>
      </c>
      <c r="AC128" s="18" t="str">
        <f t="shared" ca="1" si="31"/>
        <v/>
      </c>
      <c r="AD128" s="18" t="str" cm="1">
        <f t="array" aca="1" ref="AD128" ca="1">IF(AC128="","",IF(AC128&lt;&gt;AC127,1,IF(AD127=misLíneas-2,0,AD127+1)))</f>
        <v/>
      </c>
      <c r="AE128" s="18" t="str" cm="1">
        <f t="array" aca="1" ref="AE128" ca="1">IF(OR(AD128=0,AD128=""),"",INDEX(misCriticidades,AC128)&amp;"-"&amp;IFERROR(MATCH(AD128,miOrdenTarjeta,0),0))</f>
        <v/>
      </c>
      <c r="AG128" s="18">
        <f t="shared" ca="1" si="41"/>
        <v>1</v>
      </c>
      <c r="AH128" s="18" t="str">
        <f t="shared" ca="1" si="32"/>
        <v/>
      </c>
      <c r="AI128" s="18" t="str" cm="1">
        <f t="array" aca="1" ref="AI128" ca="1">IF(AH128="","",IF(AH128&lt;&gt;AH127,1,IF(AI127=misLíneas-2,0,AI127+1)))</f>
        <v/>
      </c>
      <c r="AJ128" s="18" t="str" cm="1">
        <f t="array" aca="1" ref="AJ128" ca="1">IF(OR(AI128=0,AI128=""),"",INDEX(misCriticidades,AH128)&amp;"-"&amp;IFERROR(MATCH(AI128,miOrdenTarjeta,0),0))</f>
        <v/>
      </c>
      <c r="AL128" s="18">
        <f t="shared" ca="1" si="42"/>
        <v>1</v>
      </c>
      <c r="AM128" s="18" t="str">
        <f t="shared" ca="1" si="33"/>
        <v/>
      </c>
      <c r="AN128" s="18" t="str" cm="1">
        <f t="array" aca="1" ref="AN128" ca="1">IF(AM128="","",IF(AM128&lt;&gt;AM127,1,IF(AN127=misLíneas-2,0,AN127+1)))</f>
        <v/>
      </c>
      <c r="AO128" s="18" t="str" cm="1">
        <f t="array" aca="1" ref="AO128" ca="1">IF(OR(AN128=0,AN128=""),"",INDEX(misCriticidades,AM128)&amp;"-"&amp;IFERROR(MATCH(AN128,miOrdenTarjeta,0),0))</f>
        <v/>
      </c>
      <c r="AQ128" s="18">
        <f t="shared" ca="1" si="43"/>
        <v>1</v>
      </c>
      <c r="AR128" s="18" t="str">
        <f t="shared" ca="1" si="34"/>
        <v/>
      </c>
      <c r="AS128" s="18" t="str" cm="1">
        <f t="array" aca="1" ref="AS128" ca="1">IF(AR128="","",IF(AR128&lt;&gt;AR127,1,IF(AS127=misLíneas-2,0,AS127+1)))</f>
        <v/>
      </c>
      <c r="AT128" s="18" t="str" cm="1">
        <f t="array" aca="1" ref="AT128" ca="1">IF(OR(AS128=0,AS128=""),"",INDEX(misCriticidades,AR128)&amp;"-"&amp;IFERROR(MATCH(AS128,miOrdenTarjeta,0),0))</f>
        <v/>
      </c>
      <c r="AV128" s="18">
        <f t="shared" ca="1" si="44"/>
        <v>1</v>
      </c>
      <c r="AW128" s="18" t="str">
        <f t="shared" ca="1" si="35"/>
        <v/>
      </c>
      <c r="AX128" s="18" t="str" cm="1">
        <f t="array" aca="1" ref="AX128" ca="1">IF(AW128="","",IF(AW128&lt;&gt;AW127,1,IF(AX127=misLíneas-2,0,AX127+1)))</f>
        <v/>
      </c>
      <c r="AY128" s="18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18">
        <f t="shared" ca="1" si="45"/>
        <v>1</v>
      </c>
      <c r="D129" s="18" t="str">
        <f t="shared" ca="1" si="46"/>
        <v/>
      </c>
      <c r="E129" s="18" t="str" cm="1">
        <f t="array" aca="1" ref="E129" ca="1">IF(D129="","",IF(D129&lt;&gt;D128,1,IF(E128=misLíneas-2,0,E128+1)))</f>
        <v/>
      </c>
      <c r="F129" s="18" t="str" cm="1">
        <f t="array" aca="1" ref="F129" ca="1">IF(OR(E129=0,E129=""),"",INDEX(misCriticidades,D129)&amp;"-"&amp;IFERROR(MATCH(E129,miOrdenTarjeta,0),0))</f>
        <v/>
      </c>
      <c r="H129" s="18">
        <f t="shared" ca="1" si="36"/>
        <v>1</v>
      </c>
      <c r="I129" s="18" t="str">
        <f t="shared" ca="1" si="47"/>
        <v/>
      </c>
      <c r="J129" s="18" t="str" cm="1">
        <f t="array" aca="1" ref="J129" ca="1">IF(I129="","",IF(I129&lt;&gt;I128,1,IF(J128=misLíneas-2,0,J128+1)))</f>
        <v/>
      </c>
      <c r="K129" s="18" t="str" cm="1">
        <f t="array" aca="1" ref="K129" ca="1">IF(OR(J129=0,J129=""),"",INDEX(misCriticidades,I129)&amp;"-"&amp;IFERROR(MATCH(J129,miOrdenTarjeta,0),0))</f>
        <v/>
      </c>
      <c r="M129" s="18">
        <f t="shared" ca="1" si="37"/>
        <v>1</v>
      </c>
      <c r="N129" s="18" t="str">
        <f t="shared" ca="1" si="48"/>
        <v/>
      </c>
      <c r="O129" s="18" t="str" cm="1">
        <f t="array" aca="1" ref="O129" ca="1">IF(N129="","",IF(N129&lt;&gt;N128,1,IF(O128=misLíneas-2,0,O128+1)))</f>
        <v/>
      </c>
      <c r="P129" s="18" t="str" cm="1">
        <f t="array" aca="1" ref="P129" ca="1">IF(OR(O129=0,O129=""),"",INDEX(misCriticidades,N129)&amp;"-"&amp;IFERROR(MATCH(O129,miOrdenTarjeta,0),0))</f>
        <v/>
      </c>
      <c r="R129" s="18">
        <f t="shared" ca="1" si="38"/>
        <v>15</v>
      </c>
      <c r="S129" s="18">
        <f t="shared" ca="1" si="49"/>
        <v>16</v>
      </c>
      <c r="T129" s="18" cm="1">
        <f t="array" aca="1" ref="T129" ca="1">IF(S129="","",IF(S129&lt;&gt;S128,1,IF(T128=misLíneas-2,0,T128+1)))</f>
        <v>1</v>
      </c>
      <c r="U129" s="18" t="str" cm="1">
        <f t="array" aca="1" ref="U129" ca="1">IF(OR(T129=0,T129=""),"",INDEX(misCriticidades,S129)&amp;"-"&amp;IFERROR(MATCH(T129,miOrdenTarjeta,0),0))</f>
        <v>2-1</v>
      </c>
      <c r="W129" s="18">
        <f t="shared" ca="1" si="39"/>
        <v>1</v>
      </c>
      <c r="X129" s="18" t="str">
        <f t="shared" ca="1" si="50"/>
        <v/>
      </c>
      <c r="Y129" s="18" t="str" cm="1">
        <f t="array" aca="1" ref="Y129" ca="1">IF(X129="","",IF(X129&lt;&gt;X128,1,IF(Y128=misLíneas-2,0,Y128+1)))</f>
        <v/>
      </c>
      <c r="Z129" s="18" t="str" cm="1">
        <f t="array" aca="1" ref="Z129" ca="1">IF(OR(Y129=0,Y129=""),"",INDEX(misCriticidades,X129)&amp;"-"&amp;IFERROR(MATCH(Y129,miOrdenTarjeta,0),0))</f>
        <v/>
      </c>
      <c r="AB129" s="18">
        <f t="shared" ca="1" si="40"/>
        <v>1</v>
      </c>
      <c r="AC129" s="18" t="str">
        <f t="shared" ca="1" si="31"/>
        <v/>
      </c>
      <c r="AD129" s="18" t="str" cm="1">
        <f t="array" aca="1" ref="AD129" ca="1">IF(AC129="","",IF(AC129&lt;&gt;AC128,1,IF(AD128=misLíneas-2,0,AD128+1)))</f>
        <v/>
      </c>
      <c r="AE129" s="18" t="str" cm="1">
        <f t="array" aca="1" ref="AE129" ca="1">IF(OR(AD129=0,AD129=""),"",INDEX(misCriticidades,AC129)&amp;"-"&amp;IFERROR(MATCH(AD129,miOrdenTarjeta,0),0))</f>
        <v/>
      </c>
      <c r="AG129" s="18">
        <f t="shared" ca="1" si="41"/>
        <v>1</v>
      </c>
      <c r="AH129" s="18" t="str">
        <f t="shared" ca="1" si="32"/>
        <v/>
      </c>
      <c r="AI129" s="18" t="str" cm="1">
        <f t="array" aca="1" ref="AI129" ca="1">IF(AH129="","",IF(AH129&lt;&gt;AH128,1,IF(AI128=misLíneas-2,0,AI128+1)))</f>
        <v/>
      </c>
      <c r="AJ129" s="18" t="str" cm="1">
        <f t="array" aca="1" ref="AJ129" ca="1">IF(OR(AI129=0,AI129=""),"",INDEX(misCriticidades,AH129)&amp;"-"&amp;IFERROR(MATCH(AI129,miOrdenTarjeta,0),0))</f>
        <v/>
      </c>
      <c r="AL129" s="18">
        <f t="shared" ca="1" si="42"/>
        <v>1</v>
      </c>
      <c r="AM129" s="18" t="str">
        <f t="shared" ca="1" si="33"/>
        <v/>
      </c>
      <c r="AN129" s="18" t="str" cm="1">
        <f t="array" aca="1" ref="AN129" ca="1">IF(AM129="","",IF(AM129&lt;&gt;AM128,1,IF(AN128=misLíneas-2,0,AN128+1)))</f>
        <v/>
      </c>
      <c r="AO129" s="18" t="str" cm="1">
        <f t="array" aca="1" ref="AO129" ca="1">IF(OR(AN129=0,AN129=""),"",INDEX(misCriticidades,AM129)&amp;"-"&amp;IFERROR(MATCH(AN129,miOrdenTarjeta,0),0))</f>
        <v/>
      </c>
      <c r="AQ129" s="18">
        <f t="shared" ca="1" si="43"/>
        <v>1</v>
      </c>
      <c r="AR129" s="18" t="str">
        <f t="shared" ca="1" si="34"/>
        <v/>
      </c>
      <c r="AS129" s="18" t="str" cm="1">
        <f t="array" aca="1" ref="AS129" ca="1">IF(AR129="","",IF(AR129&lt;&gt;AR128,1,IF(AS128=misLíneas-2,0,AS128+1)))</f>
        <v/>
      </c>
      <c r="AT129" s="18" t="str" cm="1">
        <f t="array" aca="1" ref="AT129" ca="1">IF(OR(AS129=0,AS129=""),"",INDEX(misCriticidades,AR129)&amp;"-"&amp;IFERROR(MATCH(AS129,miOrdenTarjeta,0),0))</f>
        <v/>
      </c>
      <c r="AV129" s="18">
        <f t="shared" ca="1" si="44"/>
        <v>1</v>
      </c>
      <c r="AW129" s="18" t="str">
        <f t="shared" ca="1" si="35"/>
        <v/>
      </c>
      <c r="AX129" s="18" t="str" cm="1">
        <f t="array" aca="1" ref="AX129" ca="1">IF(AW129="","",IF(AW129&lt;&gt;AW128,1,IF(AX128=misLíneas-2,0,AX128+1)))</f>
        <v/>
      </c>
      <c r="AY129" s="18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18">
        <f t="shared" ca="1" si="45"/>
        <v>1</v>
      </c>
      <c r="D130" s="18" t="str">
        <f t="shared" ca="1" si="46"/>
        <v/>
      </c>
      <c r="E130" s="18" t="str" cm="1">
        <f t="array" aca="1" ref="E130" ca="1">IF(D130="","",IF(D130&lt;&gt;D129,1,IF(E129=misLíneas-2,0,E129+1)))</f>
        <v/>
      </c>
      <c r="F130" s="18" t="str" cm="1">
        <f t="array" aca="1" ref="F130" ca="1">IF(OR(E130=0,E130=""),"",INDEX(misCriticidades,D130)&amp;"-"&amp;IFERROR(MATCH(E130,miOrdenTarjeta,0),0))</f>
        <v/>
      </c>
      <c r="H130" s="18">
        <f t="shared" ca="1" si="36"/>
        <v>1</v>
      </c>
      <c r="I130" s="18" t="str">
        <f t="shared" ca="1" si="47"/>
        <v/>
      </c>
      <c r="J130" s="18" t="str" cm="1">
        <f t="array" aca="1" ref="J130" ca="1">IF(I130="","",IF(I130&lt;&gt;I129,1,IF(J129=misLíneas-2,0,J129+1)))</f>
        <v/>
      </c>
      <c r="K130" s="18" t="str" cm="1">
        <f t="array" aca="1" ref="K130" ca="1">IF(OR(J130=0,J130=""),"",INDEX(misCriticidades,I130)&amp;"-"&amp;IFERROR(MATCH(J130,miOrdenTarjeta,0),0))</f>
        <v/>
      </c>
      <c r="M130" s="18">
        <f t="shared" ca="1" si="37"/>
        <v>1</v>
      </c>
      <c r="N130" s="18" t="str">
        <f t="shared" ca="1" si="48"/>
        <v/>
      </c>
      <c r="O130" s="18" t="str" cm="1">
        <f t="array" aca="1" ref="O130" ca="1">IF(N130="","",IF(N130&lt;&gt;N129,1,IF(O129=misLíneas-2,0,O129+1)))</f>
        <v/>
      </c>
      <c r="P130" s="18" t="str" cm="1">
        <f t="array" aca="1" ref="P130" ca="1">IF(OR(O130=0,O130=""),"",INDEX(misCriticidades,N130)&amp;"-"&amp;IFERROR(MATCH(O130,miOrdenTarjeta,0),0))</f>
        <v/>
      </c>
      <c r="R130" s="18">
        <f t="shared" ca="1" si="38"/>
        <v>15</v>
      </c>
      <c r="S130" s="18">
        <f t="shared" ca="1" si="49"/>
        <v>16</v>
      </c>
      <c r="T130" s="18" cm="1">
        <f t="array" aca="1" ref="T130" ca="1">IF(S130="","",IF(S130&lt;&gt;S129,1,IF(T129=misLíneas-2,0,T129+1)))</f>
        <v>2</v>
      </c>
      <c r="U130" s="18" t="str" cm="1">
        <f t="array" aca="1" ref="U130" ca="1">IF(OR(T130=0,T130=""),"",INDEX(misCriticidades,S130)&amp;"-"&amp;IFERROR(MATCH(T130,miOrdenTarjeta,0),0))</f>
        <v>2-2</v>
      </c>
      <c r="W130" s="18">
        <f t="shared" ca="1" si="39"/>
        <v>1</v>
      </c>
      <c r="X130" s="18" t="str">
        <f t="shared" ca="1" si="50"/>
        <v/>
      </c>
      <c r="Y130" s="18" t="str" cm="1">
        <f t="array" aca="1" ref="Y130" ca="1">IF(X130="","",IF(X130&lt;&gt;X129,1,IF(Y129=misLíneas-2,0,Y129+1)))</f>
        <v/>
      </c>
      <c r="Z130" s="18" t="str" cm="1">
        <f t="array" aca="1" ref="Z130" ca="1">IF(OR(Y130=0,Y130=""),"",INDEX(misCriticidades,X130)&amp;"-"&amp;IFERROR(MATCH(Y130,miOrdenTarjeta,0),0))</f>
        <v/>
      </c>
      <c r="AB130" s="18">
        <f t="shared" ca="1" si="40"/>
        <v>1</v>
      </c>
      <c r="AC130" s="18" t="str">
        <f t="shared" ca="1" si="31"/>
        <v/>
      </c>
      <c r="AD130" s="18" t="str" cm="1">
        <f t="array" aca="1" ref="AD130" ca="1">IF(AC130="","",IF(AC130&lt;&gt;AC129,1,IF(AD129=misLíneas-2,0,AD129+1)))</f>
        <v/>
      </c>
      <c r="AE130" s="18" t="str" cm="1">
        <f t="array" aca="1" ref="AE130" ca="1">IF(OR(AD130=0,AD130=""),"",INDEX(misCriticidades,AC130)&amp;"-"&amp;IFERROR(MATCH(AD130,miOrdenTarjeta,0),0))</f>
        <v/>
      </c>
      <c r="AG130" s="18">
        <f t="shared" ca="1" si="41"/>
        <v>1</v>
      </c>
      <c r="AH130" s="18" t="str">
        <f t="shared" ca="1" si="32"/>
        <v/>
      </c>
      <c r="AI130" s="18" t="str" cm="1">
        <f t="array" aca="1" ref="AI130" ca="1">IF(AH130="","",IF(AH130&lt;&gt;AH129,1,IF(AI129=misLíneas-2,0,AI129+1)))</f>
        <v/>
      </c>
      <c r="AJ130" s="18" t="str" cm="1">
        <f t="array" aca="1" ref="AJ130" ca="1">IF(OR(AI130=0,AI130=""),"",INDEX(misCriticidades,AH130)&amp;"-"&amp;IFERROR(MATCH(AI130,miOrdenTarjeta,0),0))</f>
        <v/>
      </c>
      <c r="AL130" s="18">
        <f t="shared" ca="1" si="42"/>
        <v>1</v>
      </c>
      <c r="AM130" s="18" t="str">
        <f t="shared" ca="1" si="33"/>
        <v/>
      </c>
      <c r="AN130" s="18" t="str" cm="1">
        <f t="array" aca="1" ref="AN130" ca="1">IF(AM130="","",IF(AM130&lt;&gt;AM129,1,IF(AN129=misLíneas-2,0,AN129+1)))</f>
        <v/>
      </c>
      <c r="AO130" s="18" t="str" cm="1">
        <f t="array" aca="1" ref="AO130" ca="1">IF(OR(AN130=0,AN130=""),"",INDEX(misCriticidades,AM130)&amp;"-"&amp;IFERROR(MATCH(AN130,miOrdenTarjeta,0),0))</f>
        <v/>
      </c>
      <c r="AQ130" s="18">
        <f t="shared" ca="1" si="43"/>
        <v>1</v>
      </c>
      <c r="AR130" s="18" t="str">
        <f t="shared" ca="1" si="34"/>
        <v/>
      </c>
      <c r="AS130" s="18" t="str" cm="1">
        <f t="array" aca="1" ref="AS130" ca="1">IF(AR130="","",IF(AR130&lt;&gt;AR129,1,IF(AS129=misLíneas-2,0,AS129+1)))</f>
        <v/>
      </c>
      <c r="AT130" s="18" t="str" cm="1">
        <f t="array" aca="1" ref="AT130" ca="1">IF(OR(AS130=0,AS130=""),"",INDEX(misCriticidades,AR130)&amp;"-"&amp;IFERROR(MATCH(AS130,miOrdenTarjeta,0),0))</f>
        <v/>
      </c>
      <c r="AV130" s="18">
        <f t="shared" ca="1" si="44"/>
        <v>1</v>
      </c>
      <c r="AW130" s="18" t="str">
        <f t="shared" ca="1" si="35"/>
        <v/>
      </c>
      <c r="AX130" s="18" t="str" cm="1">
        <f t="array" aca="1" ref="AX130" ca="1">IF(AW130="","",IF(AW130&lt;&gt;AW129,1,IF(AX129=misLíneas-2,0,AX129+1)))</f>
        <v/>
      </c>
      <c r="AY130" s="18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18">
        <f t="shared" ca="1" si="45"/>
        <v>1</v>
      </c>
      <c r="D131" s="18" t="str">
        <f t="shared" ref="D131:D162" ca="1" si="51">IF(C131&gt;C130,IFERROR(IF(F$1="v",SMALL(B$2:B$101,C131),LARGE(B$2:B$101,C131)),""),D130)</f>
        <v/>
      </c>
      <c r="E131" s="18" t="str" cm="1">
        <f t="array" aca="1" ref="E131" ca="1">IF(D131="","",IF(D131&lt;&gt;D130,1,IF(E130=misLíneas-2,0,E130+1)))</f>
        <v/>
      </c>
      <c r="F131" s="18" t="str" cm="1">
        <f t="array" aca="1" ref="F131" ca="1">IF(OR(E131=0,E131=""),"",INDEX(misCriticidades,D131)&amp;"-"&amp;IFERROR(MATCH(E131,miOrdenTarjeta,0),0))</f>
        <v/>
      </c>
      <c r="H131" s="18">
        <f t="shared" ca="1" si="36"/>
        <v>1</v>
      </c>
      <c r="I131" s="18" t="str">
        <f t="shared" ref="I131:I162" ca="1" si="52">IF(H131&gt;H130,IFERROR(IF(K$1="v",SMALL(G$2:G$101,H131),LARGE(G$2:G$101,H131)),""),I130)</f>
        <v/>
      </c>
      <c r="J131" s="18" t="str" cm="1">
        <f t="array" aca="1" ref="J131" ca="1">IF(I131="","",IF(I131&lt;&gt;I130,1,IF(J130=misLíneas-2,0,J130+1)))</f>
        <v/>
      </c>
      <c r="K131" s="18" t="str" cm="1">
        <f t="array" aca="1" ref="K131" ca="1">IF(OR(J131=0,J131=""),"",INDEX(misCriticidades,I131)&amp;"-"&amp;IFERROR(MATCH(J131,miOrdenTarjeta,0),0))</f>
        <v/>
      </c>
      <c r="M131" s="18">
        <f t="shared" ca="1" si="37"/>
        <v>1</v>
      </c>
      <c r="N131" s="18" t="str">
        <f t="shared" ref="N131:N162" ca="1" si="53">IF(M131&gt;M130,IFERROR(IF(P$1="v",SMALL(L$2:L$101,M131),LARGE(L$2:L$101,M131)),""),N130)</f>
        <v/>
      </c>
      <c r="O131" s="18" t="str" cm="1">
        <f t="array" aca="1" ref="O131" ca="1">IF(N131="","",IF(N131&lt;&gt;N130,1,IF(O130=misLíneas-2,0,O130+1)))</f>
        <v/>
      </c>
      <c r="P131" s="18" t="str" cm="1">
        <f t="array" aca="1" ref="P131" ca="1">IF(OR(O131=0,O131=""),"",INDEX(misCriticidades,N131)&amp;"-"&amp;IFERROR(MATCH(O131,miOrdenTarjeta,0),0))</f>
        <v/>
      </c>
      <c r="R131" s="18">
        <f t="shared" ca="1" si="38"/>
        <v>15</v>
      </c>
      <c r="S131" s="18">
        <f t="shared" ref="S131:S162" ca="1" si="54">IF(R131&gt;R130,IFERROR(IF(U$1="v",SMALL(Q$2:Q$101,R131),LARGE(Q$2:Q$101,R131)),""),S130)</f>
        <v>16</v>
      </c>
      <c r="T131" s="18" cm="1">
        <f t="array" aca="1" ref="T131" ca="1">IF(S131="","",IF(S131&lt;&gt;S130,1,IF(T130=misLíneas-2,0,T130+1)))</f>
        <v>3</v>
      </c>
      <c r="U131" s="18" t="str" cm="1">
        <f t="array" aca="1" ref="U131" ca="1">IF(OR(T131=0,T131=""),"",INDEX(misCriticidades,S131)&amp;"-"&amp;IFERROR(MATCH(T131,miOrdenTarjeta,0),0))</f>
        <v>2-3</v>
      </c>
      <c r="W131" s="18">
        <f t="shared" ca="1" si="39"/>
        <v>1</v>
      </c>
      <c r="X131" s="18" t="str">
        <f t="shared" ref="X131:X162" ca="1" si="55">IF(W131&gt;W130,IFERROR(IF(Z$1="v",SMALL(V$2:V$101,W131),LARGE(V$2:V$101,W131)),""),X130)</f>
        <v/>
      </c>
      <c r="Y131" s="18" t="str" cm="1">
        <f t="array" aca="1" ref="Y131" ca="1">IF(X131="","",IF(X131&lt;&gt;X130,1,IF(Y130=misLíneas-2,0,Y130+1)))</f>
        <v/>
      </c>
      <c r="Z131" s="18" t="str" cm="1">
        <f t="array" aca="1" ref="Z131" ca="1">IF(OR(Y131=0,Y131=""),"",INDEX(misCriticidades,X131)&amp;"-"&amp;IFERROR(MATCH(Y131,miOrdenTarjeta,0),0))</f>
        <v/>
      </c>
      <c r="AB131" s="18">
        <f t="shared" ca="1" si="40"/>
        <v>1</v>
      </c>
      <c r="AC131" s="18" t="str">
        <f t="shared" ref="AC131:AC194" ca="1" si="56">IF(AB131&gt;AB130,IFERROR(IF(AE$1="v",SMALL(AA$2:AA$101,AB131),LARGE(AA$2:AA$101,AB131)),""),AC130)</f>
        <v/>
      </c>
      <c r="AD131" s="18" t="str" cm="1">
        <f t="array" aca="1" ref="AD131" ca="1">IF(AC131="","",IF(AC131&lt;&gt;AC130,1,IF(AD130=misLíneas-2,0,AD130+1)))</f>
        <v/>
      </c>
      <c r="AE131" s="18" t="str" cm="1">
        <f t="array" aca="1" ref="AE131" ca="1">IF(OR(AD131=0,AD131=""),"",INDEX(misCriticidades,AC131)&amp;"-"&amp;IFERROR(MATCH(AD131,miOrdenTarjeta,0),0))</f>
        <v/>
      </c>
      <c r="AG131" s="18">
        <f t="shared" ca="1" si="41"/>
        <v>1</v>
      </c>
      <c r="AH131" s="18" t="str">
        <f t="shared" ref="AH131:AH194" ca="1" si="57">IF(AG131&gt;AG130,IFERROR(IF(AJ$1="v",SMALL(AF$2:AF$101,AG131),LARGE(AF$2:AF$101,AG131)),""),AH130)</f>
        <v/>
      </c>
      <c r="AI131" s="18" t="str" cm="1">
        <f t="array" aca="1" ref="AI131" ca="1">IF(AH131="","",IF(AH131&lt;&gt;AH130,1,IF(AI130=misLíneas-2,0,AI130+1)))</f>
        <v/>
      </c>
      <c r="AJ131" s="18" t="str" cm="1">
        <f t="array" aca="1" ref="AJ131" ca="1">IF(OR(AI131=0,AI131=""),"",INDEX(misCriticidades,AH131)&amp;"-"&amp;IFERROR(MATCH(AI131,miOrdenTarjeta,0),0))</f>
        <v/>
      </c>
      <c r="AL131" s="18">
        <f t="shared" ca="1" si="42"/>
        <v>1</v>
      </c>
      <c r="AM131" s="18" t="str">
        <f t="shared" ref="AM131:AM194" ca="1" si="58">IF(AL131&gt;AL130,IFERROR(IF(AO$1="v",SMALL(AK$2:AK$101,AL131),LARGE(AK$2:AK$101,AL131)),""),AM130)</f>
        <v/>
      </c>
      <c r="AN131" s="18" t="str" cm="1">
        <f t="array" aca="1" ref="AN131" ca="1">IF(AM131="","",IF(AM131&lt;&gt;AM130,1,IF(AN130=misLíneas-2,0,AN130+1)))</f>
        <v/>
      </c>
      <c r="AO131" s="18" t="str" cm="1">
        <f t="array" aca="1" ref="AO131" ca="1">IF(OR(AN131=0,AN131=""),"",INDEX(misCriticidades,AM131)&amp;"-"&amp;IFERROR(MATCH(AN131,miOrdenTarjeta,0),0))</f>
        <v/>
      </c>
      <c r="AQ131" s="18">
        <f t="shared" ca="1" si="43"/>
        <v>1</v>
      </c>
      <c r="AR131" s="18" t="str">
        <f t="shared" ref="AR131:AR194" ca="1" si="59">IF(AQ131&gt;AQ130,IFERROR(IF(AT$1="v",SMALL(AP$2:AP$101,AQ131),LARGE(AP$2:AP$101,AQ131)),""),AR130)</f>
        <v/>
      </c>
      <c r="AS131" s="18" t="str" cm="1">
        <f t="array" aca="1" ref="AS131" ca="1">IF(AR131="","",IF(AR131&lt;&gt;AR130,1,IF(AS130=misLíneas-2,0,AS130+1)))</f>
        <v/>
      </c>
      <c r="AT131" s="18" t="str" cm="1">
        <f t="array" aca="1" ref="AT131" ca="1">IF(OR(AS131=0,AS131=""),"",INDEX(misCriticidades,AR131)&amp;"-"&amp;IFERROR(MATCH(AS131,miOrdenTarjeta,0),0))</f>
        <v/>
      </c>
      <c r="AV131" s="18">
        <f t="shared" ca="1" si="44"/>
        <v>1</v>
      </c>
      <c r="AW131" s="18" t="str">
        <f t="shared" ref="AW131:AW194" ca="1" si="60">IF(AV131&gt;AV130,IFERROR(IF(AY$1="v",SMALL(AU$2:AU$101,AV131),LARGE(AU$2:AU$101,AV131)),""),AW130)</f>
        <v/>
      </c>
      <c r="AX131" s="18" t="str" cm="1">
        <f t="array" aca="1" ref="AX131" ca="1">IF(AW131="","",IF(AW131&lt;&gt;AW130,1,IF(AX130=misLíneas-2,0,AX130+1)))</f>
        <v/>
      </c>
      <c r="AY131" s="18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18">
        <f t="shared" ca="1" si="45"/>
        <v>1</v>
      </c>
      <c r="D132" s="18" t="str">
        <f t="shared" ca="1" si="51"/>
        <v/>
      </c>
      <c r="E132" s="18" t="str" cm="1">
        <f t="array" aca="1" ref="E132" ca="1">IF(D132="","",IF(D132&lt;&gt;D131,1,IF(E131=misLíneas-2,0,E131+1)))</f>
        <v/>
      </c>
      <c r="F132" s="18" t="str" cm="1">
        <f t="array" aca="1" ref="F132" ca="1">IF(OR(E132=0,E132=""),"",INDEX(misCriticidades,D132)&amp;"-"&amp;IFERROR(MATCH(E132,miOrdenTarjeta,0),0))</f>
        <v/>
      </c>
      <c r="H132" s="18">
        <f t="shared" ref="H132:H195" ca="1" si="61">H131--(J131=0)</f>
        <v>1</v>
      </c>
      <c r="I132" s="18" t="str">
        <f t="shared" ca="1" si="52"/>
        <v/>
      </c>
      <c r="J132" s="18" t="str" cm="1">
        <f t="array" aca="1" ref="J132" ca="1">IF(I132="","",IF(I132&lt;&gt;I131,1,IF(J131=misLíneas-2,0,J131+1)))</f>
        <v/>
      </c>
      <c r="K132" s="18" t="str" cm="1">
        <f t="array" aca="1" ref="K132" ca="1">IF(OR(J132=0,J132=""),"",INDEX(misCriticidades,I132)&amp;"-"&amp;IFERROR(MATCH(J132,miOrdenTarjeta,0),0))</f>
        <v/>
      </c>
      <c r="M132" s="18">
        <f t="shared" ref="M132:M195" ca="1" si="62">M131--(O131=0)</f>
        <v>1</v>
      </c>
      <c r="N132" s="18" t="str">
        <f t="shared" ca="1" si="53"/>
        <v/>
      </c>
      <c r="O132" s="18" t="str" cm="1">
        <f t="array" aca="1" ref="O132" ca="1">IF(N132="","",IF(N132&lt;&gt;N131,1,IF(O131=misLíneas-2,0,O131+1)))</f>
        <v/>
      </c>
      <c r="P132" s="18" t="str" cm="1">
        <f t="array" aca="1" ref="P132" ca="1">IF(OR(O132=0,O132=""),"",INDEX(misCriticidades,N132)&amp;"-"&amp;IFERROR(MATCH(O132,miOrdenTarjeta,0),0))</f>
        <v/>
      </c>
      <c r="R132" s="18">
        <f t="shared" ref="R132:R195" ca="1" si="63">R131--(T131=0)</f>
        <v>15</v>
      </c>
      <c r="S132" s="18">
        <f t="shared" ca="1" si="54"/>
        <v>16</v>
      </c>
      <c r="T132" s="18" cm="1">
        <f t="array" aca="1" ref="T132" ca="1">IF(S132="","",IF(S132&lt;&gt;S131,1,IF(T131=misLíneas-2,0,T131+1)))</f>
        <v>4</v>
      </c>
      <c r="U132" s="18" t="str" cm="1">
        <f t="array" aca="1" ref="U132" ca="1">IF(OR(T132=0,T132=""),"",INDEX(misCriticidades,S132)&amp;"-"&amp;IFERROR(MATCH(T132,miOrdenTarjeta,0),0))</f>
        <v>2-4</v>
      </c>
      <c r="W132" s="18">
        <f t="shared" ref="W132:W195" ca="1" si="64">W131--(Y131=0)</f>
        <v>1</v>
      </c>
      <c r="X132" s="18" t="str">
        <f t="shared" ca="1" si="55"/>
        <v/>
      </c>
      <c r="Y132" s="18" t="str" cm="1">
        <f t="array" aca="1" ref="Y132" ca="1">IF(X132="","",IF(X132&lt;&gt;X131,1,IF(Y131=misLíneas-2,0,Y131+1)))</f>
        <v/>
      </c>
      <c r="Z132" s="18" t="str" cm="1">
        <f t="array" aca="1" ref="Z132" ca="1">IF(OR(Y132=0,Y132=""),"",INDEX(misCriticidades,X132)&amp;"-"&amp;IFERROR(MATCH(Y132,miOrdenTarjeta,0),0))</f>
        <v/>
      </c>
      <c r="AB132" s="18">
        <f t="shared" ref="AB132:AB195" ca="1" si="65">AB131--(AD131=0)</f>
        <v>1</v>
      </c>
      <c r="AC132" s="18" t="str">
        <f t="shared" ca="1" si="56"/>
        <v/>
      </c>
      <c r="AD132" s="18" t="str" cm="1">
        <f t="array" aca="1" ref="AD132" ca="1">IF(AC132="","",IF(AC132&lt;&gt;AC131,1,IF(AD131=misLíneas-2,0,AD131+1)))</f>
        <v/>
      </c>
      <c r="AE132" s="18" t="str" cm="1">
        <f t="array" aca="1" ref="AE132" ca="1">IF(OR(AD132=0,AD132=""),"",INDEX(misCriticidades,AC132)&amp;"-"&amp;IFERROR(MATCH(AD132,miOrdenTarjeta,0),0))</f>
        <v/>
      </c>
      <c r="AG132" s="18">
        <f t="shared" ref="AG132:AG195" ca="1" si="66">AG131--(AI131=0)</f>
        <v>1</v>
      </c>
      <c r="AH132" s="18" t="str">
        <f t="shared" ca="1" si="57"/>
        <v/>
      </c>
      <c r="AI132" s="18" t="str" cm="1">
        <f t="array" aca="1" ref="AI132" ca="1">IF(AH132="","",IF(AH132&lt;&gt;AH131,1,IF(AI131=misLíneas-2,0,AI131+1)))</f>
        <v/>
      </c>
      <c r="AJ132" s="18" t="str" cm="1">
        <f t="array" aca="1" ref="AJ132" ca="1">IF(OR(AI132=0,AI132=""),"",INDEX(misCriticidades,AH132)&amp;"-"&amp;IFERROR(MATCH(AI132,miOrdenTarjeta,0),0))</f>
        <v/>
      </c>
      <c r="AL132" s="18">
        <f t="shared" ref="AL132:AL195" ca="1" si="67">AL131--(AN131=0)</f>
        <v>1</v>
      </c>
      <c r="AM132" s="18" t="str">
        <f t="shared" ca="1" si="58"/>
        <v/>
      </c>
      <c r="AN132" s="18" t="str" cm="1">
        <f t="array" aca="1" ref="AN132" ca="1">IF(AM132="","",IF(AM132&lt;&gt;AM131,1,IF(AN131=misLíneas-2,0,AN131+1)))</f>
        <v/>
      </c>
      <c r="AO132" s="18" t="str" cm="1">
        <f t="array" aca="1" ref="AO132" ca="1">IF(OR(AN132=0,AN132=""),"",INDEX(misCriticidades,AM132)&amp;"-"&amp;IFERROR(MATCH(AN132,miOrdenTarjeta,0),0))</f>
        <v/>
      </c>
      <c r="AQ132" s="18">
        <f t="shared" ref="AQ132:AQ195" ca="1" si="68">AQ131--(AS131=0)</f>
        <v>1</v>
      </c>
      <c r="AR132" s="18" t="str">
        <f t="shared" ca="1" si="59"/>
        <v/>
      </c>
      <c r="AS132" s="18" t="str" cm="1">
        <f t="array" aca="1" ref="AS132" ca="1">IF(AR132="","",IF(AR132&lt;&gt;AR131,1,IF(AS131=misLíneas-2,0,AS131+1)))</f>
        <v/>
      </c>
      <c r="AT132" s="18" t="str" cm="1">
        <f t="array" aca="1" ref="AT132" ca="1">IF(OR(AS132=0,AS132=""),"",INDEX(misCriticidades,AR132)&amp;"-"&amp;IFERROR(MATCH(AS132,miOrdenTarjeta,0),0))</f>
        <v/>
      </c>
      <c r="AV132" s="18">
        <f t="shared" ref="AV132:AV195" ca="1" si="69">AV131--(AX131=0)</f>
        <v>1</v>
      </c>
      <c r="AW132" s="18" t="str">
        <f t="shared" ca="1" si="60"/>
        <v/>
      </c>
      <c r="AX132" s="18" t="str" cm="1">
        <f t="array" aca="1" ref="AX132" ca="1">IF(AW132="","",IF(AW132&lt;&gt;AW131,1,IF(AX131=misLíneas-2,0,AX131+1)))</f>
        <v/>
      </c>
      <c r="AY132" s="18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18">
        <f t="shared" ca="1" si="45"/>
        <v>1</v>
      </c>
      <c r="D133" s="18" t="str">
        <f t="shared" ca="1" si="51"/>
        <v/>
      </c>
      <c r="E133" s="18" t="str" cm="1">
        <f t="array" aca="1" ref="E133" ca="1">IF(D133="","",IF(D133&lt;&gt;D132,1,IF(E132=misLíneas-2,0,E132+1)))</f>
        <v/>
      </c>
      <c r="F133" s="18" t="str" cm="1">
        <f t="array" aca="1" ref="F133" ca="1">IF(OR(E133=0,E133=""),"",INDEX(misCriticidades,D133)&amp;"-"&amp;IFERROR(MATCH(E133,miOrdenTarjeta,0),0))</f>
        <v/>
      </c>
      <c r="H133" s="18">
        <f t="shared" ca="1" si="61"/>
        <v>1</v>
      </c>
      <c r="I133" s="18" t="str">
        <f t="shared" ca="1" si="52"/>
        <v/>
      </c>
      <c r="J133" s="18" t="str" cm="1">
        <f t="array" aca="1" ref="J133" ca="1">IF(I133="","",IF(I133&lt;&gt;I132,1,IF(J132=misLíneas-2,0,J132+1)))</f>
        <v/>
      </c>
      <c r="K133" s="18" t="str" cm="1">
        <f t="array" aca="1" ref="K133" ca="1">IF(OR(J133=0,J133=""),"",INDEX(misCriticidades,I133)&amp;"-"&amp;IFERROR(MATCH(J133,miOrdenTarjeta,0),0))</f>
        <v/>
      </c>
      <c r="M133" s="18">
        <f t="shared" ca="1" si="62"/>
        <v>1</v>
      </c>
      <c r="N133" s="18" t="str">
        <f t="shared" ca="1" si="53"/>
        <v/>
      </c>
      <c r="O133" s="18" t="str" cm="1">
        <f t="array" aca="1" ref="O133" ca="1">IF(N133="","",IF(N133&lt;&gt;N132,1,IF(O132=misLíneas-2,0,O132+1)))</f>
        <v/>
      </c>
      <c r="P133" s="18" t="str" cm="1">
        <f t="array" aca="1" ref="P133" ca="1">IF(OR(O133=0,O133=""),"",INDEX(misCriticidades,N133)&amp;"-"&amp;IFERROR(MATCH(O133,miOrdenTarjeta,0),0))</f>
        <v/>
      </c>
      <c r="R133" s="18">
        <f t="shared" ca="1" si="63"/>
        <v>15</v>
      </c>
      <c r="S133" s="18">
        <f t="shared" ca="1" si="54"/>
        <v>16</v>
      </c>
      <c r="T133" s="18" cm="1">
        <f t="array" aca="1" ref="T133" ca="1">IF(S133="","",IF(S133&lt;&gt;S132,1,IF(T132=misLíneas-2,0,T132+1)))</f>
        <v>5</v>
      </c>
      <c r="U133" s="18" t="str" cm="1">
        <f t="array" aca="1" ref="U133" ca="1">IF(OR(T133=0,T133=""),"",INDEX(misCriticidades,S133)&amp;"-"&amp;IFERROR(MATCH(T133,miOrdenTarjeta,0),0))</f>
        <v>2-5</v>
      </c>
      <c r="W133" s="18">
        <f t="shared" ca="1" si="64"/>
        <v>1</v>
      </c>
      <c r="X133" s="18" t="str">
        <f t="shared" ca="1" si="55"/>
        <v/>
      </c>
      <c r="Y133" s="18" t="str" cm="1">
        <f t="array" aca="1" ref="Y133" ca="1">IF(X133="","",IF(X133&lt;&gt;X132,1,IF(Y132=misLíneas-2,0,Y132+1)))</f>
        <v/>
      </c>
      <c r="Z133" s="18" t="str" cm="1">
        <f t="array" aca="1" ref="Z133" ca="1">IF(OR(Y133=0,Y133=""),"",INDEX(misCriticidades,X133)&amp;"-"&amp;IFERROR(MATCH(Y133,miOrdenTarjeta,0),0))</f>
        <v/>
      </c>
      <c r="AB133" s="18">
        <f t="shared" ca="1" si="65"/>
        <v>1</v>
      </c>
      <c r="AC133" s="18" t="str">
        <f t="shared" ca="1" si="56"/>
        <v/>
      </c>
      <c r="AD133" s="18" t="str" cm="1">
        <f t="array" aca="1" ref="AD133" ca="1">IF(AC133="","",IF(AC133&lt;&gt;AC132,1,IF(AD132=misLíneas-2,0,AD132+1)))</f>
        <v/>
      </c>
      <c r="AE133" s="18" t="str" cm="1">
        <f t="array" aca="1" ref="AE133" ca="1">IF(OR(AD133=0,AD133=""),"",INDEX(misCriticidades,AC133)&amp;"-"&amp;IFERROR(MATCH(AD133,miOrdenTarjeta,0),0))</f>
        <v/>
      </c>
      <c r="AG133" s="18">
        <f t="shared" ca="1" si="66"/>
        <v>1</v>
      </c>
      <c r="AH133" s="18" t="str">
        <f t="shared" ca="1" si="57"/>
        <v/>
      </c>
      <c r="AI133" s="18" t="str" cm="1">
        <f t="array" aca="1" ref="AI133" ca="1">IF(AH133="","",IF(AH133&lt;&gt;AH132,1,IF(AI132=misLíneas-2,0,AI132+1)))</f>
        <v/>
      </c>
      <c r="AJ133" s="18" t="str" cm="1">
        <f t="array" aca="1" ref="AJ133" ca="1">IF(OR(AI133=0,AI133=""),"",INDEX(misCriticidades,AH133)&amp;"-"&amp;IFERROR(MATCH(AI133,miOrdenTarjeta,0),0))</f>
        <v/>
      </c>
      <c r="AL133" s="18">
        <f t="shared" ca="1" si="67"/>
        <v>1</v>
      </c>
      <c r="AM133" s="18" t="str">
        <f t="shared" ca="1" si="58"/>
        <v/>
      </c>
      <c r="AN133" s="18" t="str" cm="1">
        <f t="array" aca="1" ref="AN133" ca="1">IF(AM133="","",IF(AM133&lt;&gt;AM132,1,IF(AN132=misLíneas-2,0,AN132+1)))</f>
        <v/>
      </c>
      <c r="AO133" s="18" t="str" cm="1">
        <f t="array" aca="1" ref="AO133" ca="1">IF(OR(AN133=0,AN133=""),"",INDEX(misCriticidades,AM133)&amp;"-"&amp;IFERROR(MATCH(AN133,miOrdenTarjeta,0),0))</f>
        <v/>
      </c>
      <c r="AQ133" s="18">
        <f t="shared" ca="1" si="68"/>
        <v>1</v>
      </c>
      <c r="AR133" s="18" t="str">
        <f t="shared" ca="1" si="59"/>
        <v/>
      </c>
      <c r="AS133" s="18" t="str" cm="1">
        <f t="array" aca="1" ref="AS133" ca="1">IF(AR133="","",IF(AR133&lt;&gt;AR132,1,IF(AS132=misLíneas-2,0,AS132+1)))</f>
        <v/>
      </c>
      <c r="AT133" s="18" t="str" cm="1">
        <f t="array" aca="1" ref="AT133" ca="1">IF(OR(AS133=0,AS133=""),"",INDEX(misCriticidades,AR133)&amp;"-"&amp;IFERROR(MATCH(AS133,miOrdenTarjeta,0),0))</f>
        <v/>
      </c>
      <c r="AV133" s="18">
        <f t="shared" ca="1" si="69"/>
        <v>1</v>
      </c>
      <c r="AW133" s="18" t="str">
        <f t="shared" ca="1" si="60"/>
        <v/>
      </c>
      <c r="AX133" s="18" t="str" cm="1">
        <f t="array" aca="1" ref="AX133" ca="1">IF(AW133="","",IF(AW133&lt;&gt;AW132,1,IF(AX132=misLíneas-2,0,AX132+1)))</f>
        <v/>
      </c>
      <c r="AY133" s="18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18">
        <f t="shared" ca="1" si="45"/>
        <v>1</v>
      </c>
      <c r="D134" s="18" t="str">
        <f t="shared" ca="1" si="51"/>
        <v/>
      </c>
      <c r="E134" s="18" t="str" cm="1">
        <f t="array" aca="1" ref="E134" ca="1">IF(D134="","",IF(D134&lt;&gt;D133,1,IF(E133=misLíneas-2,0,E133+1)))</f>
        <v/>
      </c>
      <c r="F134" s="18" t="str" cm="1">
        <f t="array" aca="1" ref="F134" ca="1">IF(OR(E134=0,E134=""),"",INDEX(misCriticidades,D134)&amp;"-"&amp;IFERROR(MATCH(E134,miOrdenTarjeta,0),0))</f>
        <v/>
      </c>
      <c r="H134" s="18">
        <f t="shared" ca="1" si="61"/>
        <v>1</v>
      </c>
      <c r="I134" s="18" t="str">
        <f t="shared" ca="1" si="52"/>
        <v/>
      </c>
      <c r="J134" s="18" t="str" cm="1">
        <f t="array" aca="1" ref="J134" ca="1">IF(I134="","",IF(I134&lt;&gt;I133,1,IF(J133=misLíneas-2,0,J133+1)))</f>
        <v/>
      </c>
      <c r="K134" s="18" t="str" cm="1">
        <f t="array" aca="1" ref="K134" ca="1">IF(OR(J134=0,J134=""),"",INDEX(misCriticidades,I134)&amp;"-"&amp;IFERROR(MATCH(J134,miOrdenTarjeta,0),0))</f>
        <v/>
      </c>
      <c r="M134" s="18">
        <f t="shared" ca="1" si="62"/>
        <v>1</v>
      </c>
      <c r="N134" s="18" t="str">
        <f t="shared" ca="1" si="53"/>
        <v/>
      </c>
      <c r="O134" s="18" t="str" cm="1">
        <f t="array" aca="1" ref="O134" ca="1">IF(N134="","",IF(N134&lt;&gt;N133,1,IF(O133=misLíneas-2,0,O133+1)))</f>
        <v/>
      </c>
      <c r="P134" s="18" t="str" cm="1">
        <f t="array" aca="1" ref="P134" ca="1">IF(OR(O134=0,O134=""),"",INDEX(misCriticidades,N134)&amp;"-"&amp;IFERROR(MATCH(O134,miOrdenTarjeta,0),0))</f>
        <v/>
      </c>
      <c r="R134" s="18">
        <f t="shared" ca="1" si="63"/>
        <v>15</v>
      </c>
      <c r="S134" s="18">
        <f t="shared" ca="1" si="54"/>
        <v>16</v>
      </c>
      <c r="T134" s="18" cm="1">
        <f t="array" aca="1" ref="T134" ca="1">IF(S134="","",IF(S134&lt;&gt;S133,1,IF(T133=misLíneas-2,0,T133+1)))</f>
        <v>6</v>
      </c>
      <c r="U134" s="18" t="str" cm="1">
        <f t="array" aca="1" ref="U134" ca="1">IF(OR(T134=0,T134=""),"",INDEX(misCriticidades,S134)&amp;"-"&amp;IFERROR(MATCH(T134,miOrdenTarjeta,0),0))</f>
        <v>2-6</v>
      </c>
      <c r="W134" s="18">
        <f t="shared" ca="1" si="64"/>
        <v>1</v>
      </c>
      <c r="X134" s="18" t="str">
        <f t="shared" ca="1" si="55"/>
        <v/>
      </c>
      <c r="Y134" s="18" t="str" cm="1">
        <f t="array" aca="1" ref="Y134" ca="1">IF(X134="","",IF(X134&lt;&gt;X133,1,IF(Y133=misLíneas-2,0,Y133+1)))</f>
        <v/>
      </c>
      <c r="Z134" s="18" t="str" cm="1">
        <f t="array" aca="1" ref="Z134" ca="1">IF(OR(Y134=0,Y134=""),"",INDEX(misCriticidades,X134)&amp;"-"&amp;IFERROR(MATCH(Y134,miOrdenTarjeta,0),0))</f>
        <v/>
      </c>
      <c r="AB134" s="18">
        <f t="shared" ca="1" si="65"/>
        <v>1</v>
      </c>
      <c r="AC134" s="18" t="str">
        <f t="shared" ca="1" si="56"/>
        <v/>
      </c>
      <c r="AD134" s="18" t="str" cm="1">
        <f t="array" aca="1" ref="AD134" ca="1">IF(AC134="","",IF(AC134&lt;&gt;AC133,1,IF(AD133=misLíneas-2,0,AD133+1)))</f>
        <v/>
      </c>
      <c r="AE134" s="18" t="str" cm="1">
        <f t="array" aca="1" ref="AE134" ca="1">IF(OR(AD134=0,AD134=""),"",INDEX(misCriticidades,AC134)&amp;"-"&amp;IFERROR(MATCH(AD134,miOrdenTarjeta,0),0))</f>
        <v/>
      </c>
      <c r="AG134" s="18">
        <f t="shared" ca="1" si="66"/>
        <v>1</v>
      </c>
      <c r="AH134" s="18" t="str">
        <f t="shared" ca="1" si="57"/>
        <v/>
      </c>
      <c r="AI134" s="18" t="str" cm="1">
        <f t="array" aca="1" ref="AI134" ca="1">IF(AH134="","",IF(AH134&lt;&gt;AH133,1,IF(AI133=misLíneas-2,0,AI133+1)))</f>
        <v/>
      </c>
      <c r="AJ134" s="18" t="str" cm="1">
        <f t="array" aca="1" ref="AJ134" ca="1">IF(OR(AI134=0,AI134=""),"",INDEX(misCriticidades,AH134)&amp;"-"&amp;IFERROR(MATCH(AI134,miOrdenTarjeta,0),0))</f>
        <v/>
      </c>
      <c r="AL134" s="18">
        <f t="shared" ca="1" si="67"/>
        <v>1</v>
      </c>
      <c r="AM134" s="18" t="str">
        <f t="shared" ca="1" si="58"/>
        <v/>
      </c>
      <c r="AN134" s="18" t="str" cm="1">
        <f t="array" aca="1" ref="AN134" ca="1">IF(AM134="","",IF(AM134&lt;&gt;AM133,1,IF(AN133=misLíneas-2,0,AN133+1)))</f>
        <v/>
      </c>
      <c r="AO134" s="18" t="str" cm="1">
        <f t="array" aca="1" ref="AO134" ca="1">IF(OR(AN134=0,AN134=""),"",INDEX(misCriticidades,AM134)&amp;"-"&amp;IFERROR(MATCH(AN134,miOrdenTarjeta,0),0))</f>
        <v/>
      </c>
      <c r="AQ134" s="18">
        <f t="shared" ca="1" si="68"/>
        <v>1</v>
      </c>
      <c r="AR134" s="18" t="str">
        <f t="shared" ca="1" si="59"/>
        <v/>
      </c>
      <c r="AS134" s="18" t="str" cm="1">
        <f t="array" aca="1" ref="AS134" ca="1">IF(AR134="","",IF(AR134&lt;&gt;AR133,1,IF(AS133=misLíneas-2,0,AS133+1)))</f>
        <v/>
      </c>
      <c r="AT134" s="18" t="str" cm="1">
        <f t="array" aca="1" ref="AT134" ca="1">IF(OR(AS134=0,AS134=""),"",INDEX(misCriticidades,AR134)&amp;"-"&amp;IFERROR(MATCH(AS134,miOrdenTarjeta,0),0))</f>
        <v/>
      </c>
      <c r="AV134" s="18">
        <f t="shared" ca="1" si="69"/>
        <v>1</v>
      </c>
      <c r="AW134" s="18" t="str">
        <f t="shared" ca="1" si="60"/>
        <v/>
      </c>
      <c r="AX134" s="18" t="str" cm="1">
        <f t="array" aca="1" ref="AX134" ca="1">IF(AW134="","",IF(AW134&lt;&gt;AW133,1,IF(AX133=misLíneas-2,0,AX133+1)))</f>
        <v/>
      </c>
      <c r="AY134" s="18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18">
        <f t="shared" ca="1" si="45"/>
        <v>1</v>
      </c>
      <c r="D135" s="18" t="str">
        <f t="shared" ca="1" si="51"/>
        <v/>
      </c>
      <c r="E135" s="18" t="str" cm="1">
        <f t="array" aca="1" ref="E135" ca="1">IF(D135="","",IF(D135&lt;&gt;D134,1,IF(E134=misLíneas-2,0,E134+1)))</f>
        <v/>
      </c>
      <c r="F135" s="18" t="str" cm="1">
        <f t="array" aca="1" ref="F135" ca="1">IF(OR(E135=0,E135=""),"",INDEX(misCriticidades,D135)&amp;"-"&amp;IFERROR(MATCH(E135,miOrdenTarjeta,0),0))</f>
        <v/>
      </c>
      <c r="H135" s="18">
        <f t="shared" ca="1" si="61"/>
        <v>1</v>
      </c>
      <c r="I135" s="18" t="str">
        <f t="shared" ca="1" si="52"/>
        <v/>
      </c>
      <c r="J135" s="18" t="str" cm="1">
        <f t="array" aca="1" ref="J135" ca="1">IF(I135="","",IF(I135&lt;&gt;I134,1,IF(J134=misLíneas-2,0,J134+1)))</f>
        <v/>
      </c>
      <c r="K135" s="18" t="str" cm="1">
        <f t="array" aca="1" ref="K135" ca="1">IF(OR(J135=0,J135=""),"",INDEX(misCriticidades,I135)&amp;"-"&amp;IFERROR(MATCH(J135,miOrdenTarjeta,0),0))</f>
        <v/>
      </c>
      <c r="M135" s="18">
        <f t="shared" ca="1" si="62"/>
        <v>1</v>
      </c>
      <c r="N135" s="18" t="str">
        <f t="shared" ca="1" si="53"/>
        <v/>
      </c>
      <c r="O135" s="18" t="str" cm="1">
        <f t="array" aca="1" ref="O135" ca="1">IF(N135="","",IF(N135&lt;&gt;N134,1,IF(O134=misLíneas-2,0,O134+1)))</f>
        <v/>
      </c>
      <c r="P135" s="18" t="str" cm="1">
        <f t="array" aca="1" ref="P135" ca="1">IF(OR(O135=0,O135=""),"",INDEX(misCriticidades,N135)&amp;"-"&amp;IFERROR(MATCH(O135,miOrdenTarjeta,0),0))</f>
        <v/>
      </c>
      <c r="R135" s="18">
        <f t="shared" ca="1" si="63"/>
        <v>15</v>
      </c>
      <c r="S135" s="18">
        <f t="shared" ca="1" si="54"/>
        <v>16</v>
      </c>
      <c r="T135" s="18" cm="1">
        <f t="array" aca="1" ref="T135" ca="1">IF(S135="","",IF(S135&lt;&gt;S134,1,IF(T134=misLíneas-2,0,T134+1)))</f>
        <v>7</v>
      </c>
      <c r="U135" s="18" t="str" cm="1">
        <f t="array" aca="1" ref="U135" ca="1">IF(OR(T135=0,T135=""),"",INDEX(misCriticidades,S135)&amp;"-"&amp;IFERROR(MATCH(T135,miOrdenTarjeta,0),0))</f>
        <v>2-7</v>
      </c>
      <c r="W135" s="18">
        <f t="shared" ca="1" si="64"/>
        <v>1</v>
      </c>
      <c r="X135" s="18" t="str">
        <f t="shared" ca="1" si="55"/>
        <v/>
      </c>
      <c r="Y135" s="18" t="str" cm="1">
        <f t="array" aca="1" ref="Y135" ca="1">IF(X135="","",IF(X135&lt;&gt;X134,1,IF(Y134=misLíneas-2,0,Y134+1)))</f>
        <v/>
      </c>
      <c r="Z135" s="18" t="str" cm="1">
        <f t="array" aca="1" ref="Z135" ca="1">IF(OR(Y135=0,Y135=""),"",INDEX(misCriticidades,X135)&amp;"-"&amp;IFERROR(MATCH(Y135,miOrdenTarjeta,0),0))</f>
        <v/>
      </c>
      <c r="AB135" s="18">
        <f t="shared" ca="1" si="65"/>
        <v>1</v>
      </c>
      <c r="AC135" s="18" t="str">
        <f t="shared" ca="1" si="56"/>
        <v/>
      </c>
      <c r="AD135" s="18" t="str" cm="1">
        <f t="array" aca="1" ref="AD135" ca="1">IF(AC135="","",IF(AC135&lt;&gt;AC134,1,IF(AD134=misLíneas-2,0,AD134+1)))</f>
        <v/>
      </c>
      <c r="AE135" s="18" t="str" cm="1">
        <f t="array" aca="1" ref="AE135" ca="1">IF(OR(AD135=0,AD135=""),"",INDEX(misCriticidades,AC135)&amp;"-"&amp;IFERROR(MATCH(AD135,miOrdenTarjeta,0),0))</f>
        <v/>
      </c>
      <c r="AG135" s="18">
        <f t="shared" ca="1" si="66"/>
        <v>1</v>
      </c>
      <c r="AH135" s="18" t="str">
        <f t="shared" ca="1" si="57"/>
        <v/>
      </c>
      <c r="AI135" s="18" t="str" cm="1">
        <f t="array" aca="1" ref="AI135" ca="1">IF(AH135="","",IF(AH135&lt;&gt;AH134,1,IF(AI134=misLíneas-2,0,AI134+1)))</f>
        <v/>
      </c>
      <c r="AJ135" s="18" t="str" cm="1">
        <f t="array" aca="1" ref="AJ135" ca="1">IF(OR(AI135=0,AI135=""),"",INDEX(misCriticidades,AH135)&amp;"-"&amp;IFERROR(MATCH(AI135,miOrdenTarjeta,0),0))</f>
        <v/>
      </c>
      <c r="AL135" s="18">
        <f t="shared" ca="1" si="67"/>
        <v>1</v>
      </c>
      <c r="AM135" s="18" t="str">
        <f t="shared" ca="1" si="58"/>
        <v/>
      </c>
      <c r="AN135" s="18" t="str" cm="1">
        <f t="array" aca="1" ref="AN135" ca="1">IF(AM135="","",IF(AM135&lt;&gt;AM134,1,IF(AN134=misLíneas-2,0,AN134+1)))</f>
        <v/>
      </c>
      <c r="AO135" s="18" t="str" cm="1">
        <f t="array" aca="1" ref="AO135" ca="1">IF(OR(AN135=0,AN135=""),"",INDEX(misCriticidades,AM135)&amp;"-"&amp;IFERROR(MATCH(AN135,miOrdenTarjeta,0),0))</f>
        <v/>
      </c>
      <c r="AQ135" s="18">
        <f t="shared" ca="1" si="68"/>
        <v>1</v>
      </c>
      <c r="AR135" s="18" t="str">
        <f t="shared" ca="1" si="59"/>
        <v/>
      </c>
      <c r="AS135" s="18" t="str" cm="1">
        <f t="array" aca="1" ref="AS135" ca="1">IF(AR135="","",IF(AR135&lt;&gt;AR134,1,IF(AS134=misLíneas-2,0,AS134+1)))</f>
        <v/>
      </c>
      <c r="AT135" s="18" t="str" cm="1">
        <f t="array" aca="1" ref="AT135" ca="1">IF(OR(AS135=0,AS135=""),"",INDEX(misCriticidades,AR135)&amp;"-"&amp;IFERROR(MATCH(AS135,miOrdenTarjeta,0),0))</f>
        <v/>
      </c>
      <c r="AV135" s="18">
        <f t="shared" ca="1" si="69"/>
        <v>1</v>
      </c>
      <c r="AW135" s="18" t="str">
        <f t="shared" ca="1" si="60"/>
        <v/>
      </c>
      <c r="AX135" s="18" t="str" cm="1">
        <f t="array" aca="1" ref="AX135" ca="1">IF(AW135="","",IF(AW135&lt;&gt;AW134,1,IF(AX134=misLíneas-2,0,AX134+1)))</f>
        <v/>
      </c>
      <c r="AY135" s="18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18">
        <f t="shared" ca="1" si="45"/>
        <v>1</v>
      </c>
      <c r="D136" s="18" t="str">
        <f t="shared" ca="1" si="51"/>
        <v/>
      </c>
      <c r="E136" s="18" t="str" cm="1">
        <f t="array" aca="1" ref="E136" ca="1">IF(D136="","",IF(D136&lt;&gt;D135,1,IF(E135=misLíneas-2,0,E135+1)))</f>
        <v/>
      </c>
      <c r="F136" s="18" t="str" cm="1">
        <f t="array" aca="1" ref="F136" ca="1">IF(OR(E136=0,E136=""),"",INDEX(misCriticidades,D136)&amp;"-"&amp;IFERROR(MATCH(E136,miOrdenTarjeta,0),0))</f>
        <v/>
      </c>
      <c r="H136" s="18">
        <f t="shared" ca="1" si="61"/>
        <v>1</v>
      </c>
      <c r="I136" s="18" t="str">
        <f t="shared" ca="1" si="52"/>
        <v/>
      </c>
      <c r="J136" s="18" t="str" cm="1">
        <f t="array" aca="1" ref="J136" ca="1">IF(I136="","",IF(I136&lt;&gt;I135,1,IF(J135=misLíneas-2,0,J135+1)))</f>
        <v/>
      </c>
      <c r="K136" s="18" t="str" cm="1">
        <f t="array" aca="1" ref="K136" ca="1">IF(OR(J136=0,J136=""),"",INDEX(misCriticidades,I136)&amp;"-"&amp;IFERROR(MATCH(J136,miOrdenTarjeta,0),0))</f>
        <v/>
      </c>
      <c r="M136" s="18">
        <f t="shared" ca="1" si="62"/>
        <v>1</v>
      </c>
      <c r="N136" s="18" t="str">
        <f t="shared" ca="1" si="53"/>
        <v/>
      </c>
      <c r="O136" s="18" t="str" cm="1">
        <f t="array" aca="1" ref="O136" ca="1">IF(N136="","",IF(N136&lt;&gt;N135,1,IF(O135=misLíneas-2,0,O135+1)))</f>
        <v/>
      </c>
      <c r="P136" s="18" t="str" cm="1">
        <f t="array" aca="1" ref="P136" ca="1">IF(OR(O136=0,O136=""),"",INDEX(misCriticidades,N136)&amp;"-"&amp;IFERROR(MATCH(O136,miOrdenTarjeta,0),0))</f>
        <v/>
      </c>
      <c r="R136" s="18">
        <f t="shared" ca="1" si="63"/>
        <v>15</v>
      </c>
      <c r="S136" s="18">
        <f t="shared" ca="1" si="54"/>
        <v>16</v>
      </c>
      <c r="T136" s="18" cm="1">
        <f t="array" aca="1" ref="T136" ca="1">IF(S136="","",IF(S136&lt;&gt;S135,1,IF(T135=misLíneas-2,0,T135+1)))</f>
        <v>8</v>
      </c>
      <c r="U136" s="18" t="str" cm="1">
        <f t="array" aca="1" ref="U136" ca="1">IF(OR(T136=0,T136=""),"",INDEX(misCriticidades,S136)&amp;"-"&amp;IFERROR(MATCH(T136,miOrdenTarjeta,0),0))</f>
        <v>2-8</v>
      </c>
      <c r="W136" s="18">
        <f t="shared" ca="1" si="64"/>
        <v>1</v>
      </c>
      <c r="X136" s="18" t="str">
        <f t="shared" ca="1" si="55"/>
        <v/>
      </c>
      <c r="Y136" s="18" t="str" cm="1">
        <f t="array" aca="1" ref="Y136" ca="1">IF(X136="","",IF(X136&lt;&gt;X135,1,IF(Y135=misLíneas-2,0,Y135+1)))</f>
        <v/>
      </c>
      <c r="Z136" s="18" t="str" cm="1">
        <f t="array" aca="1" ref="Z136" ca="1">IF(OR(Y136=0,Y136=""),"",INDEX(misCriticidades,X136)&amp;"-"&amp;IFERROR(MATCH(Y136,miOrdenTarjeta,0),0))</f>
        <v/>
      </c>
      <c r="AB136" s="18">
        <f t="shared" ca="1" si="65"/>
        <v>1</v>
      </c>
      <c r="AC136" s="18" t="str">
        <f t="shared" ca="1" si="56"/>
        <v/>
      </c>
      <c r="AD136" s="18" t="str" cm="1">
        <f t="array" aca="1" ref="AD136" ca="1">IF(AC136="","",IF(AC136&lt;&gt;AC135,1,IF(AD135=misLíneas-2,0,AD135+1)))</f>
        <v/>
      </c>
      <c r="AE136" s="18" t="str" cm="1">
        <f t="array" aca="1" ref="AE136" ca="1">IF(OR(AD136=0,AD136=""),"",INDEX(misCriticidades,AC136)&amp;"-"&amp;IFERROR(MATCH(AD136,miOrdenTarjeta,0),0))</f>
        <v/>
      </c>
      <c r="AG136" s="18">
        <f t="shared" ca="1" si="66"/>
        <v>1</v>
      </c>
      <c r="AH136" s="18" t="str">
        <f t="shared" ca="1" si="57"/>
        <v/>
      </c>
      <c r="AI136" s="18" t="str" cm="1">
        <f t="array" aca="1" ref="AI136" ca="1">IF(AH136="","",IF(AH136&lt;&gt;AH135,1,IF(AI135=misLíneas-2,0,AI135+1)))</f>
        <v/>
      </c>
      <c r="AJ136" s="18" t="str" cm="1">
        <f t="array" aca="1" ref="AJ136" ca="1">IF(OR(AI136=0,AI136=""),"",INDEX(misCriticidades,AH136)&amp;"-"&amp;IFERROR(MATCH(AI136,miOrdenTarjeta,0),0))</f>
        <v/>
      </c>
      <c r="AL136" s="18">
        <f t="shared" ca="1" si="67"/>
        <v>1</v>
      </c>
      <c r="AM136" s="18" t="str">
        <f t="shared" ca="1" si="58"/>
        <v/>
      </c>
      <c r="AN136" s="18" t="str" cm="1">
        <f t="array" aca="1" ref="AN136" ca="1">IF(AM136="","",IF(AM136&lt;&gt;AM135,1,IF(AN135=misLíneas-2,0,AN135+1)))</f>
        <v/>
      </c>
      <c r="AO136" s="18" t="str" cm="1">
        <f t="array" aca="1" ref="AO136" ca="1">IF(OR(AN136=0,AN136=""),"",INDEX(misCriticidades,AM136)&amp;"-"&amp;IFERROR(MATCH(AN136,miOrdenTarjeta,0),0))</f>
        <v/>
      </c>
      <c r="AQ136" s="18">
        <f t="shared" ca="1" si="68"/>
        <v>1</v>
      </c>
      <c r="AR136" s="18" t="str">
        <f t="shared" ca="1" si="59"/>
        <v/>
      </c>
      <c r="AS136" s="18" t="str" cm="1">
        <f t="array" aca="1" ref="AS136" ca="1">IF(AR136="","",IF(AR136&lt;&gt;AR135,1,IF(AS135=misLíneas-2,0,AS135+1)))</f>
        <v/>
      </c>
      <c r="AT136" s="18" t="str" cm="1">
        <f t="array" aca="1" ref="AT136" ca="1">IF(OR(AS136=0,AS136=""),"",INDEX(misCriticidades,AR136)&amp;"-"&amp;IFERROR(MATCH(AS136,miOrdenTarjeta,0),0))</f>
        <v/>
      </c>
      <c r="AV136" s="18">
        <f t="shared" ca="1" si="69"/>
        <v>1</v>
      </c>
      <c r="AW136" s="18" t="str">
        <f t="shared" ca="1" si="60"/>
        <v/>
      </c>
      <c r="AX136" s="18" t="str" cm="1">
        <f t="array" aca="1" ref="AX136" ca="1">IF(AW136="","",IF(AW136&lt;&gt;AW135,1,IF(AX135=misLíneas-2,0,AX135+1)))</f>
        <v/>
      </c>
      <c r="AY136" s="18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18">
        <f t="shared" ca="1" si="45"/>
        <v>1</v>
      </c>
      <c r="D137" s="18" t="str">
        <f t="shared" ca="1" si="51"/>
        <v/>
      </c>
      <c r="E137" s="18" t="str" cm="1">
        <f t="array" aca="1" ref="E137" ca="1">IF(D137="","",IF(D137&lt;&gt;D136,1,IF(E136=misLíneas-2,0,E136+1)))</f>
        <v/>
      </c>
      <c r="F137" s="18" t="str" cm="1">
        <f t="array" aca="1" ref="F137" ca="1">IF(OR(E137=0,E137=""),"",INDEX(misCriticidades,D137)&amp;"-"&amp;IFERROR(MATCH(E137,miOrdenTarjeta,0),0))</f>
        <v/>
      </c>
      <c r="H137" s="18">
        <f t="shared" ca="1" si="61"/>
        <v>1</v>
      </c>
      <c r="I137" s="18" t="str">
        <f t="shared" ca="1" si="52"/>
        <v/>
      </c>
      <c r="J137" s="18" t="str" cm="1">
        <f t="array" aca="1" ref="J137" ca="1">IF(I137="","",IF(I137&lt;&gt;I136,1,IF(J136=misLíneas-2,0,J136+1)))</f>
        <v/>
      </c>
      <c r="K137" s="18" t="str" cm="1">
        <f t="array" aca="1" ref="K137" ca="1">IF(OR(J137=0,J137=""),"",INDEX(misCriticidades,I137)&amp;"-"&amp;IFERROR(MATCH(J137,miOrdenTarjeta,0),0))</f>
        <v/>
      </c>
      <c r="M137" s="18">
        <f t="shared" ca="1" si="62"/>
        <v>1</v>
      </c>
      <c r="N137" s="18" t="str">
        <f t="shared" ca="1" si="53"/>
        <v/>
      </c>
      <c r="O137" s="18" t="str" cm="1">
        <f t="array" aca="1" ref="O137" ca="1">IF(N137="","",IF(N137&lt;&gt;N136,1,IF(O136=misLíneas-2,0,O136+1)))</f>
        <v/>
      </c>
      <c r="P137" s="18" t="str" cm="1">
        <f t="array" aca="1" ref="P137" ca="1">IF(OR(O137=0,O137=""),"",INDEX(misCriticidades,N137)&amp;"-"&amp;IFERROR(MATCH(O137,miOrdenTarjeta,0),0))</f>
        <v/>
      </c>
      <c r="R137" s="18">
        <f t="shared" ca="1" si="63"/>
        <v>15</v>
      </c>
      <c r="S137" s="18">
        <f t="shared" ca="1" si="54"/>
        <v>16</v>
      </c>
      <c r="T137" s="18" cm="1">
        <f t="array" aca="1" ref="T137" ca="1">IF(S137="","",IF(S137&lt;&gt;S136,1,IF(T136=misLíneas-2,0,T136+1)))</f>
        <v>0</v>
      </c>
      <c r="U137" s="18" t="str" cm="1">
        <f t="array" aca="1" ref="U137" ca="1">IF(OR(T137=0,T137=""),"",INDEX(misCriticidades,S137)&amp;"-"&amp;IFERROR(MATCH(T137,miOrdenTarjeta,0),0))</f>
        <v/>
      </c>
      <c r="W137" s="18">
        <f t="shared" ca="1" si="64"/>
        <v>1</v>
      </c>
      <c r="X137" s="18" t="str">
        <f t="shared" ca="1" si="55"/>
        <v/>
      </c>
      <c r="Y137" s="18" t="str" cm="1">
        <f t="array" aca="1" ref="Y137" ca="1">IF(X137="","",IF(X137&lt;&gt;X136,1,IF(Y136=misLíneas-2,0,Y136+1)))</f>
        <v/>
      </c>
      <c r="Z137" s="18" t="str" cm="1">
        <f t="array" aca="1" ref="Z137" ca="1">IF(OR(Y137=0,Y137=""),"",INDEX(misCriticidades,X137)&amp;"-"&amp;IFERROR(MATCH(Y137,miOrdenTarjeta,0),0))</f>
        <v/>
      </c>
      <c r="AB137" s="18">
        <f t="shared" ca="1" si="65"/>
        <v>1</v>
      </c>
      <c r="AC137" s="18" t="str">
        <f t="shared" ca="1" si="56"/>
        <v/>
      </c>
      <c r="AD137" s="18" t="str" cm="1">
        <f t="array" aca="1" ref="AD137" ca="1">IF(AC137="","",IF(AC137&lt;&gt;AC136,1,IF(AD136=misLíneas-2,0,AD136+1)))</f>
        <v/>
      </c>
      <c r="AE137" s="18" t="str" cm="1">
        <f t="array" aca="1" ref="AE137" ca="1">IF(OR(AD137=0,AD137=""),"",INDEX(misCriticidades,AC137)&amp;"-"&amp;IFERROR(MATCH(AD137,miOrdenTarjeta,0),0))</f>
        <v/>
      </c>
      <c r="AG137" s="18">
        <f t="shared" ca="1" si="66"/>
        <v>1</v>
      </c>
      <c r="AH137" s="18" t="str">
        <f t="shared" ca="1" si="57"/>
        <v/>
      </c>
      <c r="AI137" s="18" t="str" cm="1">
        <f t="array" aca="1" ref="AI137" ca="1">IF(AH137="","",IF(AH137&lt;&gt;AH136,1,IF(AI136=misLíneas-2,0,AI136+1)))</f>
        <v/>
      </c>
      <c r="AJ137" s="18" t="str" cm="1">
        <f t="array" aca="1" ref="AJ137" ca="1">IF(OR(AI137=0,AI137=""),"",INDEX(misCriticidades,AH137)&amp;"-"&amp;IFERROR(MATCH(AI137,miOrdenTarjeta,0),0))</f>
        <v/>
      </c>
      <c r="AL137" s="18">
        <f t="shared" ca="1" si="67"/>
        <v>1</v>
      </c>
      <c r="AM137" s="18" t="str">
        <f t="shared" ca="1" si="58"/>
        <v/>
      </c>
      <c r="AN137" s="18" t="str" cm="1">
        <f t="array" aca="1" ref="AN137" ca="1">IF(AM137="","",IF(AM137&lt;&gt;AM136,1,IF(AN136=misLíneas-2,0,AN136+1)))</f>
        <v/>
      </c>
      <c r="AO137" s="18" t="str" cm="1">
        <f t="array" aca="1" ref="AO137" ca="1">IF(OR(AN137=0,AN137=""),"",INDEX(misCriticidades,AM137)&amp;"-"&amp;IFERROR(MATCH(AN137,miOrdenTarjeta,0),0))</f>
        <v/>
      </c>
      <c r="AQ137" s="18">
        <f t="shared" ca="1" si="68"/>
        <v>1</v>
      </c>
      <c r="AR137" s="18" t="str">
        <f t="shared" ca="1" si="59"/>
        <v/>
      </c>
      <c r="AS137" s="18" t="str" cm="1">
        <f t="array" aca="1" ref="AS137" ca="1">IF(AR137="","",IF(AR137&lt;&gt;AR136,1,IF(AS136=misLíneas-2,0,AS136+1)))</f>
        <v/>
      </c>
      <c r="AT137" s="18" t="str" cm="1">
        <f t="array" aca="1" ref="AT137" ca="1">IF(OR(AS137=0,AS137=""),"",INDEX(misCriticidades,AR137)&amp;"-"&amp;IFERROR(MATCH(AS137,miOrdenTarjeta,0),0))</f>
        <v/>
      </c>
      <c r="AV137" s="18">
        <f t="shared" ca="1" si="69"/>
        <v>1</v>
      </c>
      <c r="AW137" s="18" t="str">
        <f t="shared" ca="1" si="60"/>
        <v/>
      </c>
      <c r="AX137" s="18" t="str" cm="1">
        <f t="array" aca="1" ref="AX137" ca="1">IF(AW137="","",IF(AW137&lt;&gt;AW136,1,IF(AX136=misLíneas-2,0,AX136+1)))</f>
        <v/>
      </c>
      <c r="AY137" s="18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18">
        <f t="shared" ca="1" si="45"/>
        <v>1</v>
      </c>
      <c r="D138" s="18" t="str">
        <f t="shared" ca="1" si="51"/>
        <v/>
      </c>
      <c r="E138" s="18" t="str" cm="1">
        <f t="array" aca="1" ref="E138" ca="1">IF(D138="","",IF(D138&lt;&gt;D137,1,IF(E137=misLíneas-2,0,E137+1)))</f>
        <v/>
      </c>
      <c r="F138" s="18" t="str" cm="1">
        <f t="array" aca="1" ref="F138" ca="1">IF(OR(E138=0,E138=""),"",INDEX(misCriticidades,D138)&amp;"-"&amp;IFERROR(MATCH(E138,miOrdenTarjeta,0),0))</f>
        <v/>
      </c>
      <c r="H138" s="18">
        <f t="shared" ca="1" si="61"/>
        <v>1</v>
      </c>
      <c r="I138" s="18" t="str">
        <f t="shared" ca="1" si="52"/>
        <v/>
      </c>
      <c r="J138" s="18" t="str" cm="1">
        <f t="array" aca="1" ref="J138" ca="1">IF(I138="","",IF(I138&lt;&gt;I137,1,IF(J137=misLíneas-2,0,J137+1)))</f>
        <v/>
      </c>
      <c r="K138" s="18" t="str" cm="1">
        <f t="array" aca="1" ref="K138" ca="1">IF(OR(J138=0,J138=""),"",INDEX(misCriticidades,I138)&amp;"-"&amp;IFERROR(MATCH(J138,miOrdenTarjeta,0),0))</f>
        <v/>
      </c>
      <c r="M138" s="18">
        <f t="shared" ca="1" si="62"/>
        <v>1</v>
      </c>
      <c r="N138" s="18" t="str">
        <f t="shared" ca="1" si="53"/>
        <v/>
      </c>
      <c r="O138" s="18" t="str" cm="1">
        <f t="array" aca="1" ref="O138" ca="1">IF(N138="","",IF(N138&lt;&gt;N137,1,IF(O137=misLíneas-2,0,O137+1)))</f>
        <v/>
      </c>
      <c r="P138" s="18" t="str" cm="1">
        <f t="array" aca="1" ref="P138" ca="1">IF(OR(O138=0,O138=""),"",INDEX(misCriticidades,N138)&amp;"-"&amp;IFERROR(MATCH(O138,miOrdenTarjeta,0),0))</f>
        <v/>
      </c>
      <c r="R138" s="18">
        <f t="shared" ca="1" si="63"/>
        <v>16</v>
      </c>
      <c r="S138" s="18">
        <f t="shared" ca="1" si="54"/>
        <v>15</v>
      </c>
      <c r="T138" s="18" cm="1">
        <f t="array" aca="1" ref="T138" ca="1">IF(S138="","",IF(S138&lt;&gt;S137,1,IF(T137=misLíneas-2,0,T137+1)))</f>
        <v>1</v>
      </c>
      <c r="U138" s="18" t="str" cm="1">
        <f t="array" aca="1" ref="U138" ca="1">IF(OR(T138=0,T138=""),"",INDEX(misCriticidades,S138)&amp;"-"&amp;IFERROR(MATCH(T138,miOrdenTarjeta,0),0))</f>
        <v>2-1</v>
      </c>
      <c r="W138" s="18">
        <f t="shared" ca="1" si="64"/>
        <v>1</v>
      </c>
      <c r="X138" s="18" t="str">
        <f t="shared" ca="1" si="55"/>
        <v/>
      </c>
      <c r="Y138" s="18" t="str" cm="1">
        <f t="array" aca="1" ref="Y138" ca="1">IF(X138="","",IF(X138&lt;&gt;X137,1,IF(Y137=misLíneas-2,0,Y137+1)))</f>
        <v/>
      </c>
      <c r="Z138" s="18" t="str" cm="1">
        <f t="array" aca="1" ref="Z138" ca="1">IF(OR(Y138=0,Y138=""),"",INDEX(misCriticidades,X138)&amp;"-"&amp;IFERROR(MATCH(Y138,miOrdenTarjeta,0),0))</f>
        <v/>
      </c>
      <c r="AB138" s="18">
        <f t="shared" ca="1" si="65"/>
        <v>1</v>
      </c>
      <c r="AC138" s="18" t="str">
        <f t="shared" ca="1" si="56"/>
        <v/>
      </c>
      <c r="AD138" s="18" t="str" cm="1">
        <f t="array" aca="1" ref="AD138" ca="1">IF(AC138="","",IF(AC138&lt;&gt;AC137,1,IF(AD137=misLíneas-2,0,AD137+1)))</f>
        <v/>
      </c>
      <c r="AE138" s="18" t="str" cm="1">
        <f t="array" aca="1" ref="AE138" ca="1">IF(OR(AD138=0,AD138=""),"",INDEX(misCriticidades,AC138)&amp;"-"&amp;IFERROR(MATCH(AD138,miOrdenTarjeta,0),0))</f>
        <v/>
      </c>
      <c r="AG138" s="18">
        <f t="shared" ca="1" si="66"/>
        <v>1</v>
      </c>
      <c r="AH138" s="18" t="str">
        <f t="shared" ca="1" si="57"/>
        <v/>
      </c>
      <c r="AI138" s="18" t="str" cm="1">
        <f t="array" aca="1" ref="AI138" ca="1">IF(AH138="","",IF(AH138&lt;&gt;AH137,1,IF(AI137=misLíneas-2,0,AI137+1)))</f>
        <v/>
      </c>
      <c r="AJ138" s="18" t="str" cm="1">
        <f t="array" aca="1" ref="AJ138" ca="1">IF(OR(AI138=0,AI138=""),"",INDEX(misCriticidades,AH138)&amp;"-"&amp;IFERROR(MATCH(AI138,miOrdenTarjeta,0),0))</f>
        <v/>
      </c>
      <c r="AL138" s="18">
        <f t="shared" ca="1" si="67"/>
        <v>1</v>
      </c>
      <c r="AM138" s="18" t="str">
        <f t="shared" ca="1" si="58"/>
        <v/>
      </c>
      <c r="AN138" s="18" t="str" cm="1">
        <f t="array" aca="1" ref="AN138" ca="1">IF(AM138="","",IF(AM138&lt;&gt;AM137,1,IF(AN137=misLíneas-2,0,AN137+1)))</f>
        <v/>
      </c>
      <c r="AO138" s="18" t="str" cm="1">
        <f t="array" aca="1" ref="AO138" ca="1">IF(OR(AN138=0,AN138=""),"",INDEX(misCriticidades,AM138)&amp;"-"&amp;IFERROR(MATCH(AN138,miOrdenTarjeta,0),0))</f>
        <v/>
      </c>
      <c r="AQ138" s="18">
        <f t="shared" ca="1" si="68"/>
        <v>1</v>
      </c>
      <c r="AR138" s="18" t="str">
        <f t="shared" ca="1" si="59"/>
        <v/>
      </c>
      <c r="AS138" s="18" t="str" cm="1">
        <f t="array" aca="1" ref="AS138" ca="1">IF(AR138="","",IF(AR138&lt;&gt;AR137,1,IF(AS137=misLíneas-2,0,AS137+1)))</f>
        <v/>
      </c>
      <c r="AT138" s="18" t="str" cm="1">
        <f t="array" aca="1" ref="AT138" ca="1">IF(OR(AS138=0,AS138=""),"",INDEX(misCriticidades,AR138)&amp;"-"&amp;IFERROR(MATCH(AS138,miOrdenTarjeta,0),0))</f>
        <v/>
      </c>
      <c r="AV138" s="18">
        <f t="shared" ca="1" si="69"/>
        <v>1</v>
      </c>
      <c r="AW138" s="18" t="str">
        <f t="shared" ca="1" si="60"/>
        <v/>
      </c>
      <c r="AX138" s="18" t="str" cm="1">
        <f t="array" aca="1" ref="AX138" ca="1">IF(AW138="","",IF(AW138&lt;&gt;AW137,1,IF(AX137=misLíneas-2,0,AX137+1)))</f>
        <v/>
      </c>
      <c r="AY138" s="18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18">
        <f t="shared" ref="C139:C198" ca="1" si="70">C138--(E138=0)</f>
        <v>1</v>
      </c>
      <c r="D139" s="18" t="str">
        <f t="shared" ca="1" si="51"/>
        <v/>
      </c>
      <c r="E139" s="18" t="str" cm="1">
        <f t="array" aca="1" ref="E139" ca="1">IF(D139="","",IF(D139&lt;&gt;D138,1,IF(E138=misLíneas-2,0,E138+1)))</f>
        <v/>
      </c>
      <c r="F139" s="18" t="str" cm="1">
        <f t="array" aca="1" ref="F139" ca="1">IF(OR(E139=0,E139=""),"",INDEX(misCriticidades,D139)&amp;"-"&amp;IFERROR(MATCH(E139,miOrdenTarjeta,0),0))</f>
        <v/>
      </c>
      <c r="H139" s="18">
        <f t="shared" ca="1" si="61"/>
        <v>1</v>
      </c>
      <c r="I139" s="18" t="str">
        <f t="shared" ca="1" si="52"/>
        <v/>
      </c>
      <c r="J139" s="18" t="str" cm="1">
        <f t="array" aca="1" ref="J139" ca="1">IF(I139="","",IF(I139&lt;&gt;I138,1,IF(J138=misLíneas-2,0,J138+1)))</f>
        <v/>
      </c>
      <c r="K139" s="18" t="str" cm="1">
        <f t="array" aca="1" ref="K139" ca="1">IF(OR(J139=0,J139=""),"",INDEX(misCriticidades,I139)&amp;"-"&amp;IFERROR(MATCH(J139,miOrdenTarjeta,0),0))</f>
        <v/>
      </c>
      <c r="M139" s="18">
        <f t="shared" ca="1" si="62"/>
        <v>1</v>
      </c>
      <c r="N139" s="18" t="str">
        <f t="shared" ca="1" si="53"/>
        <v/>
      </c>
      <c r="O139" s="18" t="str" cm="1">
        <f t="array" aca="1" ref="O139" ca="1">IF(N139="","",IF(N139&lt;&gt;N138,1,IF(O138=misLíneas-2,0,O138+1)))</f>
        <v/>
      </c>
      <c r="P139" s="18" t="str" cm="1">
        <f t="array" aca="1" ref="P139" ca="1">IF(OR(O139=0,O139=""),"",INDEX(misCriticidades,N139)&amp;"-"&amp;IFERROR(MATCH(O139,miOrdenTarjeta,0),0))</f>
        <v/>
      </c>
      <c r="R139" s="18">
        <f t="shared" ca="1" si="63"/>
        <v>16</v>
      </c>
      <c r="S139" s="18">
        <f t="shared" ca="1" si="54"/>
        <v>15</v>
      </c>
      <c r="T139" s="18" cm="1">
        <f t="array" aca="1" ref="T139" ca="1">IF(S139="","",IF(S139&lt;&gt;S138,1,IF(T138=misLíneas-2,0,T138+1)))</f>
        <v>2</v>
      </c>
      <c r="U139" s="18" t="str" cm="1">
        <f t="array" aca="1" ref="U139" ca="1">IF(OR(T139=0,T139=""),"",INDEX(misCriticidades,S139)&amp;"-"&amp;IFERROR(MATCH(T139,miOrdenTarjeta,0),0))</f>
        <v>2-2</v>
      </c>
      <c r="W139" s="18">
        <f t="shared" ca="1" si="64"/>
        <v>1</v>
      </c>
      <c r="X139" s="18" t="str">
        <f t="shared" ca="1" si="55"/>
        <v/>
      </c>
      <c r="Y139" s="18" t="str" cm="1">
        <f t="array" aca="1" ref="Y139" ca="1">IF(X139="","",IF(X139&lt;&gt;X138,1,IF(Y138=misLíneas-2,0,Y138+1)))</f>
        <v/>
      </c>
      <c r="Z139" s="18" t="str" cm="1">
        <f t="array" aca="1" ref="Z139" ca="1">IF(OR(Y139=0,Y139=""),"",INDEX(misCriticidades,X139)&amp;"-"&amp;IFERROR(MATCH(Y139,miOrdenTarjeta,0),0))</f>
        <v/>
      </c>
      <c r="AB139" s="18">
        <f t="shared" ca="1" si="65"/>
        <v>1</v>
      </c>
      <c r="AC139" s="18" t="str">
        <f t="shared" ca="1" si="56"/>
        <v/>
      </c>
      <c r="AD139" s="18" t="str" cm="1">
        <f t="array" aca="1" ref="AD139" ca="1">IF(AC139="","",IF(AC139&lt;&gt;AC138,1,IF(AD138=misLíneas-2,0,AD138+1)))</f>
        <v/>
      </c>
      <c r="AE139" s="18" t="str" cm="1">
        <f t="array" aca="1" ref="AE139" ca="1">IF(OR(AD139=0,AD139=""),"",INDEX(misCriticidades,AC139)&amp;"-"&amp;IFERROR(MATCH(AD139,miOrdenTarjeta,0),0))</f>
        <v/>
      </c>
      <c r="AG139" s="18">
        <f t="shared" ca="1" si="66"/>
        <v>1</v>
      </c>
      <c r="AH139" s="18" t="str">
        <f t="shared" ca="1" si="57"/>
        <v/>
      </c>
      <c r="AI139" s="18" t="str" cm="1">
        <f t="array" aca="1" ref="AI139" ca="1">IF(AH139="","",IF(AH139&lt;&gt;AH138,1,IF(AI138=misLíneas-2,0,AI138+1)))</f>
        <v/>
      </c>
      <c r="AJ139" s="18" t="str" cm="1">
        <f t="array" aca="1" ref="AJ139" ca="1">IF(OR(AI139=0,AI139=""),"",INDEX(misCriticidades,AH139)&amp;"-"&amp;IFERROR(MATCH(AI139,miOrdenTarjeta,0),0))</f>
        <v/>
      </c>
      <c r="AL139" s="18">
        <f t="shared" ca="1" si="67"/>
        <v>1</v>
      </c>
      <c r="AM139" s="18" t="str">
        <f t="shared" ca="1" si="58"/>
        <v/>
      </c>
      <c r="AN139" s="18" t="str" cm="1">
        <f t="array" aca="1" ref="AN139" ca="1">IF(AM139="","",IF(AM139&lt;&gt;AM138,1,IF(AN138=misLíneas-2,0,AN138+1)))</f>
        <v/>
      </c>
      <c r="AO139" s="18" t="str" cm="1">
        <f t="array" aca="1" ref="AO139" ca="1">IF(OR(AN139=0,AN139=""),"",INDEX(misCriticidades,AM139)&amp;"-"&amp;IFERROR(MATCH(AN139,miOrdenTarjeta,0),0))</f>
        <v/>
      </c>
      <c r="AQ139" s="18">
        <f t="shared" ca="1" si="68"/>
        <v>1</v>
      </c>
      <c r="AR139" s="18" t="str">
        <f t="shared" ca="1" si="59"/>
        <v/>
      </c>
      <c r="AS139" s="18" t="str" cm="1">
        <f t="array" aca="1" ref="AS139" ca="1">IF(AR139="","",IF(AR139&lt;&gt;AR138,1,IF(AS138=misLíneas-2,0,AS138+1)))</f>
        <v/>
      </c>
      <c r="AT139" s="18" t="str" cm="1">
        <f t="array" aca="1" ref="AT139" ca="1">IF(OR(AS139=0,AS139=""),"",INDEX(misCriticidades,AR139)&amp;"-"&amp;IFERROR(MATCH(AS139,miOrdenTarjeta,0),0))</f>
        <v/>
      </c>
      <c r="AV139" s="18">
        <f t="shared" ca="1" si="69"/>
        <v>1</v>
      </c>
      <c r="AW139" s="18" t="str">
        <f t="shared" ca="1" si="60"/>
        <v/>
      </c>
      <c r="AX139" s="18" t="str" cm="1">
        <f t="array" aca="1" ref="AX139" ca="1">IF(AW139="","",IF(AW139&lt;&gt;AW138,1,IF(AX138=misLíneas-2,0,AX138+1)))</f>
        <v/>
      </c>
      <c r="AY139" s="18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18">
        <f t="shared" ca="1" si="70"/>
        <v>1</v>
      </c>
      <c r="D140" s="18" t="str">
        <f t="shared" ca="1" si="51"/>
        <v/>
      </c>
      <c r="E140" s="18" t="str" cm="1">
        <f t="array" aca="1" ref="E140" ca="1">IF(D140="","",IF(D140&lt;&gt;D139,1,IF(E139=misLíneas-2,0,E139+1)))</f>
        <v/>
      </c>
      <c r="F140" s="18" t="str" cm="1">
        <f t="array" aca="1" ref="F140" ca="1">IF(OR(E140=0,E140=""),"",INDEX(misCriticidades,D140)&amp;"-"&amp;IFERROR(MATCH(E140,miOrdenTarjeta,0),0))</f>
        <v/>
      </c>
      <c r="H140" s="18">
        <f t="shared" ca="1" si="61"/>
        <v>1</v>
      </c>
      <c r="I140" s="18" t="str">
        <f t="shared" ca="1" si="52"/>
        <v/>
      </c>
      <c r="J140" s="18" t="str" cm="1">
        <f t="array" aca="1" ref="J140" ca="1">IF(I140="","",IF(I140&lt;&gt;I139,1,IF(J139=misLíneas-2,0,J139+1)))</f>
        <v/>
      </c>
      <c r="K140" s="18" t="str" cm="1">
        <f t="array" aca="1" ref="K140" ca="1">IF(OR(J140=0,J140=""),"",INDEX(misCriticidades,I140)&amp;"-"&amp;IFERROR(MATCH(J140,miOrdenTarjeta,0),0))</f>
        <v/>
      </c>
      <c r="M140" s="18">
        <f t="shared" ca="1" si="62"/>
        <v>1</v>
      </c>
      <c r="N140" s="18" t="str">
        <f t="shared" ca="1" si="53"/>
        <v/>
      </c>
      <c r="O140" s="18" t="str" cm="1">
        <f t="array" aca="1" ref="O140" ca="1">IF(N140="","",IF(N140&lt;&gt;N139,1,IF(O139=misLíneas-2,0,O139+1)))</f>
        <v/>
      </c>
      <c r="P140" s="18" t="str" cm="1">
        <f t="array" aca="1" ref="P140" ca="1">IF(OR(O140=0,O140=""),"",INDEX(misCriticidades,N140)&amp;"-"&amp;IFERROR(MATCH(O140,miOrdenTarjeta,0),0))</f>
        <v/>
      </c>
      <c r="R140" s="18">
        <f t="shared" ca="1" si="63"/>
        <v>16</v>
      </c>
      <c r="S140" s="18">
        <f t="shared" ca="1" si="54"/>
        <v>15</v>
      </c>
      <c r="T140" s="18" cm="1">
        <f t="array" aca="1" ref="T140" ca="1">IF(S140="","",IF(S140&lt;&gt;S139,1,IF(T139=misLíneas-2,0,T139+1)))</f>
        <v>3</v>
      </c>
      <c r="U140" s="18" t="str" cm="1">
        <f t="array" aca="1" ref="U140" ca="1">IF(OR(T140=0,T140=""),"",INDEX(misCriticidades,S140)&amp;"-"&amp;IFERROR(MATCH(T140,miOrdenTarjeta,0),0))</f>
        <v>2-3</v>
      </c>
      <c r="W140" s="18">
        <f t="shared" ca="1" si="64"/>
        <v>1</v>
      </c>
      <c r="X140" s="18" t="str">
        <f t="shared" ca="1" si="55"/>
        <v/>
      </c>
      <c r="Y140" s="18" t="str" cm="1">
        <f t="array" aca="1" ref="Y140" ca="1">IF(X140="","",IF(X140&lt;&gt;X139,1,IF(Y139=misLíneas-2,0,Y139+1)))</f>
        <v/>
      </c>
      <c r="Z140" s="18" t="str" cm="1">
        <f t="array" aca="1" ref="Z140" ca="1">IF(OR(Y140=0,Y140=""),"",INDEX(misCriticidades,X140)&amp;"-"&amp;IFERROR(MATCH(Y140,miOrdenTarjeta,0),0))</f>
        <v/>
      </c>
      <c r="AB140" s="18">
        <f t="shared" ca="1" si="65"/>
        <v>1</v>
      </c>
      <c r="AC140" s="18" t="str">
        <f t="shared" ca="1" si="56"/>
        <v/>
      </c>
      <c r="AD140" s="18" t="str" cm="1">
        <f t="array" aca="1" ref="AD140" ca="1">IF(AC140="","",IF(AC140&lt;&gt;AC139,1,IF(AD139=misLíneas-2,0,AD139+1)))</f>
        <v/>
      </c>
      <c r="AE140" s="18" t="str" cm="1">
        <f t="array" aca="1" ref="AE140" ca="1">IF(OR(AD140=0,AD140=""),"",INDEX(misCriticidades,AC140)&amp;"-"&amp;IFERROR(MATCH(AD140,miOrdenTarjeta,0),0))</f>
        <v/>
      </c>
      <c r="AG140" s="18">
        <f t="shared" ca="1" si="66"/>
        <v>1</v>
      </c>
      <c r="AH140" s="18" t="str">
        <f t="shared" ca="1" si="57"/>
        <v/>
      </c>
      <c r="AI140" s="18" t="str" cm="1">
        <f t="array" aca="1" ref="AI140" ca="1">IF(AH140="","",IF(AH140&lt;&gt;AH139,1,IF(AI139=misLíneas-2,0,AI139+1)))</f>
        <v/>
      </c>
      <c r="AJ140" s="18" t="str" cm="1">
        <f t="array" aca="1" ref="AJ140" ca="1">IF(OR(AI140=0,AI140=""),"",INDEX(misCriticidades,AH140)&amp;"-"&amp;IFERROR(MATCH(AI140,miOrdenTarjeta,0),0))</f>
        <v/>
      </c>
      <c r="AL140" s="18">
        <f t="shared" ca="1" si="67"/>
        <v>1</v>
      </c>
      <c r="AM140" s="18" t="str">
        <f t="shared" ca="1" si="58"/>
        <v/>
      </c>
      <c r="AN140" s="18" t="str" cm="1">
        <f t="array" aca="1" ref="AN140" ca="1">IF(AM140="","",IF(AM140&lt;&gt;AM139,1,IF(AN139=misLíneas-2,0,AN139+1)))</f>
        <v/>
      </c>
      <c r="AO140" s="18" t="str" cm="1">
        <f t="array" aca="1" ref="AO140" ca="1">IF(OR(AN140=0,AN140=""),"",INDEX(misCriticidades,AM140)&amp;"-"&amp;IFERROR(MATCH(AN140,miOrdenTarjeta,0),0))</f>
        <v/>
      </c>
      <c r="AQ140" s="18">
        <f t="shared" ca="1" si="68"/>
        <v>1</v>
      </c>
      <c r="AR140" s="18" t="str">
        <f t="shared" ca="1" si="59"/>
        <v/>
      </c>
      <c r="AS140" s="18" t="str" cm="1">
        <f t="array" aca="1" ref="AS140" ca="1">IF(AR140="","",IF(AR140&lt;&gt;AR139,1,IF(AS139=misLíneas-2,0,AS139+1)))</f>
        <v/>
      </c>
      <c r="AT140" s="18" t="str" cm="1">
        <f t="array" aca="1" ref="AT140" ca="1">IF(OR(AS140=0,AS140=""),"",INDEX(misCriticidades,AR140)&amp;"-"&amp;IFERROR(MATCH(AS140,miOrdenTarjeta,0),0))</f>
        <v/>
      </c>
      <c r="AV140" s="18">
        <f t="shared" ca="1" si="69"/>
        <v>1</v>
      </c>
      <c r="AW140" s="18" t="str">
        <f t="shared" ca="1" si="60"/>
        <v/>
      </c>
      <c r="AX140" s="18" t="str" cm="1">
        <f t="array" aca="1" ref="AX140" ca="1">IF(AW140="","",IF(AW140&lt;&gt;AW139,1,IF(AX139=misLíneas-2,0,AX139+1)))</f>
        <v/>
      </c>
      <c r="AY140" s="18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18">
        <f t="shared" ca="1" si="70"/>
        <v>1</v>
      </c>
      <c r="D141" s="18" t="str">
        <f t="shared" ca="1" si="51"/>
        <v/>
      </c>
      <c r="E141" s="18" t="str" cm="1">
        <f t="array" aca="1" ref="E141" ca="1">IF(D141="","",IF(D141&lt;&gt;D140,1,IF(E140=misLíneas-2,0,E140+1)))</f>
        <v/>
      </c>
      <c r="F141" s="18" t="str" cm="1">
        <f t="array" aca="1" ref="F141" ca="1">IF(OR(E141=0,E141=""),"",INDEX(misCriticidades,D141)&amp;"-"&amp;IFERROR(MATCH(E141,miOrdenTarjeta,0),0))</f>
        <v/>
      </c>
      <c r="H141" s="18">
        <f t="shared" ca="1" si="61"/>
        <v>1</v>
      </c>
      <c r="I141" s="18" t="str">
        <f t="shared" ca="1" si="52"/>
        <v/>
      </c>
      <c r="J141" s="18" t="str" cm="1">
        <f t="array" aca="1" ref="J141" ca="1">IF(I141="","",IF(I141&lt;&gt;I140,1,IF(J140=misLíneas-2,0,J140+1)))</f>
        <v/>
      </c>
      <c r="K141" s="18" t="str" cm="1">
        <f t="array" aca="1" ref="K141" ca="1">IF(OR(J141=0,J141=""),"",INDEX(misCriticidades,I141)&amp;"-"&amp;IFERROR(MATCH(J141,miOrdenTarjeta,0),0))</f>
        <v/>
      </c>
      <c r="M141" s="18">
        <f t="shared" ca="1" si="62"/>
        <v>1</v>
      </c>
      <c r="N141" s="18" t="str">
        <f t="shared" ca="1" si="53"/>
        <v/>
      </c>
      <c r="O141" s="18" t="str" cm="1">
        <f t="array" aca="1" ref="O141" ca="1">IF(N141="","",IF(N141&lt;&gt;N140,1,IF(O140=misLíneas-2,0,O140+1)))</f>
        <v/>
      </c>
      <c r="P141" s="18" t="str" cm="1">
        <f t="array" aca="1" ref="P141" ca="1">IF(OR(O141=0,O141=""),"",INDEX(misCriticidades,N141)&amp;"-"&amp;IFERROR(MATCH(O141,miOrdenTarjeta,0),0))</f>
        <v/>
      </c>
      <c r="R141" s="18">
        <f t="shared" ca="1" si="63"/>
        <v>16</v>
      </c>
      <c r="S141" s="18">
        <f t="shared" ca="1" si="54"/>
        <v>15</v>
      </c>
      <c r="T141" s="18" cm="1">
        <f t="array" aca="1" ref="T141" ca="1">IF(S141="","",IF(S141&lt;&gt;S140,1,IF(T140=misLíneas-2,0,T140+1)))</f>
        <v>4</v>
      </c>
      <c r="U141" s="18" t="str" cm="1">
        <f t="array" aca="1" ref="U141" ca="1">IF(OR(T141=0,T141=""),"",INDEX(misCriticidades,S141)&amp;"-"&amp;IFERROR(MATCH(T141,miOrdenTarjeta,0),0))</f>
        <v>2-4</v>
      </c>
      <c r="W141" s="18">
        <f t="shared" ca="1" si="64"/>
        <v>1</v>
      </c>
      <c r="X141" s="18" t="str">
        <f t="shared" ca="1" si="55"/>
        <v/>
      </c>
      <c r="Y141" s="18" t="str" cm="1">
        <f t="array" aca="1" ref="Y141" ca="1">IF(X141="","",IF(X141&lt;&gt;X140,1,IF(Y140=misLíneas-2,0,Y140+1)))</f>
        <v/>
      </c>
      <c r="Z141" s="18" t="str" cm="1">
        <f t="array" aca="1" ref="Z141" ca="1">IF(OR(Y141=0,Y141=""),"",INDEX(misCriticidades,X141)&amp;"-"&amp;IFERROR(MATCH(Y141,miOrdenTarjeta,0),0))</f>
        <v/>
      </c>
      <c r="AB141" s="18">
        <f t="shared" ca="1" si="65"/>
        <v>1</v>
      </c>
      <c r="AC141" s="18" t="str">
        <f t="shared" ca="1" si="56"/>
        <v/>
      </c>
      <c r="AD141" s="18" t="str" cm="1">
        <f t="array" aca="1" ref="AD141" ca="1">IF(AC141="","",IF(AC141&lt;&gt;AC140,1,IF(AD140=misLíneas-2,0,AD140+1)))</f>
        <v/>
      </c>
      <c r="AE141" s="18" t="str" cm="1">
        <f t="array" aca="1" ref="AE141" ca="1">IF(OR(AD141=0,AD141=""),"",INDEX(misCriticidades,AC141)&amp;"-"&amp;IFERROR(MATCH(AD141,miOrdenTarjeta,0),0))</f>
        <v/>
      </c>
      <c r="AG141" s="18">
        <f t="shared" ca="1" si="66"/>
        <v>1</v>
      </c>
      <c r="AH141" s="18" t="str">
        <f t="shared" ca="1" si="57"/>
        <v/>
      </c>
      <c r="AI141" s="18" t="str" cm="1">
        <f t="array" aca="1" ref="AI141" ca="1">IF(AH141="","",IF(AH141&lt;&gt;AH140,1,IF(AI140=misLíneas-2,0,AI140+1)))</f>
        <v/>
      </c>
      <c r="AJ141" s="18" t="str" cm="1">
        <f t="array" aca="1" ref="AJ141" ca="1">IF(OR(AI141=0,AI141=""),"",INDEX(misCriticidades,AH141)&amp;"-"&amp;IFERROR(MATCH(AI141,miOrdenTarjeta,0),0))</f>
        <v/>
      </c>
      <c r="AL141" s="18">
        <f t="shared" ca="1" si="67"/>
        <v>1</v>
      </c>
      <c r="AM141" s="18" t="str">
        <f t="shared" ca="1" si="58"/>
        <v/>
      </c>
      <c r="AN141" s="18" t="str" cm="1">
        <f t="array" aca="1" ref="AN141" ca="1">IF(AM141="","",IF(AM141&lt;&gt;AM140,1,IF(AN140=misLíneas-2,0,AN140+1)))</f>
        <v/>
      </c>
      <c r="AO141" s="18" t="str" cm="1">
        <f t="array" aca="1" ref="AO141" ca="1">IF(OR(AN141=0,AN141=""),"",INDEX(misCriticidades,AM141)&amp;"-"&amp;IFERROR(MATCH(AN141,miOrdenTarjeta,0),0))</f>
        <v/>
      </c>
      <c r="AQ141" s="18">
        <f t="shared" ca="1" si="68"/>
        <v>1</v>
      </c>
      <c r="AR141" s="18" t="str">
        <f t="shared" ca="1" si="59"/>
        <v/>
      </c>
      <c r="AS141" s="18" t="str" cm="1">
        <f t="array" aca="1" ref="AS141" ca="1">IF(AR141="","",IF(AR141&lt;&gt;AR140,1,IF(AS140=misLíneas-2,0,AS140+1)))</f>
        <v/>
      </c>
      <c r="AT141" s="18" t="str" cm="1">
        <f t="array" aca="1" ref="AT141" ca="1">IF(OR(AS141=0,AS141=""),"",INDEX(misCriticidades,AR141)&amp;"-"&amp;IFERROR(MATCH(AS141,miOrdenTarjeta,0),0))</f>
        <v/>
      </c>
      <c r="AV141" s="18">
        <f t="shared" ca="1" si="69"/>
        <v>1</v>
      </c>
      <c r="AW141" s="18" t="str">
        <f t="shared" ca="1" si="60"/>
        <v/>
      </c>
      <c r="AX141" s="18" t="str" cm="1">
        <f t="array" aca="1" ref="AX141" ca="1">IF(AW141="","",IF(AW141&lt;&gt;AW140,1,IF(AX140=misLíneas-2,0,AX140+1)))</f>
        <v/>
      </c>
      <c r="AY141" s="18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18">
        <f t="shared" ca="1" si="70"/>
        <v>1</v>
      </c>
      <c r="D142" s="18" t="str">
        <f t="shared" ca="1" si="51"/>
        <v/>
      </c>
      <c r="E142" s="18" t="str" cm="1">
        <f t="array" aca="1" ref="E142" ca="1">IF(D142="","",IF(D142&lt;&gt;D141,1,IF(E141=misLíneas-2,0,E141+1)))</f>
        <v/>
      </c>
      <c r="F142" s="18" t="str" cm="1">
        <f t="array" aca="1" ref="F142" ca="1">IF(OR(E142=0,E142=""),"",INDEX(misCriticidades,D142)&amp;"-"&amp;IFERROR(MATCH(E142,miOrdenTarjeta,0),0))</f>
        <v/>
      </c>
      <c r="H142" s="18">
        <f t="shared" ca="1" si="61"/>
        <v>1</v>
      </c>
      <c r="I142" s="18" t="str">
        <f t="shared" ca="1" si="52"/>
        <v/>
      </c>
      <c r="J142" s="18" t="str" cm="1">
        <f t="array" aca="1" ref="J142" ca="1">IF(I142="","",IF(I142&lt;&gt;I141,1,IF(J141=misLíneas-2,0,J141+1)))</f>
        <v/>
      </c>
      <c r="K142" s="18" t="str" cm="1">
        <f t="array" aca="1" ref="K142" ca="1">IF(OR(J142=0,J142=""),"",INDEX(misCriticidades,I142)&amp;"-"&amp;IFERROR(MATCH(J142,miOrdenTarjeta,0),0))</f>
        <v/>
      </c>
      <c r="M142" s="18">
        <f t="shared" ca="1" si="62"/>
        <v>1</v>
      </c>
      <c r="N142" s="18" t="str">
        <f t="shared" ca="1" si="53"/>
        <v/>
      </c>
      <c r="O142" s="18" t="str" cm="1">
        <f t="array" aca="1" ref="O142" ca="1">IF(N142="","",IF(N142&lt;&gt;N141,1,IF(O141=misLíneas-2,0,O141+1)))</f>
        <v/>
      </c>
      <c r="P142" s="18" t="str" cm="1">
        <f t="array" aca="1" ref="P142" ca="1">IF(OR(O142=0,O142=""),"",INDEX(misCriticidades,N142)&amp;"-"&amp;IFERROR(MATCH(O142,miOrdenTarjeta,0),0))</f>
        <v/>
      </c>
      <c r="R142" s="18">
        <f t="shared" ca="1" si="63"/>
        <v>16</v>
      </c>
      <c r="S142" s="18">
        <f t="shared" ca="1" si="54"/>
        <v>15</v>
      </c>
      <c r="T142" s="18" cm="1">
        <f t="array" aca="1" ref="T142" ca="1">IF(S142="","",IF(S142&lt;&gt;S141,1,IF(T141=misLíneas-2,0,T141+1)))</f>
        <v>5</v>
      </c>
      <c r="U142" s="18" t="str" cm="1">
        <f t="array" aca="1" ref="U142" ca="1">IF(OR(T142=0,T142=""),"",INDEX(misCriticidades,S142)&amp;"-"&amp;IFERROR(MATCH(T142,miOrdenTarjeta,0),0))</f>
        <v>2-5</v>
      </c>
      <c r="W142" s="18">
        <f t="shared" ca="1" si="64"/>
        <v>1</v>
      </c>
      <c r="X142" s="18" t="str">
        <f t="shared" ca="1" si="55"/>
        <v/>
      </c>
      <c r="Y142" s="18" t="str" cm="1">
        <f t="array" aca="1" ref="Y142" ca="1">IF(X142="","",IF(X142&lt;&gt;X141,1,IF(Y141=misLíneas-2,0,Y141+1)))</f>
        <v/>
      </c>
      <c r="Z142" s="18" t="str" cm="1">
        <f t="array" aca="1" ref="Z142" ca="1">IF(OR(Y142=0,Y142=""),"",INDEX(misCriticidades,X142)&amp;"-"&amp;IFERROR(MATCH(Y142,miOrdenTarjeta,0),0))</f>
        <v/>
      </c>
      <c r="AB142" s="18">
        <f t="shared" ca="1" si="65"/>
        <v>1</v>
      </c>
      <c r="AC142" s="18" t="str">
        <f t="shared" ca="1" si="56"/>
        <v/>
      </c>
      <c r="AD142" s="18" t="str" cm="1">
        <f t="array" aca="1" ref="AD142" ca="1">IF(AC142="","",IF(AC142&lt;&gt;AC141,1,IF(AD141=misLíneas-2,0,AD141+1)))</f>
        <v/>
      </c>
      <c r="AE142" s="18" t="str" cm="1">
        <f t="array" aca="1" ref="AE142" ca="1">IF(OR(AD142=0,AD142=""),"",INDEX(misCriticidades,AC142)&amp;"-"&amp;IFERROR(MATCH(AD142,miOrdenTarjeta,0),0))</f>
        <v/>
      </c>
      <c r="AG142" s="18">
        <f t="shared" ca="1" si="66"/>
        <v>1</v>
      </c>
      <c r="AH142" s="18" t="str">
        <f t="shared" ca="1" si="57"/>
        <v/>
      </c>
      <c r="AI142" s="18" t="str" cm="1">
        <f t="array" aca="1" ref="AI142" ca="1">IF(AH142="","",IF(AH142&lt;&gt;AH141,1,IF(AI141=misLíneas-2,0,AI141+1)))</f>
        <v/>
      </c>
      <c r="AJ142" s="18" t="str" cm="1">
        <f t="array" aca="1" ref="AJ142" ca="1">IF(OR(AI142=0,AI142=""),"",INDEX(misCriticidades,AH142)&amp;"-"&amp;IFERROR(MATCH(AI142,miOrdenTarjeta,0),0))</f>
        <v/>
      </c>
      <c r="AL142" s="18">
        <f t="shared" ca="1" si="67"/>
        <v>1</v>
      </c>
      <c r="AM142" s="18" t="str">
        <f t="shared" ca="1" si="58"/>
        <v/>
      </c>
      <c r="AN142" s="18" t="str" cm="1">
        <f t="array" aca="1" ref="AN142" ca="1">IF(AM142="","",IF(AM142&lt;&gt;AM141,1,IF(AN141=misLíneas-2,0,AN141+1)))</f>
        <v/>
      </c>
      <c r="AO142" s="18" t="str" cm="1">
        <f t="array" aca="1" ref="AO142" ca="1">IF(OR(AN142=0,AN142=""),"",INDEX(misCriticidades,AM142)&amp;"-"&amp;IFERROR(MATCH(AN142,miOrdenTarjeta,0),0))</f>
        <v/>
      </c>
      <c r="AQ142" s="18">
        <f t="shared" ca="1" si="68"/>
        <v>1</v>
      </c>
      <c r="AR142" s="18" t="str">
        <f t="shared" ca="1" si="59"/>
        <v/>
      </c>
      <c r="AS142" s="18" t="str" cm="1">
        <f t="array" aca="1" ref="AS142" ca="1">IF(AR142="","",IF(AR142&lt;&gt;AR141,1,IF(AS141=misLíneas-2,0,AS141+1)))</f>
        <v/>
      </c>
      <c r="AT142" s="18" t="str" cm="1">
        <f t="array" aca="1" ref="AT142" ca="1">IF(OR(AS142=0,AS142=""),"",INDEX(misCriticidades,AR142)&amp;"-"&amp;IFERROR(MATCH(AS142,miOrdenTarjeta,0),0))</f>
        <v/>
      </c>
      <c r="AV142" s="18">
        <f t="shared" ca="1" si="69"/>
        <v>1</v>
      </c>
      <c r="AW142" s="18" t="str">
        <f t="shared" ca="1" si="60"/>
        <v/>
      </c>
      <c r="AX142" s="18" t="str" cm="1">
        <f t="array" aca="1" ref="AX142" ca="1">IF(AW142="","",IF(AW142&lt;&gt;AW141,1,IF(AX141=misLíneas-2,0,AX141+1)))</f>
        <v/>
      </c>
      <c r="AY142" s="18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18">
        <f t="shared" ca="1" si="70"/>
        <v>1</v>
      </c>
      <c r="D143" s="18" t="str">
        <f t="shared" ca="1" si="51"/>
        <v/>
      </c>
      <c r="E143" s="18" t="str" cm="1">
        <f t="array" aca="1" ref="E143" ca="1">IF(D143="","",IF(D143&lt;&gt;D142,1,IF(E142=misLíneas-2,0,E142+1)))</f>
        <v/>
      </c>
      <c r="F143" s="18" t="str" cm="1">
        <f t="array" aca="1" ref="F143" ca="1">IF(OR(E143=0,E143=""),"",INDEX(misCriticidades,D143)&amp;"-"&amp;IFERROR(MATCH(E143,miOrdenTarjeta,0),0))</f>
        <v/>
      </c>
      <c r="H143" s="18">
        <f t="shared" ca="1" si="61"/>
        <v>1</v>
      </c>
      <c r="I143" s="18" t="str">
        <f t="shared" ca="1" si="52"/>
        <v/>
      </c>
      <c r="J143" s="18" t="str" cm="1">
        <f t="array" aca="1" ref="J143" ca="1">IF(I143="","",IF(I143&lt;&gt;I142,1,IF(J142=misLíneas-2,0,J142+1)))</f>
        <v/>
      </c>
      <c r="K143" s="18" t="str" cm="1">
        <f t="array" aca="1" ref="K143" ca="1">IF(OR(J143=0,J143=""),"",INDEX(misCriticidades,I143)&amp;"-"&amp;IFERROR(MATCH(J143,miOrdenTarjeta,0),0))</f>
        <v/>
      </c>
      <c r="M143" s="18">
        <f t="shared" ca="1" si="62"/>
        <v>1</v>
      </c>
      <c r="N143" s="18" t="str">
        <f t="shared" ca="1" si="53"/>
        <v/>
      </c>
      <c r="O143" s="18" t="str" cm="1">
        <f t="array" aca="1" ref="O143" ca="1">IF(N143="","",IF(N143&lt;&gt;N142,1,IF(O142=misLíneas-2,0,O142+1)))</f>
        <v/>
      </c>
      <c r="P143" s="18" t="str" cm="1">
        <f t="array" aca="1" ref="P143" ca="1">IF(OR(O143=0,O143=""),"",INDEX(misCriticidades,N143)&amp;"-"&amp;IFERROR(MATCH(O143,miOrdenTarjeta,0),0))</f>
        <v/>
      </c>
      <c r="R143" s="18">
        <f t="shared" ca="1" si="63"/>
        <v>16</v>
      </c>
      <c r="S143" s="18">
        <f t="shared" ca="1" si="54"/>
        <v>15</v>
      </c>
      <c r="T143" s="18" cm="1">
        <f t="array" aca="1" ref="T143" ca="1">IF(S143="","",IF(S143&lt;&gt;S142,1,IF(T142=misLíneas-2,0,T142+1)))</f>
        <v>6</v>
      </c>
      <c r="U143" s="18" t="str" cm="1">
        <f t="array" aca="1" ref="U143" ca="1">IF(OR(T143=0,T143=""),"",INDEX(misCriticidades,S143)&amp;"-"&amp;IFERROR(MATCH(T143,miOrdenTarjeta,0),0))</f>
        <v>2-6</v>
      </c>
      <c r="W143" s="18">
        <f t="shared" ca="1" si="64"/>
        <v>1</v>
      </c>
      <c r="X143" s="18" t="str">
        <f t="shared" ca="1" si="55"/>
        <v/>
      </c>
      <c r="Y143" s="18" t="str" cm="1">
        <f t="array" aca="1" ref="Y143" ca="1">IF(X143="","",IF(X143&lt;&gt;X142,1,IF(Y142=misLíneas-2,0,Y142+1)))</f>
        <v/>
      </c>
      <c r="Z143" s="18" t="str" cm="1">
        <f t="array" aca="1" ref="Z143" ca="1">IF(OR(Y143=0,Y143=""),"",INDEX(misCriticidades,X143)&amp;"-"&amp;IFERROR(MATCH(Y143,miOrdenTarjeta,0),0))</f>
        <v/>
      </c>
      <c r="AB143" s="18">
        <f t="shared" ca="1" si="65"/>
        <v>1</v>
      </c>
      <c r="AC143" s="18" t="str">
        <f t="shared" ca="1" si="56"/>
        <v/>
      </c>
      <c r="AD143" s="18" t="str" cm="1">
        <f t="array" aca="1" ref="AD143" ca="1">IF(AC143="","",IF(AC143&lt;&gt;AC142,1,IF(AD142=misLíneas-2,0,AD142+1)))</f>
        <v/>
      </c>
      <c r="AE143" s="18" t="str" cm="1">
        <f t="array" aca="1" ref="AE143" ca="1">IF(OR(AD143=0,AD143=""),"",INDEX(misCriticidades,AC143)&amp;"-"&amp;IFERROR(MATCH(AD143,miOrdenTarjeta,0),0))</f>
        <v/>
      </c>
      <c r="AG143" s="18">
        <f t="shared" ca="1" si="66"/>
        <v>1</v>
      </c>
      <c r="AH143" s="18" t="str">
        <f t="shared" ca="1" si="57"/>
        <v/>
      </c>
      <c r="AI143" s="18" t="str" cm="1">
        <f t="array" aca="1" ref="AI143" ca="1">IF(AH143="","",IF(AH143&lt;&gt;AH142,1,IF(AI142=misLíneas-2,0,AI142+1)))</f>
        <v/>
      </c>
      <c r="AJ143" s="18" t="str" cm="1">
        <f t="array" aca="1" ref="AJ143" ca="1">IF(OR(AI143=0,AI143=""),"",INDEX(misCriticidades,AH143)&amp;"-"&amp;IFERROR(MATCH(AI143,miOrdenTarjeta,0),0))</f>
        <v/>
      </c>
      <c r="AL143" s="18">
        <f t="shared" ca="1" si="67"/>
        <v>1</v>
      </c>
      <c r="AM143" s="18" t="str">
        <f t="shared" ca="1" si="58"/>
        <v/>
      </c>
      <c r="AN143" s="18" t="str" cm="1">
        <f t="array" aca="1" ref="AN143" ca="1">IF(AM143="","",IF(AM143&lt;&gt;AM142,1,IF(AN142=misLíneas-2,0,AN142+1)))</f>
        <v/>
      </c>
      <c r="AO143" s="18" t="str" cm="1">
        <f t="array" aca="1" ref="AO143" ca="1">IF(OR(AN143=0,AN143=""),"",INDEX(misCriticidades,AM143)&amp;"-"&amp;IFERROR(MATCH(AN143,miOrdenTarjeta,0),0))</f>
        <v/>
      </c>
      <c r="AQ143" s="18">
        <f t="shared" ca="1" si="68"/>
        <v>1</v>
      </c>
      <c r="AR143" s="18" t="str">
        <f t="shared" ca="1" si="59"/>
        <v/>
      </c>
      <c r="AS143" s="18" t="str" cm="1">
        <f t="array" aca="1" ref="AS143" ca="1">IF(AR143="","",IF(AR143&lt;&gt;AR142,1,IF(AS142=misLíneas-2,0,AS142+1)))</f>
        <v/>
      </c>
      <c r="AT143" s="18" t="str" cm="1">
        <f t="array" aca="1" ref="AT143" ca="1">IF(OR(AS143=0,AS143=""),"",INDEX(misCriticidades,AR143)&amp;"-"&amp;IFERROR(MATCH(AS143,miOrdenTarjeta,0),0))</f>
        <v/>
      </c>
      <c r="AV143" s="18">
        <f t="shared" ca="1" si="69"/>
        <v>1</v>
      </c>
      <c r="AW143" s="18" t="str">
        <f t="shared" ca="1" si="60"/>
        <v/>
      </c>
      <c r="AX143" s="18" t="str" cm="1">
        <f t="array" aca="1" ref="AX143" ca="1">IF(AW143="","",IF(AW143&lt;&gt;AW142,1,IF(AX142=misLíneas-2,0,AX142+1)))</f>
        <v/>
      </c>
      <c r="AY143" s="18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18">
        <f t="shared" ca="1" si="70"/>
        <v>1</v>
      </c>
      <c r="D144" s="18" t="str">
        <f t="shared" ca="1" si="51"/>
        <v/>
      </c>
      <c r="E144" s="18" t="str" cm="1">
        <f t="array" aca="1" ref="E144" ca="1">IF(D144="","",IF(D144&lt;&gt;D143,1,IF(E143=misLíneas-2,0,E143+1)))</f>
        <v/>
      </c>
      <c r="F144" s="18" t="str" cm="1">
        <f t="array" aca="1" ref="F144" ca="1">IF(OR(E144=0,E144=""),"",INDEX(misCriticidades,D144)&amp;"-"&amp;IFERROR(MATCH(E144,miOrdenTarjeta,0),0))</f>
        <v/>
      </c>
      <c r="H144" s="18">
        <f t="shared" ca="1" si="61"/>
        <v>1</v>
      </c>
      <c r="I144" s="18" t="str">
        <f t="shared" ca="1" si="52"/>
        <v/>
      </c>
      <c r="J144" s="18" t="str" cm="1">
        <f t="array" aca="1" ref="J144" ca="1">IF(I144="","",IF(I144&lt;&gt;I143,1,IF(J143=misLíneas-2,0,J143+1)))</f>
        <v/>
      </c>
      <c r="K144" s="18" t="str" cm="1">
        <f t="array" aca="1" ref="K144" ca="1">IF(OR(J144=0,J144=""),"",INDEX(misCriticidades,I144)&amp;"-"&amp;IFERROR(MATCH(J144,miOrdenTarjeta,0),0))</f>
        <v/>
      </c>
      <c r="M144" s="18">
        <f t="shared" ca="1" si="62"/>
        <v>1</v>
      </c>
      <c r="N144" s="18" t="str">
        <f t="shared" ca="1" si="53"/>
        <v/>
      </c>
      <c r="O144" s="18" t="str" cm="1">
        <f t="array" aca="1" ref="O144" ca="1">IF(N144="","",IF(N144&lt;&gt;N143,1,IF(O143=misLíneas-2,0,O143+1)))</f>
        <v/>
      </c>
      <c r="P144" s="18" t="str" cm="1">
        <f t="array" aca="1" ref="P144" ca="1">IF(OR(O144=0,O144=""),"",INDEX(misCriticidades,N144)&amp;"-"&amp;IFERROR(MATCH(O144,miOrdenTarjeta,0),0))</f>
        <v/>
      </c>
      <c r="R144" s="18">
        <f t="shared" ca="1" si="63"/>
        <v>16</v>
      </c>
      <c r="S144" s="18">
        <f t="shared" ca="1" si="54"/>
        <v>15</v>
      </c>
      <c r="T144" s="18" cm="1">
        <f t="array" aca="1" ref="T144" ca="1">IF(S144="","",IF(S144&lt;&gt;S143,1,IF(T143=misLíneas-2,0,T143+1)))</f>
        <v>7</v>
      </c>
      <c r="U144" s="18" t="str" cm="1">
        <f t="array" aca="1" ref="U144" ca="1">IF(OR(T144=0,T144=""),"",INDEX(misCriticidades,S144)&amp;"-"&amp;IFERROR(MATCH(T144,miOrdenTarjeta,0),0))</f>
        <v>2-7</v>
      </c>
      <c r="W144" s="18">
        <f t="shared" ca="1" si="64"/>
        <v>1</v>
      </c>
      <c r="X144" s="18" t="str">
        <f t="shared" ca="1" si="55"/>
        <v/>
      </c>
      <c r="Y144" s="18" t="str" cm="1">
        <f t="array" aca="1" ref="Y144" ca="1">IF(X144="","",IF(X144&lt;&gt;X143,1,IF(Y143=misLíneas-2,0,Y143+1)))</f>
        <v/>
      </c>
      <c r="Z144" s="18" t="str" cm="1">
        <f t="array" aca="1" ref="Z144" ca="1">IF(OR(Y144=0,Y144=""),"",INDEX(misCriticidades,X144)&amp;"-"&amp;IFERROR(MATCH(Y144,miOrdenTarjeta,0),0))</f>
        <v/>
      </c>
      <c r="AB144" s="18">
        <f t="shared" ca="1" si="65"/>
        <v>1</v>
      </c>
      <c r="AC144" s="18" t="str">
        <f t="shared" ca="1" si="56"/>
        <v/>
      </c>
      <c r="AD144" s="18" t="str" cm="1">
        <f t="array" aca="1" ref="AD144" ca="1">IF(AC144="","",IF(AC144&lt;&gt;AC143,1,IF(AD143=misLíneas-2,0,AD143+1)))</f>
        <v/>
      </c>
      <c r="AE144" s="18" t="str" cm="1">
        <f t="array" aca="1" ref="AE144" ca="1">IF(OR(AD144=0,AD144=""),"",INDEX(misCriticidades,AC144)&amp;"-"&amp;IFERROR(MATCH(AD144,miOrdenTarjeta,0),0))</f>
        <v/>
      </c>
      <c r="AG144" s="18">
        <f t="shared" ca="1" si="66"/>
        <v>1</v>
      </c>
      <c r="AH144" s="18" t="str">
        <f t="shared" ca="1" si="57"/>
        <v/>
      </c>
      <c r="AI144" s="18" t="str" cm="1">
        <f t="array" aca="1" ref="AI144" ca="1">IF(AH144="","",IF(AH144&lt;&gt;AH143,1,IF(AI143=misLíneas-2,0,AI143+1)))</f>
        <v/>
      </c>
      <c r="AJ144" s="18" t="str" cm="1">
        <f t="array" aca="1" ref="AJ144" ca="1">IF(OR(AI144=0,AI144=""),"",INDEX(misCriticidades,AH144)&amp;"-"&amp;IFERROR(MATCH(AI144,miOrdenTarjeta,0),0))</f>
        <v/>
      </c>
      <c r="AL144" s="18">
        <f t="shared" ca="1" si="67"/>
        <v>1</v>
      </c>
      <c r="AM144" s="18" t="str">
        <f t="shared" ca="1" si="58"/>
        <v/>
      </c>
      <c r="AN144" s="18" t="str" cm="1">
        <f t="array" aca="1" ref="AN144" ca="1">IF(AM144="","",IF(AM144&lt;&gt;AM143,1,IF(AN143=misLíneas-2,0,AN143+1)))</f>
        <v/>
      </c>
      <c r="AO144" s="18" t="str" cm="1">
        <f t="array" aca="1" ref="AO144" ca="1">IF(OR(AN144=0,AN144=""),"",INDEX(misCriticidades,AM144)&amp;"-"&amp;IFERROR(MATCH(AN144,miOrdenTarjeta,0),0))</f>
        <v/>
      </c>
      <c r="AQ144" s="18">
        <f t="shared" ca="1" si="68"/>
        <v>1</v>
      </c>
      <c r="AR144" s="18" t="str">
        <f t="shared" ca="1" si="59"/>
        <v/>
      </c>
      <c r="AS144" s="18" t="str" cm="1">
        <f t="array" aca="1" ref="AS144" ca="1">IF(AR144="","",IF(AR144&lt;&gt;AR143,1,IF(AS143=misLíneas-2,0,AS143+1)))</f>
        <v/>
      </c>
      <c r="AT144" s="18" t="str" cm="1">
        <f t="array" aca="1" ref="AT144" ca="1">IF(OR(AS144=0,AS144=""),"",INDEX(misCriticidades,AR144)&amp;"-"&amp;IFERROR(MATCH(AS144,miOrdenTarjeta,0),0))</f>
        <v/>
      </c>
      <c r="AV144" s="18">
        <f t="shared" ca="1" si="69"/>
        <v>1</v>
      </c>
      <c r="AW144" s="18" t="str">
        <f t="shared" ca="1" si="60"/>
        <v/>
      </c>
      <c r="AX144" s="18" t="str" cm="1">
        <f t="array" aca="1" ref="AX144" ca="1">IF(AW144="","",IF(AW144&lt;&gt;AW143,1,IF(AX143=misLíneas-2,0,AX143+1)))</f>
        <v/>
      </c>
      <c r="AY144" s="18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18">
        <f t="shared" ca="1" si="70"/>
        <v>1</v>
      </c>
      <c r="D145" s="18" t="str">
        <f t="shared" ca="1" si="51"/>
        <v/>
      </c>
      <c r="E145" s="18" t="str" cm="1">
        <f t="array" aca="1" ref="E145" ca="1">IF(D145="","",IF(D145&lt;&gt;D144,1,IF(E144=misLíneas-2,0,E144+1)))</f>
        <v/>
      </c>
      <c r="F145" s="18" t="str" cm="1">
        <f t="array" aca="1" ref="F145" ca="1">IF(OR(E145=0,E145=""),"",INDEX(misCriticidades,D145)&amp;"-"&amp;IFERROR(MATCH(E145,miOrdenTarjeta,0),0))</f>
        <v/>
      </c>
      <c r="H145" s="18">
        <f t="shared" ca="1" si="61"/>
        <v>1</v>
      </c>
      <c r="I145" s="18" t="str">
        <f t="shared" ca="1" si="52"/>
        <v/>
      </c>
      <c r="J145" s="18" t="str" cm="1">
        <f t="array" aca="1" ref="J145" ca="1">IF(I145="","",IF(I145&lt;&gt;I144,1,IF(J144=misLíneas-2,0,J144+1)))</f>
        <v/>
      </c>
      <c r="K145" s="18" t="str" cm="1">
        <f t="array" aca="1" ref="K145" ca="1">IF(OR(J145=0,J145=""),"",INDEX(misCriticidades,I145)&amp;"-"&amp;IFERROR(MATCH(J145,miOrdenTarjeta,0),0))</f>
        <v/>
      </c>
      <c r="M145" s="18">
        <f t="shared" ca="1" si="62"/>
        <v>1</v>
      </c>
      <c r="N145" s="18" t="str">
        <f t="shared" ca="1" si="53"/>
        <v/>
      </c>
      <c r="O145" s="18" t="str" cm="1">
        <f t="array" aca="1" ref="O145" ca="1">IF(N145="","",IF(N145&lt;&gt;N144,1,IF(O144=misLíneas-2,0,O144+1)))</f>
        <v/>
      </c>
      <c r="P145" s="18" t="str" cm="1">
        <f t="array" aca="1" ref="P145" ca="1">IF(OR(O145=0,O145=""),"",INDEX(misCriticidades,N145)&amp;"-"&amp;IFERROR(MATCH(O145,miOrdenTarjeta,0),0))</f>
        <v/>
      </c>
      <c r="R145" s="18">
        <f t="shared" ca="1" si="63"/>
        <v>16</v>
      </c>
      <c r="S145" s="18">
        <f t="shared" ca="1" si="54"/>
        <v>15</v>
      </c>
      <c r="T145" s="18" cm="1">
        <f t="array" aca="1" ref="T145" ca="1">IF(S145="","",IF(S145&lt;&gt;S144,1,IF(T144=misLíneas-2,0,T144+1)))</f>
        <v>8</v>
      </c>
      <c r="U145" s="18" t="str" cm="1">
        <f t="array" aca="1" ref="U145" ca="1">IF(OR(T145=0,T145=""),"",INDEX(misCriticidades,S145)&amp;"-"&amp;IFERROR(MATCH(T145,miOrdenTarjeta,0),0))</f>
        <v>2-8</v>
      </c>
      <c r="W145" s="18">
        <f t="shared" ca="1" si="64"/>
        <v>1</v>
      </c>
      <c r="X145" s="18" t="str">
        <f t="shared" ca="1" si="55"/>
        <v/>
      </c>
      <c r="Y145" s="18" t="str" cm="1">
        <f t="array" aca="1" ref="Y145" ca="1">IF(X145="","",IF(X145&lt;&gt;X144,1,IF(Y144=misLíneas-2,0,Y144+1)))</f>
        <v/>
      </c>
      <c r="Z145" s="18" t="str" cm="1">
        <f t="array" aca="1" ref="Z145" ca="1">IF(OR(Y145=0,Y145=""),"",INDEX(misCriticidades,X145)&amp;"-"&amp;IFERROR(MATCH(Y145,miOrdenTarjeta,0),0))</f>
        <v/>
      </c>
      <c r="AB145" s="18">
        <f t="shared" ca="1" si="65"/>
        <v>1</v>
      </c>
      <c r="AC145" s="18" t="str">
        <f t="shared" ca="1" si="56"/>
        <v/>
      </c>
      <c r="AD145" s="18" t="str" cm="1">
        <f t="array" aca="1" ref="AD145" ca="1">IF(AC145="","",IF(AC145&lt;&gt;AC144,1,IF(AD144=misLíneas-2,0,AD144+1)))</f>
        <v/>
      </c>
      <c r="AE145" s="18" t="str" cm="1">
        <f t="array" aca="1" ref="AE145" ca="1">IF(OR(AD145=0,AD145=""),"",INDEX(misCriticidades,AC145)&amp;"-"&amp;IFERROR(MATCH(AD145,miOrdenTarjeta,0),0))</f>
        <v/>
      </c>
      <c r="AG145" s="18">
        <f t="shared" ca="1" si="66"/>
        <v>1</v>
      </c>
      <c r="AH145" s="18" t="str">
        <f t="shared" ca="1" si="57"/>
        <v/>
      </c>
      <c r="AI145" s="18" t="str" cm="1">
        <f t="array" aca="1" ref="AI145" ca="1">IF(AH145="","",IF(AH145&lt;&gt;AH144,1,IF(AI144=misLíneas-2,0,AI144+1)))</f>
        <v/>
      </c>
      <c r="AJ145" s="18" t="str" cm="1">
        <f t="array" aca="1" ref="AJ145" ca="1">IF(OR(AI145=0,AI145=""),"",INDEX(misCriticidades,AH145)&amp;"-"&amp;IFERROR(MATCH(AI145,miOrdenTarjeta,0),0))</f>
        <v/>
      </c>
      <c r="AL145" s="18">
        <f t="shared" ca="1" si="67"/>
        <v>1</v>
      </c>
      <c r="AM145" s="18" t="str">
        <f t="shared" ca="1" si="58"/>
        <v/>
      </c>
      <c r="AN145" s="18" t="str" cm="1">
        <f t="array" aca="1" ref="AN145" ca="1">IF(AM145="","",IF(AM145&lt;&gt;AM144,1,IF(AN144=misLíneas-2,0,AN144+1)))</f>
        <v/>
      </c>
      <c r="AO145" s="18" t="str" cm="1">
        <f t="array" aca="1" ref="AO145" ca="1">IF(OR(AN145=0,AN145=""),"",INDEX(misCriticidades,AM145)&amp;"-"&amp;IFERROR(MATCH(AN145,miOrdenTarjeta,0),0))</f>
        <v/>
      </c>
      <c r="AQ145" s="18">
        <f t="shared" ca="1" si="68"/>
        <v>1</v>
      </c>
      <c r="AR145" s="18" t="str">
        <f t="shared" ca="1" si="59"/>
        <v/>
      </c>
      <c r="AS145" s="18" t="str" cm="1">
        <f t="array" aca="1" ref="AS145" ca="1">IF(AR145="","",IF(AR145&lt;&gt;AR144,1,IF(AS144=misLíneas-2,0,AS144+1)))</f>
        <v/>
      </c>
      <c r="AT145" s="18" t="str" cm="1">
        <f t="array" aca="1" ref="AT145" ca="1">IF(OR(AS145=0,AS145=""),"",INDEX(misCriticidades,AR145)&amp;"-"&amp;IFERROR(MATCH(AS145,miOrdenTarjeta,0),0))</f>
        <v/>
      </c>
      <c r="AV145" s="18">
        <f t="shared" ca="1" si="69"/>
        <v>1</v>
      </c>
      <c r="AW145" s="18" t="str">
        <f t="shared" ca="1" si="60"/>
        <v/>
      </c>
      <c r="AX145" s="18" t="str" cm="1">
        <f t="array" aca="1" ref="AX145" ca="1">IF(AW145="","",IF(AW145&lt;&gt;AW144,1,IF(AX144=misLíneas-2,0,AX144+1)))</f>
        <v/>
      </c>
      <c r="AY145" s="18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18">
        <f t="shared" ca="1" si="70"/>
        <v>1</v>
      </c>
      <c r="D146" s="18" t="str">
        <f t="shared" ca="1" si="51"/>
        <v/>
      </c>
      <c r="E146" s="18" t="str" cm="1">
        <f t="array" aca="1" ref="E146" ca="1">IF(D146="","",IF(D146&lt;&gt;D145,1,IF(E145=misLíneas-2,0,E145+1)))</f>
        <v/>
      </c>
      <c r="F146" s="18" t="str" cm="1">
        <f t="array" aca="1" ref="F146" ca="1">IF(OR(E146=0,E146=""),"",INDEX(misCriticidades,D146)&amp;"-"&amp;IFERROR(MATCH(E146,miOrdenTarjeta,0),0))</f>
        <v/>
      </c>
      <c r="H146" s="18">
        <f t="shared" ca="1" si="61"/>
        <v>1</v>
      </c>
      <c r="I146" s="18" t="str">
        <f t="shared" ca="1" si="52"/>
        <v/>
      </c>
      <c r="J146" s="18" t="str" cm="1">
        <f t="array" aca="1" ref="J146" ca="1">IF(I146="","",IF(I146&lt;&gt;I145,1,IF(J145=misLíneas-2,0,J145+1)))</f>
        <v/>
      </c>
      <c r="K146" s="18" t="str" cm="1">
        <f t="array" aca="1" ref="K146" ca="1">IF(OR(J146=0,J146=""),"",INDEX(misCriticidades,I146)&amp;"-"&amp;IFERROR(MATCH(J146,miOrdenTarjeta,0),0))</f>
        <v/>
      </c>
      <c r="M146" s="18">
        <f t="shared" ca="1" si="62"/>
        <v>1</v>
      </c>
      <c r="N146" s="18" t="str">
        <f t="shared" ca="1" si="53"/>
        <v/>
      </c>
      <c r="O146" s="18" t="str" cm="1">
        <f t="array" aca="1" ref="O146" ca="1">IF(N146="","",IF(N146&lt;&gt;N145,1,IF(O145=misLíneas-2,0,O145+1)))</f>
        <v/>
      </c>
      <c r="P146" s="18" t="str" cm="1">
        <f t="array" aca="1" ref="P146" ca="1">IF(OR(O146=0,O146=""),"",INDEX(misCriticidades,N146)&amp;"-"&amp;IFERROR(MATCH(O146,miOrdenTarjeta,0),0))</f>
        <v/>
      </c>
      <c r="R146" s="18">
        <f t="shared" ca="1" si="63"/>
        <v>16</v>
      </c>
      <c r="S146" s="18">
        <f t="shared" ca="1" si="54"/>
        <v>15</v>
      </c>
      <c r="T146" s="18" cm="1">
        <f t="array" aca="1" ref="T146" ca="1">IF(S146="","",IF(S146&lt;&gt;S145,1,IF(T145=misLíneas-2,0,T145+1)))</f>
        <v>0</v>
      </c>
      <c r="U146" s="18" t="str" cm="1">
        <f t="array" aca="1" ref="U146" ca="1">IF(OR(T146=0,T146=""),"",INDEX(misCriticidades,S146)&amp;"-"&amp;IFERROR(MATCH(T146,miOrdenTarjeta,0),0))</f>
        <v/>
      </c>
      <c r="W146" s="18">
        <f t="shared" ca="1" si="64"/>
        <v>1</v>
      </c>
      <c r="X146" s="18" t="str">
        <f t="shared" ca="1" si="55"/>
        <v/>
      </c>
      <c r="Y146" s="18" t="str" cm="1">
        <f t="array" aca="1" ref="Y146" ca="1">IF(X146="","",IF(X146&lt;&gt;X145,1,IF(Y145=misLíneas-2,0,Y145+1)))</f>
        <v/>
      </c>
      <c r="Z146" s="18" t="str" cm="1">
        <f t="array" aca="1" ref="Z146" ca="1">IF(OR(Y146=0,Y146=""),"",INDEX(misCriticidades,X146)&amp;"-"&amp;IFERROR(MATCH(Y146,miOrdenTarjeta,0),0))</f>
        <v/>
      </c>
      <c r="AB146" s="18">
        <f t="shared" ca="1" si="65"/>
        <v>1</v>
      </c>
      <c r="AC146" s="18" t="str">
        <f t="shared" ca="1" si="56"/>
        <v/>
      </c>
      <c r="AD146" s="18" t="str" cm="1">
        <f t="array" aca="1" ref="AD146" ca="1">IF(AC146="","",IF(AC146&lt;&gt;AC145,1,IF(AD145=misLíneas-2,0,AD145+1)))</f>
        <v/>
      </c>
      <c r="AE146" s="18" t="str" cm="1">
        <f t="array" aca="1" ref="AE146" ca="1">IF(OR(AD146=0,AD146=""),"",INDEX(misCriticidades,AC146)&amp;"-"&amp;IFERROR(MATCH(AD146,miOrdenTarjeta,0),0))</f>
        <v/>
      </c>
      <c r="AG146" s="18">
        <f t="shared" ca="1" si="66"/>
        <v>1</v>
      </c>
      <c r="AH146" s="18" t="str">
        <f t="shared" ca="1" si="57"/>
        <v/>
      </c>
      <c r="AI146" s="18" t="str" cm="1">
        <f t="array" aca="1" ref="AI146" ca="1">IF(AH146="","",IF(AH146&lt;&gt;AH145,1,IF(AI145=misLíneas-2,0,AI145+1)))</f>
        <v/>
      </c>
      <c r="AJ146" s="18" t="str" cm="1">
        <f t="array" aca="1" ref="AJ146" ca="1">IF(OR(AI146=0,AI146=""),"",INDEX(misCriticidades,AH146)&amp;"-"&amp;IFERROR(MATCH(AI146,miOrdenTarjeta,0),0))</f>
        <v/>
      </c>
      <c r="AL146" s="18">
        <f t="shared" ca="1" si="67"/>
        <v>1</v>
      </c>
      <c r="AM146" s="18" t="str">
        <f t="shared" ca="1" si="58"/>
        <v/>
      </c>
      <c r="AN146" s="18" t="str" cm="1">
        <f t="array" aca="1" ref="AN146" ca="1">IF(AM146="","",IF(AM146&lt;&gt;AM145,1,IF(AN145=misLíneas-2,0,AN145+1)))</f>
        <v/>
      </c>
      <c r="AO146" s="18" t="str" cm="1">
        <f t="array" aca="1" ref="AO146" ca="1">IF(OR(AN146=0,AN146=""),"",INDEX(misCriticidades,AM146)&amp;"-"&amp;IFERROR(MATCH(AN146,miOrdenTarjeta,0),0))</f>
        <v/>
      </c>
      <c r="AQ146" s="18">
        <f t="shared" ca="1" si="68"/>
        <v>1</v>
      </c>
      <c r="AR146" s="18" t="str">
        <f t="shared" ca="1" si="59"/>
        <v/>
      </c>
      <c r="AS146" s="18" t="str" cm="1">
        <f t="array" aca="1" ref="AS146" ca="1">IF(AR146="","",IF(AR146&lt;&gt;AR145,1,IF(AS145=misLíneas-2,0,AS145+1)))</f>
        <v/>
      </c>
      <c r="AT146" s="18" t="str" cm="1">
        <f t="array" aca="1" ref="AT146" ca="1">IF(OR(AS146=0,AS146=""),"",INDEX(misCriticidades,AR146)&amp;"-"&amp;IFERROR(MATCH(AS146,miOrdenTarjeta,0),0))</f>
        <v/>
      </c>
      <c r="AV146" s="18">
        <f t="shared" ca="1" si="69"/>
        <v>1</v>
      </c>
      <c r="AW146" s="18" t="str">
        <f t="shared" ca="1" si="60"/>
        <v/>
      </c>
      <c r="AX146" s="18" t="str" cm="1">
        <f t="array" aca="1" ref="AX146" ca="1">IF(AW146="","",IF(AW146&lt;&gt;AW145,1,IF(AX145=misLíneas-2,0,AX145+1)))</f>
        <v/>
      </c>
      <c r="AY146" s="18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18">
        <f t="shared" ca="1" si="70"/>
        <v>1</v>
      </c>
      <c r="D147" s="18" t="str">
        <f t="shared" ca="1" si="51"/>
        <v/>
      </c>
      <c r="E147" s="18" t="str" cm="1">
        <f t="array" aca="1" ref="E147" ca="1">IF(D147="","",IF(D147&lt;&gt;D146,1,IF(E146=misLíneas-2,0,E146+1)))</f>
        <v/>
      </c>
      <c r="F147" s="18" t="str" cm="1">
        <f t="array" aca="1" ref="F147" ca="1">IF(OR(E147=0,E147=""),"",INDEX(misCriticidades,D147)&amp;"-"&amp;IFERROR(MATCH(E147,miOrdenTarjeta,0),0))</f>
        <v/>
      </c>
      <c r="H147" s="18">
        <f t="shared" ca="1" si="61"/>
        <v>1</v>
      </c>
      <c r="I147" s="18" t="str">
        <f t="shared" ca="1" si="52"/>
        <v/>
      </c>
      <c r="J147" s="18" t="str" cm="1">
        <f t="array" aca="1" ref="J147" ca="1">IF(I147="","",IF(I147&lt;&gt;I146,1,IF(J146=misLíneas-2,0,J146+1)))</f>
        <v/>
      </c>
      <c r="K147" s="18" t="str" cm="1">
        <f t="array" aca="1" ref="K147" ca="1">IF(OR(J147=0,J147=""),"",INDEX(misCriticidades,I147)&amp;"-"&amp;IFERROR(MATCH(J147,miOrdenTarjeta,0),0))</f>
        <v/>
      </c>
      <c r="M147" s="18">
        <f t="shared" ca="1" si="62"/>
        <v>1</v>
      </c>
      <c r="N147" s="18" t="str">
        <f t="shared" ca="1" si="53"/>
        <v/>
      </c>
      <c r="O147" s="18" t="str" cm="1">
        <f t="array" aca="1" ref="O147" ca="1">IF(N147="","",IF(N147&lt;&gt;N146,1,IF(O146=misLíneas-2,0,O146+1)))</f>
        <v/>
      </c>
      <c r="P147" s="18" t="str" cm="1">
        <f t="array" aca="1" ref="P147" ca="1">IF(OR(O147=0,O147=""),"",INDEX(misCriticidades,N147)&amp;"-"&amp;IFERROR(MATCH(O147,miOrdenTarjeta,0),0))</f>
        <v/>
      </c>
      <c r="R147" s="18">
        <f t="shared" ca="1" si="63"/>
        <v>17</v>
      </c>
      <c r="S147" s="18">
        <f t="shared" ca="1" si="54"/>
        <v>14</v>
      </c>
      <c r="T147" s="18" cm="1">
        <f t="array" aca="1" ref="T147" ca="1">IF(S147="","",IF(S147&lt;&gt;S146,1,IF(T146=misLíneas-2,0,T146+1)))</f>
        <v>1</v>
      </c>
      <c r="U147" s="18" t="str" cm="1">
        <f t="array" aca="1" ref="U147" ca="1">IF(OR(T147=0,T147=""),"",INDEX(misCriticidades,S147)&amp;"-"&amp;IFERROR(MATCH(T147,miOrdenTarjeta,0),0))</f>
        <v>2-1</v>
      </c>
      <c r="W147" s="18">
        <f t="shared" ca="1" si="64"/>
        <v>1</v>
      </c>
      <c r="X147" s="18" t="str">
        <f t="shared" ca="1" si="55"/>
        <v/>
      </c>
      <c r="Y147" s="18" t="str" cm="1">
        <f t="array" aca="1" ref="Y147" ca="1">IF(X147="","",IF(X147&lt;&gt;X146,1,IF(Y146=misLíneas-2,0,Y146+1)))</f>
        <v/>
      </c>
      <c r="Z147" s="18" t="str" cm="1">
        <f t="array" aca="1" ref="Z147" ca="1">IF(OR(Y147=0,Y147=""),"",INDEX(misCriticidades,X147)&amp;"-"&amp;IFERROR(MATCH(Y147,miOrdenTarjeta,0),0))</f>
        <v/>
      </c>
      <c r="AB147" s="18">
        <f t="shared" ca="1" si="65"/>
        <v>1</v>
      </c>
      <c r="AC147" s="18" t="str">
        <f t="shared" ca="1" si="56"/>
        <v/>
      </c>
      <c r="AD147" s="18" t="str" cm="1">
        <f t="array" aca="1" ref="AD147" ca="1">IF(AC147="","",IF(AC147&lt;&gt;AC146,1,IF(AD146=misLíneas-2,0,AD146+1)))</f>
        <v/>
      </c>
      <c r="AE147" s="18" t="str" cm="1">
        <f t="array" aca="1" ref="AE147" ca="1">IF(OR(AD147=0,AD147=""),"",INDEX(misCriticidades,AC147)&amp;"-"&amp;IFERROR(MATCH(AD147,miOrdenTarjeta,0),0))</f>
        <v/>
      </c>
      <c r="AG147" s="18">
        <f t="shared" ca="1" si="66"/>
        <v>1</v>
      </c>
      <c r="AH147" s="18" t="str">
        <f t="shared" ca="1" si="57"/>
        <v/>
      </c>
      <c r="AI147" s="18" t="str" cm="1">
        <f t="array" aca="1" ref="AI147" ca="1">IF(AH147="","",IF(AH147&lt;&gt;AH146,1,IF(AI146=misLíneas-2,0,AI146+1)))</f>
        <v/>
      </c>
      <c r="AJ147" s="18" t="str" cm="1">
        <f t="array" aca="1" ref="AJ147" ca="1">IF(OR(AI147=0,AI147=""),"",INDEX(misCriticidades,AH147)&amp;"-"&amp;IFERROR(MATCH(AI147,miOrdenTarjeta,0),0))</f>
        <v/>
      </c>
      <c r="AL147" s="18">
        <f t="shared" ca="1" si="67"/>
        <v>1</v>
      </c>
      <c r="AM147" s="18" t="str">
        <f t="shared" ca="1" si="58"/>
        <v/>
      </c>
      <c r="AN147" s="18" t="str" cm="1">
        <f t="array" aca="1" ref="AN147" ca="1">IF(AM147="","",IF(AM147&lt;&gt;AM146,1,IF(AN146=misLíneas-2,0,AN146+1)))</f>
        <v/>
      </c>
      <c r="AO147" s="18" t="str" cm="1">
        <f t="array" aca="1" ref="AO147" ca="1">IF(OR(AN147=0,AN147=""),"",INDEX(misCriticidades,AM147)&amp;"-"&amp;IFERROR(MATCH(AN147,miOrdenTarjeta,0),0))</f>
        <v/>
      </c>
      <c r="AQ147" s="18">
        <f t="shared" ca="1" si="68"/>
        <v>1</v>
      </c>
      <c r="AR147" s="18" t="str">
        <f t="shared" ca="1" si="59"/>
        <v/>
      </c>
      <c r="AS147" s="18" t="str" cm="1">
        <f t="array" aca="1" ref="AS147" ca="1">IF(AR147="","",IF(AR147&lt;&gt;AR146,1,IF(AS146=misLíneas-2,0,AS146+1)))</f>
        <v/>
      </c>
      <c r="AT147" s="18" t="str" cm="1">
        <f t="array" aca="1" ref="AT147" ca="1">IF(OR(AS147=0,AS147=""),"",INDEX(misCriticidades,AR147)&amp;"-"&amp;IFERROR(MATCH(AS147,miOrdenTarjeta,0),0))</f>
        <v/>
      </c>
      <c r="AV147" s="18">
        <f t="shared" ca="1" si="69"/>
        <v>1</v>
      </c>
      <c r="AW147" s="18" t="str">
        <f t="shared" ca="1" si="60"/>
        <v/>
      </c>
      <c r="AX147" s="18" t="str" cm="1">
        <f t="array" aca="1" ref="AX147" ca="1">IF(AW147="","",IF(AW147&lt;&gt;AW146,1,IF(AX146=misLíneas-2,0,AX146+1)))</f>
        <v/>
      </c>
      <c r="AY147" s="18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18">
        <f t="shared" ca="1" si="70"/>
        <v>1</v>
      </c>
      <c r="D148" s="18" t="str">
        <f t="shared" ca="1" si="51"/>
        <v/>
      </c>
      <c r="E148" s="18" t="str" cm="1">
        <f t="array" aca="1" ref="E148" ca="1">IF(D148="","",IF(D148&lt;&gt;D147,1,IF(E147=misLíneas-2,0,E147+1)))</f>
        <v/>
      </c>
      <c r="F148" s="18" t="str" cm="1">
        <f t="array" aca="1" ref="F148" ca="1">IF(OR(E148=0,E148=""),"",INDEX(misCriticidades,D148)&amp;"-"&amp;IFERROR(MATCH(E148,miOrdenTarjeta,0),0))</f>
        <v/>
      </c>
      <c r="H148" s="18">
        <f t="shared" ca="1" si="61"/>
        <v>1</v>
      </c>
      <c r="I148" s="18" t="str">
        <f t="shared" ca="1" si="52"/>
        <v/>
      </c>
      <c r="J148" s="18" t="str" cm="1">
        <f t="array" aca="1" ref="J148" ca="1">IF(I148="","",IF(I148&lt;&gt;I147,1,IF(J147=misLíneas-2,0,J147+1)))</f>
        <v/>
      </c>
      <c r="K148" s="18" t="str" cm="1">
        <f t="array" aca="1" ref="K148" ca="1">IF(OR(J148=0,J148=""),"",INDEX(misCriticidades,I148)&amp;"-"&amp;IFERROR(MATCH(J148,miOrdenTarjeta,0),0))</f>
        <v/>
      </c>
      <c r="M148" s="18">
        <f t="shared" ca="1" si="62"/>
        <v>1</v>
      </c>
      <c r="N148" s="18" t="str">
        <f t="shared" ca="1" si="53"/>
        <v/>
      </c>
      <c r="O148" s="18" t="str" cm="1">
        <f t="array" aca="1" ref="O148" ca="1">IF(N148="","",IF(N148&lt;&gt;N147,1,IF(O147=misLíneas-2,0,O147+1)))</f>
        <v/>
      </c>
      <c r="P148" s="18" t="str" cm="1">
        <f t="array" aca="1" ref="P148" ca="1">IF(OR(O148=0,O148=""),"",INDEX(misCriticidades,N148)&amp;"-"&amp;IFERROR(MATCH(O148,miOrdenTarjeta,0),0))</f>
        <v/>
      </c>
      <c r="R148" s="18">
        <f t="shared" ca="1" si="63"/>
        <v>17</v>
      </c>
      <c r="S148" s="18">
        <f t="shared" ca="1" si="54"/>
        <v>14</v>
      </c>
      <c r="T148" s="18" cm="1">
        <f t="array" aca="1" ref="T148" ca="1">IF(S148="","",IF(S148&lt;&gt;S147,1,IF(T147=misLíneas-2,0,T147+1)))</f>
        <v>2</v>
      </c>
      <c r="U148" s="18" t="str" cm="1">
        <f t="array" aca="1" ref="U148" ca="1">IF(OR(T148=0,T148=""),"",INDEX(misCriticidades,S148)&amp;"-"&amp;IFERROR(MATCH(T148,miOrdenTarjeta,0),0))</f>
        <v>2-2</v>
      </c>
      <c r="W148" s="18">
        <f t="shared" ca="1" si="64"/>
        <v>1</v>
      </c>
      <c r="X148" s="18" t="str">
        <f t="shared" ca="1" si="55"/>
        <v/>
      </c>
      <c r="Y148" s="18" t="str" cm="1">
        <f t="array" aca="1" ref="Y148" ca="1">IF(X148="","",IF(X148&lt;&gt;X147,1,IF(Y147=misLíneas-2,0,Y147+1)))</f>
        <v/>
      </c>
      <c r="Z148" s="18" t="str" cm="1">
        <f t="array" aca="1" ref="Z148" ca="1">IF(OR(Y148=0,Y148=""),"",INDEX(misCriticidades,X148)&amp;"-"&amp;IFERROR(MATCH(Y148,miOrdenTarjeta,0),0))</f>
        <v/>
      </c>
      <c r="AB148" s="18">
        <f t="shared" ca="1" si="65"/>
        <v>1</v>
      </c>
      <c r="AC148" s="18" t="str">
        <f t="shared" ca="1" si="56"/>
        <v/>
      </c>
      <c r="AD148" s="18" t="str" cm="1">
        <f t="array" aca="1" ref="AD148" ca="1">IF(AC148="","",IF(AC148&lt;&gt;AC147,1,IF(AD147=misLíneas-2,0,AD147+1)))</f>
        <v/>
      </c>
      <c r="AE148" s="18" t="str" cm="1">
        <f t="array" aca="1" ref="AE148" ca="1">IF(OR(AD148=0,AD148=""),"",INDEX(misCriticidades,AC148)&amp;"-"&amp;IFERROR(MATCH(AD148,miOrdenTarjeta,0),0))</f>
        <v/>
      </c>
      <c r="AG148" s="18">
        <f t="shared" ca="1" si="66"/>
        <v>1</v>
      </c>
      <c r="AH148" s="18" t="str">
        <f t="shared" ca="1" si="57"/>
        <v/>
      </c>
      <c r="AI148" s="18" t="str" cm="1">
        <f t="array" aca="1" ref="AI148" ca="1">IF(AH148="","",IF(AH148&lt;&gt;AH147,1,IF(AI147=misLíneas-2,0,AI147+1)))</f>
        <v/>
      </c>
      <c r="AJ148" s="18" t="str" cm="1">
        <f t="array" aca="1" ref="AJ148" ca="1">IF(OR(AI148=0,AI148=""),"",INDEX(misCriticidades,AH148)&amp;"-"&amp;IFERROR(MATCH(AI148,miOrdenTarjeta,0),0))</f>
        <v/>
      </c>
      <c r="AL148" s="18">
        <f t="shared" ca="1" si="67"/>
        <v>1</v>
      </c>
      <c r="AM148" s="18" t="str">
        <f t="shared" ca="1" si="58"/>
        <v/>
      </c>
      <c r="AN148" s="18" t="str" cm="1">
        <f t="array" aca="1" ref="AN148" ca="1">IF(AM148="","",IF(AM148&lt;&gt;AM147,1,IF(AN147=misLíneas-2,0,AN147+1)))</f>
        <v/>
      </c>
      <c r="AO148" s="18" t="str" cm="1">
        <f t="array" aca="1" ref="AO148" ca="1">IF(OR(AN148=0,AN148=""),"",INDEX(misCriticidades,AM148)&amp;"-"&amp;IFERROR(MATCH(AN148,miOrdenTarjeta,0),0))</f>
        <v/>
      </c>
      <c r="AQ148" s="18">
        <f t="shared" ca="1" si="68"/>
        <v>1</v>
      </c>
      <c r="AR148" s="18" t="str">
        <f t="shared" ca="1" si="59"/>
        <v/>
      </c>
      <c r="AS148" s="18" t="str" cm="1">
        <f t="array" aca="1" ref="AS148" ca="1">IF(AR148="","",IF(AR148&lt;&gt;AR147,1,IF(AS147=misLíneas-2,0,AS147+1)))</f>
        <v/>
      </c>
      <c r="AT148" s="18" t="str" cm="1">
        <f t="array" aca="1" ref="AT148" ca="1">IF(OR(AS148=0,AS148=""),"",INDEX(misCriticidades,AR148)&amp;"-"&amp;IFERROR(MATCH(AS148,miOrdenTarjeta,0),0))</f>
        <v/>
      </c>
      <c r="AV148" s="18">
        <f t="shared" ca="1" si="69"/>
        <v>1</v>
      </c>
      <c r="AW148" s="18" t="str">
        <f t="shared" ca="1" si="60"/>
        <v/>
      </c>
      <c r="AX148" s="18" t="str" cm="1">
        <f t="array" aca="1" ref="AX148" ca="1">IF(AW148="","",IF(AW148&lt;&gt;AW147,1,IF(AX147=misLíneas-2,0,AX147+1)))</f>
        <v/>
      </c>
      <c r="AY148" s="18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18">
        <f t="shared" ca="1" si="70"/>
        <v>1</v>
      </c>
      <c r="D149" s="18" t="str">
        <f t="shared" ca="1" si="51"/>
        <v/>
      </c>
      <c r="E149" s="18" t="str" cm="1">
        <f t="array" aca="1" ref="E149" ca="1">IF(D149="","",IF(D149&lt;&gt;D148,1,IF(E148=misLíneas-2,0,E148+1)))</f>
        <v/>
      </c>
      <c r="F149" s="18" t="str" cm="1">
        <f t="array" aca="1" ref="F149" ca="1">IF(OR(E149=0,E149=""),"",INDEX(misCriticidades,D149)&amp;"-"&amp;IFERROR(MATCH(E149,miOrdenTarjeta,0),0))</f>
        <v/>
      </c>
      <c r="H149" s="18">
        <f t="shared" ca="1" si="61"/>
        <v>1</v>
      </c>
      <c r="I149" s="18" t="str">
        <f t="shared" ca="1" si="52"/>
        <v/>
      </c>
      <c r="J149" s="18" t="str" cm="1">
        <f t="array" aca="1" ref="J149" ca="1">IF(I149="","",IF(I149&lt;&gt;I148,1,IF(J148=misLíneas-2,0,J148+1)))</f>
        <v/>
      </c>
      <c r="K149" s="18" t="str" cm="1">
        <f t="array" aca="1" ref="K149" ca="1">IF(OR(J149=0,J149=""),"",INDEX(misCriticidades,I149)&amp;"-"&amp;IFERROR(MATCH(J149,miOrdenTarjeta,0),0))</f>
        <v/>
      </c>
      <c r="M149" s="18">
        <f t="shared" ca="1" si="62"/>
        <v>1</v>
      </c>
      <c r="N149" s="18" t="str">
        <f t="shared" ca="1" si="53"/>
        <v/>
      </c>
      <c r="O149" s="18" t="str" cm="1">
        <f t="array" aca="1" ref="O149" ca="1">IF(N149="","",IF(N149&lt;&gt;N148,1,IF(O148=misLíneas-2,0,O148+1)))</f>
        <v/>
      </c>
      <c r="P149" s="18" t="str" cm="1">
        <f t="array" aca="1" ref="P149" ca="1">IF(OR(O149=0,O149=""),"",INDEX(misCriticidades,N149)&amp;"-"&amp;IFERROR(MATCH(O149,miOrdenTarjeta,0),0))</f>
        <v/>
      </c>
      <c r="R149" s="18">
        <f t="shared" ca="1" si="63"/>
        <v>17</v>
      </c>
      <c r="S149" s="18">
        <f t="shared" ca="1" si="54"/>
        <v>14</v>
      </c>
      <c r="T149" s="18" cm="1">
        <f t="array" aca="1" ref="T149" ca="1">IF(S149="","",IF(S149&lt;&gt;S148,1,IF(T148=misLíneas-2,0,T148+1)))</f>
        <v>3</v>
      </c>
      <c r="U149" s="18" t="str" cm="1">
        <f t="array" aca="1" ref="U149" ca="1">IF(OR(T149=0,T149=""),"",INDEX(misCriticidades,S149)&amp;"-"&amp;IFERROR(MATCH(T149,miOrdenTarjeta,0),0))</f>
        <v>2-3</v>
      </c>
      <c r="W149" s="18">
        <f t="shared" ca="1" si="64"/>
        <v>1</v>
      </c>
      <c r="X149" s="18" t="str">
        <f t="shared" ca="1" si="55"/>
        <v/>
      </c>
      <c r="Y149" s="18" t="str" cm="1">
        <f t="array" aca="1" ref="Y149" ca="1">IF(X149="","",IF(X149&lt;&gt;X148,1,IF(Y148=misLíneas-2,0,Y148+1)))</f>
        <v/>
      </c>
      <c r="Z149" s="18" t="str" cm="1">
        <f t="array" aca="1" ref="Z149" ca="1">IF(OR(Y149=0,Y149=""),"",INDEX(misCriticidades,X149)&amp;"-"&amp;IFERROR(MATCH(Y149,miOrdenTarjeta,0),0))</f>
        <v/>
      </c>
      <c r="AB149" s="18">
        <f t="shared" ca="1" si="65"/>
        <v>1</v>
      </c>
      <c r="AC149" s="18" t="str">
        <f t="shared" ca="1" si="56"/>
        <v/>
      </c>
      <c r="AD149" s="18" t="str" cm="1">
        <f t="array" aca="1" ref="AD149" ca="1">IF(AC149="","",IF(AC149&lt;&gt;AC148,1,IF(AD148=misLíneas-2,0,AD148+1)))</f>
        <v/>
      </c>
      <c r="AE149" s="18" t="str" cm="1">
        <f t="array" aca="1" ref="AE149" ca="1">IF(OR(AD149=0,AD149=""),"",INDEX(misCriticidades,AC149)&amp;"-"&amp;IFERROR(MATCH(AD149,miOrdenTarjeta,0),0))</f>
        <v/>
      </c>
      <c r="AG149" s="18">
        <f t="shared" ca="1" si="66"/>
        <v>1</v>
      </c>
      <c r="AH149" s="18" t="str">
        <f t="shared" ca="1" si="57"/>
        <v/>
      </c>
      <c r="AI149" s="18" t="str" cm="1">
        <f t="array" aca="1" ref="AI149" ca="1">IF(AH149="","",IF(AH149&lt;&gt;AH148,1,IF(AI148=misLíneas-2,0,AI148+1)))</f>
        <v/>
      </c>
      <c r="AJ149" s="18" t="str" cm="1">
        <f t="array" aca="1" ref="AJ149" ca="1">IF(OR(AI149=0,AI149=""),"",INDEX(misCriticidades,AH149)&amp;"-"&amp;IFERROR(MATCH(AI149,miOrdenTarjeta,0),0))</f>
        <v/>
      </c>
      <c r="AL149" s="18">
        <f t="shared" ca="1" si="67"/>
        <v>1</v>
      </c>
      <c r="AM149" s="18" t="str">
        <f t="shared" ca="1" si="58"/>
        <v/>
      </c>
      <c r="AN149" s="18" t="str" cm="1">
        <f t="array" aca="1" ref="AN149" ca="1">IF(AM149="","",IF(AM149&lt;&gt;AM148,1,IF(AN148=misLíneas-2,0,AN148+1)))</f>
        <v/>
      </c>
      <c r="AO149" s="18" t="str" cm="1">
        <f t="array" aca="1" ref="AO149" ca="1">IF(OR(AN149=0,AN149=""),"",INDEX(misCriticidades,AM149)&amp;"-"&amp;IFERROR(MATCH(AN149,miOrdenTarjeta,0),0))</f>
        <v/>
      </c>
      <c r="AQ149" s="18">
        <f t="shared" ca="1" si="68"/>
        <v>1</v>
      </c>
      <c r="AR149" s="18" t="str">
        <f t="shared" ca="1" si="59"/>
        <v/>
      </c>
      <c r="AS149" s="18" t="str" cm="1">
        <f t="array" aca="1" ref="AS149" ca="1">IF(AR149="","",IF(AR149&lt;&gt;AR148,1,IF(AS148=misLíneas-2,0,AS148+1)))</f>
        <v/>
      </c>
      <c r="AT149" s="18" t="str" cm="1">
        <f t="array" aca="1" ref="AT149" ca="1">IF(OR(AS149=0,AS149=""),"",INDEX(misCriticidades,AR149)&amp;"-"&amp;IFERROR(MATCH(AS149,miOrdenTarjeta,0),0))</f>
        <v/>
      </c>
      <c r="AV149" s="18">
        <f t="shared" ca="1" si="69"/>
        <v>1</v>
      </c>
      <c r="AW149" s="18" t="str">
        <f t="shared" ca="1" si="60"/>
        <v/>
      </c>
      <c r="AX149" s="18" t="str" cm="1">
        <f t="array" aca="1" ref="AX149" ca="1">IF(AW149="","",IF(AW149&lt;&gt;AW148,1,IF(AX148=misLíneas-2,0,AX148+1)))</f>
        <v/>
      </c>
      <c r="AY149" s="18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18">
        <f t="shared" ca="1" si="70"/>
        <v>1</v>
      </c>
      <c r="D150" s="18" t="str">
        <f t="shared" ca="1" si="51"/>
        <v/>
      </c>
      <c r="E150" s="18" t="str" cm="1">
        <f t="array" aca="1" ref="E150" ca="1">IF(D150="","",IF(D150&lt;&gt;D149,1,IF(E149=misLíneas-2,0,E149+1)))</f>
        <v/>
      </c>
      <c r="F150" s="18" t="str" cm="1">
        <f t="array" aca="1" ref="F150" ca="1">IF(OR(E150=0,E150=""),"",INDEX(misCriticidades,D150)&amp;"-"&amp;IFERROR(MATCH(E150,miOrdenTarjeta,0),0))</f>
        <v/>
      </c>
      <c r="H150" s="18">
        <f t="shared" ca="1" si="61"/>
        <v>1</v>
      </c>
      <c r="I150" s="18" t="str">
        <f t="shared" ca="1" si="52"/>
        <v/>
      </c>
      <c r="J150" s="18" t="str" cm="1">
        <f t="array" aca="1" ref="J150" ca="1">IF(I150="","",IF(I150&lt;&gt;I149,1,IF(J149=misLíneas-2,0,J149+1)))</f>
        <v/>
      </c>
      <c r="K150" s="18" t="str" cm="1">
        <f t="array" aca="1" ref="K150" ca="1">IF(OR(J150=0,J150=""),"",INDEX(misCriticidades,I150)&amp;"-"&amp;IFERROR(MATCH(J150,miOrdenTarjeta,0),0))</f>
        <v/>
      </c>
      <c r="M150" s="18">
        <f t="shared" ca="1" si="62"/>
        <v>1</v>
      </c>
      <c r="N150" s="18" t="str">
        <f t="shared" ca="1" si="53"/>
        <v/>
      </c>
      <c r="O150" s="18" t="str" cm="1">
        <f t="array" aca="1" ref="O150" ca="1">IF(N150="","",IF(N150&lt;&gt;N149,1,IF(O149=misLíneas-2,0,O149+1)))</f>
        <v/>
      </c>
      <c r="P150" s="18" t="str" cm="1">
        <f t="array" aca="1" ref="P150" ca="1">IF(OR(O150=0,O150=""),"",INDEX(misCriticidades,N150)&amp;"-"&amp;IFERROR(MATCH(O150,miOrdenTarjeta,0),0))</f>
        <v/>
      </c>
      <c r="R150" s="18">
        <f t="shared" ca="1" si="63"/>
        <v>17</v>
      </c>
      <c r="S150" s="18">
        <f t="shared" ca="1" si="54"/>
        <v>14</v>
      </c>
      <c r="T150" s="18" cm="1">
        <f t="array" aca="1" ref="T150" ca="1">IF(S150="","",IF(S150&lt;&gt;S149,1,IF(T149=misLíneas-2,0,T149+1)))</f>
        <v>4</v>
      </c>
      <c r="U150" s="18" t="str" cm="1">
        <f t="array" aca="1" ref="U150" ca="1">IF(OR(T150=0,T150=""),"",INDEX(misCriticidades,S150)&amp;"-"&amp;IFERROR(MATCH(T150,miOrdenTarjeta,0),0))</f>
        <v>2-4</v>
      </c>
      <c r="W150" s="18">
        <f t="shared" ca="1" si="64"/>
        <v>1</v>
      </c>
      <c r="X150" s="18" t="str">
        <f t="shared" ca="1" si="55"/>
        <v/>
      </c>
      <c r="Y150" s="18" t="str" cm="1">
        <f t="array" aca="1" ref="Y150" ca="1">IF(X150="","",IF(X150&lt;&gt;X149,1,IF(Y149=misLíneas-2,0,Y149+1)))</f>
        <v/>
      </c>
      <c r="Z150" s="18" t="str" cm="1">
        <f t="array" aca="1" ref="Z150" ca="1">IF(OR(Y150=0,Y150=""),"",INDEX(misCriticidades,X150)&amp;"-"&amp;IFERROR(MATCH(Y150,miOrdenTarjeta,0),0))</f>
        <v/>
      </c>
      <c r="AB150" s="18">
        <f t="shared" ca="1" si="65"/>
        <v>1</v>
      </c>
      <c r="AC150" s="18" t="str">
        <f t="shared" ca="1" si="56"/>
        <v/>
      </c>
      <c r="AD150" s="18" t="str" cm="1">
        <f t="array" aca="1" ref="AD150" ca="1">IF(AC150="","",IF(AC150&lt;&gt;AC149,1,IF(AD149=misLíneas-2,0,AD149+1)))</f>
        <v/>
      </c>
      <c r="AE150" s="18" t="str" cm="1">
        <f t="array" aca="1" ref="AE150" ca="1">IF(OR(AD150=0,AD150=""),"",INDEX(misCriticidades,AC150)&amp;"-"&amp;IFERROR(MATCH(AD150,miOrdenTarjeta,0),0))</f>
        <v/>
      </c>
      <c r="AG150" s="18">
        <f t="shared" ca="1" si="66"/>
        <v>1</v>
      </c>
      <c r="AH150" s="18" t="str">
        <f t="shared" ca="1" si="57"/>
        <v/>
      </c>
      <c r="AI150" s="18" t="str" cm="1">
        <f t="array" aca="1" ref="AI150" ca="1">IF(AH150="","",IF(AH150&lt;&gt;AH149,1,IF(AI149=misLíneas-2,0,AI149+1)))</f>
        <v/>
      </c>
      <c r="AJ150" s="18" t="str" cm="1">
        <f t="array" aca="1" ref="AJ150" ca="1">IF(OR(AI150=0,AI150=""),"",INDEX(misCriticidades,AH150)&amp;"-"&amp;IFERROR(MATCH(AI150,miOrdenTarjeta,0),0))</f>
        <v/>
      </c>
      <c r="AL150" s="18">
        <f t="shared" ca="1" si="67"/>
        <v>1</v>
      </c>
      <c r="AM150" s="18" t="str">
        <f t="shared" ca="1" si="58"/>
        <v/>
      </c>
      <c r="AN150" s="18" t="str" cm="1">
        <f t="array" aca="1" ref="AN150" ca="1">IF(AM150="","",IF(AM150&lt;&gt;AM149,1,IF(AN149=misLíneas-2,0,AN149+1)))</f>
        <v/>
      </c>
      <c r="AO150" s="18" t="str" cm="1">
        <f t="array" aca="1" ref="AO150" ca="1">IF(OR(AN150=0,AN150=""),"",INDEX(misCriticidades,AM150)&amp;"-"&amp;IFERROR(MATCH(AN150,miOrdenTarjeta,0),0))</f>
        <v/>
      </c>
      <c r="AQ150" s="18">
        <f t="shared" ca="1" si="68"/>
        <v>1</v>
      </c>
      <c r="AR150" s="18" t="str">
        <f t="shared" ca="1" si="59"/>
        <v/>
      </c>
      <c r="AS150" s="18" t="str" cm="1">
        <f t="array" aca="1" ref="AS150" ca="1">IF(AR150="","",IF(AR150&lt;&gt;AR149,1,IF(AS149=misLíneas-2,0,AS149+1)))</f>
        <v/>
      </c>
      <c r="AT150" s="18" t="str" cm="1">
        <f t="array" aca="1" ref="AT150" ca="1">IF(OR(AS150=0,AS150=""),"",INDEX(misCriticidades,AR150)&amp;"-"&amp;IFERROR(MATCH(AS150,miOrdenTarjeta,0),0))</f>
        <v/>
      </c>
      <c r="AV150" s="18">
        <f t="shared" ca="1" si="69"/>
        <v>1</v>
      </c>
      <c r="AW150" s="18" t="str">
        <f t="shared" ca="1" si="60"/>
        <v/>
      </c>
      <c r="AX150" s="18" t="str" cm="1">
        <f t="array" aca="1" ref="AX150" ca="1">IF(AW150="","",IF(AW150&lt;&gt;AW149,1,IF(AX149=misLíneas-2,0,AX149+1)))</f>
        <v/>
      </c>
      <c r="AY150" s="18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18">
        <f t="shared" ca="1" si="70"/>
        <v>1</v>
      </c>
      <c r="D151" s="18" t="str">
        <f t="shared" ca="1" si="51"/>
        <v/>
      </c>
      <c r="E151" s="18" t="str" cm="1">
        <f t="array" aca="1" ref="E151" ca="1">IF(D151="","",IF(D151&lt;&gt;D150,1,IF(E150=misLíneas-2,0,E150+1)))</f>
        <v/>
      </c>
      <c r="F151" s="18" t="str" cm="1">
        <f t="array" aca="1" ref="F151" ca="1">IF(OR(E151=0,E151=""),"",INDEX(misCriticidades,D151)&amp;"-"&amp;IFERROR(MATCH(E151,miOrdenTarjeta,0),0))</f>
        <v/>
      </c>
      <c r="H151" s="18">
        <f t="shared" ca="1" si="61"/>
        <v>1</v>
      </c>
      <c r="I151" s="18" t="str">
        <f t="shared" ca="1" si="52"/>
        <v/>
      </c>
      <c r="J151" s="18" t="str" cm="1">
        <f t="array" aca="1" ref="J151" ca="1">IF(I151="","",IF(I151&lt;&gt;I150,1,IF(J150=misLíneas-2,0,J150+1)))</f>
        <v/>
      </c>
      <c r="K151" s="18" t="str" cm="1">
        <f t="array" aca="1" ref="K151" ca="1">IF(OR(J151=0,J151=""),"",INDEX(misCriticidades,I151)&amp;"-"&amp;IFERROR(MATCH(J151,miOrdenTarjeta,0),0))</f>
        <v/>
      </c>
      <c r="M151" s="18">
        <f t="shared" ca="1" si="62"/>
        <v>1</v>
      </c>
      <c r="N151" s="18" t="str">
        <f t="shared" ca="1" si="53"/>
        <v/>
      </c>
      <c r="O151" s="18" t="str" cm="1">
        <f t="array" aca="1" ref="O151" ca="1">IF(N151="","",IF(N151&lt;&gt;N150,1,IF(O150=misLíneas-2,0,O150+1)))</f>
        <v/>
      </c>
      <c r="P151" s="18" t="str" cm="1">
        <f t="array" aca="1" ref="P151" ca="1">IF(OR(O151=0,O151=""),"",INDEX(misCriticidades,N151)&amp;"-"&amp;IFERROR(MATCH(O151,miOrdenTarjeta,0),0))</f>
        <v/>
      </c>
      <c r="R151" s="18">
        <f t="shared" ca="1" si="63"/>
        <v>17</v>
      </c>
      <c r="S151" s="18">
        <f t="shared" ca="1" si="54"/>
        <v>14</v>
      </c>
      <c r="T151" s="18" cm="1">
        <f t="array" aca="1" ref="T151" ca="1">IF(S151="","",IF(S151&lt;&gt;S150,1,IF(T150=misLíneas-2,0,T150+1)))</f>
        <v>5</v>
      </c>
      <c r="U151" s="18" t="str" cm="1">
        <f t="array" aca="1" ref="U151" ca="1">IF(OR(T151=0,T151=""),"",INDEX(misCriticidades,S151)&amp;"-"&amp;IFERROR(MATCH(T151,miOrdenTarjeta,0),0))</f>
        <v>2-5</v>
      </c>
      <c r="W151" s="18">
        <f t="shared" ca="1" si="64"/>
        <v>1</v>
      </c>
      <c r="X151" s="18" t="str">
        <f t="shared" ca="1" si="55"/>
        <v/>
      </c>
      <c r="Y151" s="18" t="str" cm="1">
        <f t="array" aca="1" ref="Y151" ca="1">IF(X151="","",IF(X151&lt;&gt;X150,1,IF(Y150=misLíneas-2,0,Y150+1)))</f>
        <v/>
      </c>
      <c r="Z151" s="18" t="str" cm="1">
        <f t="array" aca="1" ref="Z151" ca="1">IF(OR(Y151=0,Y151=""),"",INDEX(misCriticidades,X151)&amp;"-"&amp;IFERROR(MATCH(Y151,miOrdenTarjeta,0),0))</f>
        <v/>
      </c>
      <c r="AB151" s="18">
        <f t="shared" ca="1" si="65"/>
        <v>1</v>
      </c>
      <c r="AC151" s="18" t="str">
        <f t="shared" ca="1" si="56"/>
        <v/>
      </c>
      <c r="AD151" s="18" t="str" cm="1">
        <f t="array" aca="1" ref="AD151" ca="1">IF(AC151="","",IF(AC151&lt;&gt;AC150,1,IF(AD150=misLíneas-2,0,AD150+1)))</f>
        <v/>
      </c>
      <c r="AE151" s="18" t="str" cm="1">
        <f t="array" aca="1" ref="AE151" ca="1">IF(OR(AD151=0,AD151=""),"",INDEX(misCriticidades,AC151)&amp;"-"&amp;IFERROR(MATCH(AD151,miOrdenTarjeta,0),0))</f>
        <v/>
      </c>
      <c r="AG151" s="18">
        <f t="shared" ca="1" si="66"/>
        <v>1</v>
      </c>
      <c r="AH151" s="18" t="str">
        <f t="shared" ca="1" si="57"/>
        <v/>
      </c>
      <c r="AI151" s="18" t="str" cm="1">
        <f t="array" aca="1" ref="AI151" ca="1">IF(AH151="","",IF(AH151&lt;&gt;AH150,1,IF(AI150=misLíneas-2,0,AI150+1)))</f>
        <v/>
      </c>
      <c r="AJ151" s="18" t="str" cm="1">
        <f t="array" aca="1" ref="AJ151" ca="1">IF(OR(AI151=0,AI151=""),"",INDEX(misCriticidades,AH151)&amp;"-"&amp;IFERROR(MATCH(AI151,miOrdenTarjeta,0),0))</f>
        <v/>
      </c>
      <c r="AL151" s="18">
        <f t="shared" ca="1" si="67"/>
        <v>1</v>
      </c>
      <c r="AM151" s="18" t="str">
        <f t="shared" ca="1" si="58"/>
        <v/>
      </c>
      <c r="AN151" s="18" t="str" cm="1">
        <f t="array" aca="1" ref="AN151" ca="1">IF(AM151="","",IF(AM151&lt;&gt;AM150,1,IF(AN150=misLíneas-2,0,AN150+1)))</f>
        <v/>
      </c>
      <c r="AO151" s="18" t="str" cm="1">
        <f t="array" aca="1" ref="AO151" ca="1">IF(OR(AN151=0,AN151=""),"",INDEX(misCriticidades,AM151)&amp;"-"&amp;IFERROR(MATCH(AN151,miOrdenTarjeta,0),0))</f>
        <v/>
      </c>
      <c r="AQ151" s="18">
        <f t="shared" ca="1" si="68"/>
        <v>1</v>
      </c>
      <c r="AR151" s="18" t="str">
        <f t="shared" ca="1" si="59"/>
        <v/>
      </c>
      <c r="AS151" s="18" t="str" cm="1">
        <f t="array" aca="1" ref="AS151" ca="1">IF(AR151="","",IF(AR151&lt;&gt;AR150,1,IF(AS150=misLíneas-2,0,AS150+1)))</f>
        <v/>
      </c>
      <c r="AT151" s="18" t="str" cm="1">
        <f t="array" aca="1" ref="AT151" ca="1">IF(OR(AS151=0,AS151=""),"",INDEX(misCriticidades,AR151)&amp;"-"&amp;IFERROR(MATCH(AS151,miOrdenTarjeta,0),0))</f>
        <v/>
      </c>
      <c r="AV151" s="18">
        <f t="shared" ca="1" si="69"/>
        <v>1</v>
      </c>
      <c r="AW151" s="18" t="str">
        <f t="shared" ca="1" si="60"/>
        <v/>
      </c>
      <c r="AX151" s="18" t="str" cm="1">
        <f t="array" aca="1" ref="AX151" ca="1">IF(AW151="","",IF(AW151&lt;&gt;AW150,1,IF(AX150=misLíneas-2,0,AX150+1)))</f>
        <v/>
      </c>
      <c r="AY151" s="18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18">
        <f t="shared" ca="1" si="70"/>
        <v>1</v>
      </c>
      <c r="D152" s="18" t="str">
        <f t="shared" ca="1" si="51"/>
        <v/>
      </c>
      <c r="E152" s="18" t="str" cm="1">
        <f t="array" aca="1" ref="E152" ca="1">IF(D152="","",IF(D152&lt;&gt;D151,1,IF(E151=misLíneas-2,0,E151+1)))</f>
        <v/>
      </c>
      <c r="F152" s="18" t="str" cm="1">
        <f t="array" aca="1" ref="F152" ca="1">IF(OR(E152=0,E152=""),"",INDEX(misCriticidades,D152)&amp;"-"&amp;IFERROR(MATCH(E152,miOrdenTarjeta,0),0))</f>
        <v/>
      </c>
      <c r="H152" s="18">
        <f t="shared" ca="1" si="61"/>
        <v>1</v>
      </c>
      <c r="I152" s="18" t="str">
        <f t="shared" ca="1" si="52"/>
        <v/>
      </c>
      <c r="J152" s="18" t="str" cm="1">
        <f t="array" aca="1" ref="J152" ca="1">IF(I152="","",IF(I152&lt;&gt;I151,1,IF(J151=misLíneas-2,0,J151+1)))</f>
        <v/>
      </c>
      <c r="K152" s="18" t="str" cm="1">
        <f t="array" aca="1" ref="K152" ca="1">IF(OR(J152=0,J152=""),"",INDEX(misCriticidades,I152)&amp;"-"&amp;IFERROR(MATCH(J152,miOrdenTarjeta,0),0))</f>
        <v/>
      </c>
      <c r="M152" s="18">
        <f t="shared" ca="1" si="62"/>
        <v>1</v>
      </c>
      <c r="N152" s="18" t="str">
        <f t="shared" ca="1" si="53"/>
        <v/>
      </c>
      <c r="O152" s="18" t="str" cm="1">
        <f t="array" aca="1" ref="O152" ca="1">IF(N152="","",IF(N152&lt;&gt;N151,1,IF(O151=misLíneas-2,0,O151+1)))</f>
        <v/>
      </c>
      <c r="P152" s="18" t="str" cm="1">
        <f t="array" aca="1" ref="P152" ca="1">IF(OR(O152=0,O152=""),"",INDEX(misCriticidades,N152)&amp;"-"&amp;IFERROR(MATCH(O152,miOrdenTarjeta,0),0))</f>
        <v/>
      </c>
      <c r="R152" s="18">
        <f t="shared" ca="1" si="63"/>
        <v>17</v>
      </c>
      <c r="S152" s="18">
        <f t="shared" ca="1" si="54"/>
        <v>14</v>
      </c>
      <c r="T152" s="18" cm="1">
        <f t="array" aca="1" ref="T152" ca="1">IF(S152="","",IF(S152&lt;&gt;S151,1,IF(T151=misLíneas-2,0,T151+1)))</f>
        <v>6</v>
      </c>
      <c r="U152" s="18" t="str" cm="1">
        <f t="array" aca="1" ref="U152" ca="1">IF(OR(T152=0,T152=""),"",INDEX(misCriticidades,S152)&amp;"-"&amp;IFERROR(MATCH(T152,miOrdenTarjeta,0),0))</f>
        <v>2-6</v>
      </c>
      <c r="W152" s="18">
        <f t="shared" ca="1" si="64"/>
        <v>1</v>
      </c>
      <c r="X152" s="18" t="str">
        <f t="shared" ca="1" si="55"/>
        <v/>
      </c>
      <c r="Y152" s="18" t="str" cm="1">
        <f t="array" aca="1" ref="Y152" ca="1">IF(X152="","",IF(X152&lt;&gt;X151,1,IF(Y151=misLíneas-2,0,Y151+1)))</f>
        <v/>
      </c>
      <c r="Z152" s="18" t="str" cm="1">
        <f t="array" aca="1" ref="Z152" ca="1">IF(OR(Y152=0,Y152=""),"",INDEX(misCriticidades,X152)&amp;"-"&amp;IFERROR(MATCH(Y152,miOrdenTarjeta,0),0))</f>
        <v/>
      </c>
      <c r="AB152" s="18">
        <f t="shared" ca="1" si="65"/>
        <v>1</v>
      </c>
      <c r="AC152" s="18" t="str">
        <f t="shared" ca="1" si="56"/>
        <v/>
      </c>
      <c r="AD152" s="18" t="str" cm="1">
        <f t="array" aca="1" ref="AD152" ca="1">IF(AC152="","",IF(AC152&lt;&gt;AC151,1,IF(AD151=misLíneas-2,0,AD151+1)))</f>
        <v/>
      </c>
      <c r="AE152" s="18" t="str" cm="1">
        <f t="array" aca="1" ref="AE152" ca="1">IF(OR(AD152=0,AD152=""),"",INDEX(misCriticidades,AC152)&amp;"-"&amp;IFERROR(MATCH(AD152,miOrdenTarjeta,0),0))</f>
        <v/>
      </c>
      <c r="AG152" s="18">
        <f t="shared" ca="1" si="66"/>
        <v>1</v>
      </c>
      <c r="AH152" s="18" t="str">
        <f t="shared" ca="1" si="57"/>
        <v/>
      </c>
      <c r="AI152" s="18" t="str" cm="1">
        <f t="array" aca="1" ref="AI152" ca="1">IF(AH152="","",IF(AH152&lt;&gt;AH151,1,IF(AI151=misLíneas-2,0,AI151+1)))</f>
        <v/>
      </c>
      <c r="AJ152" s="18" t="str" cm="1">
        <f t="array" aca="1" ref="AJ152" ca="1">IF(OR(AI152=0,AI152=""),"",INDEX(misCriticidades,AH152)&amp;"-"&amp;IFERROR(MATCH(AI152,miOrdenTarjeta,0),0))</f>
        <v/>
      </c>
      <c r="AL152" s="18">
        <f t="shared" ca="1" si="67"/>
        <v>1</v>
      </c>
      <c r="AM152" s="18" t="str">
        <f t="shared" ca="1" si="58"/>
        <v/>
      </c>
      <c r="AN152" s="18" t="str" cm="1">
        <f t="array" aca="1" ref="AN152" ca="1">IF(AM152="","",IF(AM152&lt;&gt;AM151,1,IF(AN151=misLíneas-2,0,AN151+1)))</f>
        <v/>
      </c>
      <c r="AO152" s="18" t="str" cm="1">
        <f t="array" aca="1" ref="AO152" ca="1">IF(OR(AN152=0,AN152=""),"",INDEX(misCriticidades,AM152)&amp;"-"&amp;IFERROR(MATCH(AN152,miOrdenTarjeta,0),0))</f>
        <v/>
      </c>
      <c r="AQ152" s="18">
        <f t="shared" ca="1" si="68"/>
        <v>1</v>
      </c>
      <c r="AR152" s="18" t="str">
        <f t="shared" ca="1" si="59"/>
        <v/>
      </c>
      <c r="AS152" s="18" t="str" cm="1">
        <f t="array" aca="1" ref="AS152" ca="1">IF(AR152="","",IF(AR152&lt;&gt;AR151,1,IF(AS151=misLíneas-2,0,AS151+1)))</f>
        <v/>
      </c>
      <c r="AT152" s="18" t="str" cm="1">
        <f t="array" aca="1" ref="AT152" ca="1">IF(OR(AS152=0,AS152=""),"",INDEX(misCriticidades,AR152)&amp;"-"&amp;IFERROR(MATCH(AS152,miOrdenTarjeta,0),0))</f>
        <v/>
      </c>
      <c r="AV152" s="18">
        <f t="shared" ca="1" si="69"/>
        <v>1</v>
      </c>
      <c r="AW152" s="18" t="str">
        <f t="shared" ca="1" si="60"/>
        <v/>
      </c>
      <c r="AX152" s="18" t="str" cm="1">
        <f t="array" aca="1" ref="AX152" ca="1">IF(AW152="","",IF(AW152&lt;&gt;AW151,1,IF(AX151=misLíneas-2,0,AX151+1)))</f>
        <v/>
      </c>
      <c r="AY152" s="18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18">
        <f t="shared" ca="1" si="70"/>
        <v>1</v>
      </c>
      <c r="D153" s="18" t="str">
        <f t="shared" ca="1" si="51"/>
        <v/>
      </c>
      <c r="E153" s="18" t="str" cm="1">
        <f t="array" aca="1" ref="E153" ca="1">IF(D153="","",IF(D153&lt;&gt;D152,1,IF(E152=misLíneas-2,0,E152+1)))</f>
        <v/>
      </c>
      <c r="F153" s="18" t="str" cm="1">
        <f t="array" aca="1" ref="F153" ca="1">IF(OR(E153=0,E153=""),"",INDEX(misCriticidades,D153)&amp;"-"&amp;IFERROR(MATCH(E153,miOrdenTarjeta,0),0))</f>
        <v/>
      </c>
      <c r="H153" s="18">
        <f t="shared" ca="1" si="61"/>
        <v>1</v>
      </c>
      <c r="I153" s="18" t="str">
        <f t="shared" ca="1" si="52"/>
        <v/>
      </c>
      <c r="J153" s="18" t="str" cm="1">
        <f t="array" aca="1" ref="J153" ca="1">IF(I153="","",IF(I153&lt;&gt;I152,1,IF(J152=misLíneas-2,0,J152+1)))</f>
        <v/>
      </c>
      <c r="K153" s="18" t="str" cm="1">
        <f t="array" aca="1" ref="K153" ca="1">IF(OR(J153=0,J153=""),"",INDEX(misCriticidades,I153)&amp;"-"&amp;IFERROR(MATCH(J153,miOrdenTarjeta,0),0))</f>
        <v/>
      </c>
      <c r="M153" s="18">
        <f t="shared" ca="1" si="62"/>
        <v>1</v>
      </c>
      <c r="N153" s="18" t="str">
        <f t="shared" ca="1" si="53"/>
        <v/>
      </c>
      <c r="O153" s="18" t="str" cm="1">
        <f t="array" aca="1" ref="O153" ca="1">IF(N153="","",IF(N153&lt;&gt;N152,1,IF(O152=misLíneas-2,0,O152+1)))</f>
        <v/>
      </c>
      <c r="P153" s="18" t="str" cm="1">
        <f t="array" aca="1" ref="P153" ca="1">IF(OR(O153=0,O153=""),"",INDEX(misCriticidades,N153)&amp;"-"&amp;IFERROR(MATCH(O153,miOrdenTarjeta,0),0))</f>
        <v/>
      </c>
      <c r="R153" s="18">
        <f t="shared" ca="1" si="63"/>
        <v>17</v>
      </c>
      <c r="S153" s="18">
        <f t="shared" ca="1" si="54"/>
        <v>14</v>
      </c>
      <c r="T153" s="18" cm="1">
        <f t="array" aca="1" ref="T153" ca="1">IF(S153="","",IF(S153&lt;&gt;S152,1,IF(T152=misLíneas-2,0,T152+1)))</f>
        <v>7</v>
      </c>
      <c r="U153" s="18" t="str" cm="1">
        <f t="array" aca="1" ref="U153" ca="1">IF(OR(T153=0,T153=""),"",INDEX(misCriticidades,S153)&amp;"-"&amp;IFERROR(MATCH(T153,miOrdenTarjeta,0),0))</f>
        <v>2-7</v>
      </c>
      <c r="W153" s="18">
        <f t="shared" ca="1" si="64"/>
        <v>1</v>
      </c>
      <c r="X153" s="18" t="str">
        <f t="shared" ca="1" si="55"/>
        <v/>
      </c>
      <c r="Y153" s="18" t="str" cm="1">
        <f t="array" aca="1" ref="Y153" ca="1">IF(X153="","",IF(X153&lt;&gt;X152,1,IF(Y152=misLíneas-2,0,Y152+1)))</f>
        <v/>
      </c>
      <c r="Z153" s="18" t="str" cm="1">
        <f t="array" aca="1" ref="Z153" ca="1">IF(OR(Y153=0,Y153=""),"",INDEX(misCriticidades,X153)&amp;"-"&amp;IFERROR(MATCH(Y153,miOrdenTarjeta,0),0))</f>
        <v/>
      </c>
      <c r="AB153" s="18">
        <f t="shared" ca="1" si="65"/>
        <v>1</v>
      </c>
      <c r="AC153" s="18" t="str">
        <f t="shared" ca="1" si="56"/>
        <v/>
      </c>
      <c r="AD153" s="18" t="str" cm="1">
        <f t="array" aca="1" ref="AD153" ca="1">IF(AC153="","",IF(AC153&lt;&gt;AC152,1,IF(AD152=misLíneas-2,0,AD152+1)))</f>
        <v/>
      </c>
      <c r="AE153" s="18" t="str" cm="1">
        <f t="array" aca="1" ref="AE153" ca="1">IF(OR(AD153=0,AD153=""),"",INDEX(misCriticidades,AC153)&amp;"-"&amp;IFERROR(MATCH(AD153,miOrdenTarjeta,0),0))</f>
        <v/>
      </c>
      <c r="AG153" s="18">
        <f t="shared" ca="1" si="66"/>
        <v>1</v>
      </c>
      <c r="AH153" s="18" t="str">
        <f t="shared" ca="1" si="57"/>
        <v/>
      </c>
      <c r="AI153" s="18" t="str" cm="1">
        <f t="array" aca="1" ref="AI153" ca="1">IF(AH153="","",IF(AH153&lt;&gt;AH152,1,IF(AI152=misLíneas-2,0,AI152+1)))</f>
        <v/>
      </c>
      <c r="AJ153" s="18" t="str" cm="1">
        <f t="array" aca="1" ref="AJ153" ca="1">IF(OR(AI153=0,AI153=""),"",INDEX(misCriticidades,AH153)&amp;"-"&amp;IFERROR(MATCH(AI153,miOrdenTarjeta,0),0))</f>
        <v/>
      </c>
      <c r="AL153" s="18">
        <f t="shared" ca="1" si="67"/>
        <v>1</v>
      </c>
      <c r="AM153" s="18" t="str">
        <f t="shared" ca="1" si="58"/>
        <v/>
      </c>
      <c r="AN153" s="18" t="str" cm="1">
        <f t="array" aca="1" ref="AN153" ca="1">IF(AM153="","",IF(AM153&lt;&gt;AM152,1,IF(AN152=misLíneas-2,0,AN152+1)))</f>
        <v/>
      </c>
      <c r="AO153" s="18" t="str" cm="1">
        <f t="array" aca="1" ref="AO153" ca="1">IF(OR(AN153=0,AN153=""),"",INDEX(misCriticidades,AM153)&amp;"-"&amp;IFERROR(MATCH(AN153,miOrdenTarjeta,0),0))</f>
        <v/>
      </c>
      <c r="AQ153" s="18">
        <f t="shared" ca="1" si="68"/>
        <v>1</v>
      </c>
      <c r="AR153" s="18" t="str">
        <f t="shared" ca="1" si="59"/>
        <v/>
      </c>
      <c r="AS153" s="18" t="str" cm="1">
        <f t="array" aca="1" ref="AS153" ca="1">IF(AR153="","",IF(AR153&lt;&gt;AR152,1,IF(AS152=misLíneas-2,0,AS152+1)))</f>
        <v/>
      </c>
      <c r="AT153" s="18" t="str" cm="1">
        <f t="array" aca="1" ref="AT153" ca="1">IF(OR(AS153=0,AS153=""),"",INDEX(misCriticidades,AR153)&amp;"-"&amp;IFERROR(MATCH(AS153,miOrdenTarjeta,0),0))</f>
        <v/>
      </c>
      <c r="AV153" s="18">
        <f t="shared" ca="1" si="69"/>
        <v>1</v>
      </c>
      <c r="AW153" s="18" t="str">
        <f t="shared" ca="1" si="60"/>
        <v/>
      </c>
      <c r="AX153" s="18" t="str" cm="1">
        <f t="array" aca="1" ref="AX153" ca="1">IF(AW153="","",IF(AW153&lt;&gt;AW152,1,IF(AX152=misLíneas-2,0,AX152+1)))</f>
        <v/>
      </c>
      <c r="AY153" s="18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18">
        <f t="shared" ca="1" si="70"/>
        <v>1</v>
      </c>
      <c r="D154" s="18" t="str">
        <f t="shared" ca="1" si="51"/>
        <v/>
      </c>
      <c r="E154" s="18" t="str" cm="1">
        <f t="array" aca="1" ref="E154" ca="1">IF(D154="","",IF(D154&lt;&gt;D153,1,IF(E153=misLíneas-2,0,E153+1)))</f>
        <v/>
      </c>
      <c r="F154" s="18" t="str" cm="1">
        <f t="array" aca="1" ref="F154" ca="1">IF(OR(E154=0,E154=""),"",INDEX(misCriticidades,D154)&amp;"-"&amp;IFERROR(MATCH(E154,miOrdenTarjeta,0),0))</f>
        <v/>
      </c>
      <c r="H154" s="18">
        <f t="shared" ca="1" si="61"/>
        <v>1</v>
      </c>
      <c r="I154" s="18" t="str">
        <f t="shared" ca="1" si="52"/>
        <v/>
      </c>
      <c r="J154" s="18" t="str" cm="1">
        <f t="array" aca="1" ref="J154" ca="1">IF(I154="","",IF(I154&lt;&gt;I153,1,IF(J153=misLíneas-2,0,J153+1)))</f>
        <v/>
      </c>
      <c r="K154" s="18" t="str" cm="1">
        <f t="array" aca="1" ref="K154" ca="1">IF(OR(J154=0,J154=""),"",INDEX(misCriticidades,I154)&amp;"-"&amp;IFERROR(MATCH(J154,miOrdenTarjeta,0),0))</f>
        <v/>
      </c>
      <c r="M154" s="18">
        <f t="shared" ca="1" si="62"/>
        <v>1</v>
      </c>
      <c r="N154" s="18" t="str">
        <f t="shared" ca="1" si="53"/>
        <v/>
      </c>
      <c r="O154" s="18" t="str" cm="1">
        <f t="array" aca="1" ref="O154" ca="1">IF(N154="","",IF(N154&lt;&gt;N153,1,IF(O153=misLíneas-2,0,O153+1)))</f>
        <v/>
      </c>
      <c r="P154" s="18" t="str" cm="1">
        <f t="array" aca="1" ref="P154" ca="1">IF(OR(O154=0,O154=""),"",INDEX(misCriticidades,N154)&amp;"-"&amp;IFERROR(MATCH(O154,miOrdenTarjeta,0),0))</f>
        <v/>
      </c>
      <c r="R154" s="18">
        <f t="shared" ca="1" si="63"/>
        <v>17</v>
      </c>
      <c r="S154" s="18">
        <f t="shared" ca="1" si="54"/>
        <v>14</v>
      </c>
      <c r="T154" s="18" cm="1">
        <f t="array" aca="1" ref="T154" ca="1">IF(S154="","",IF(S154&lt;&gt;S153,1,IF(T153=misLíneas-2,0,T153+1)))</f>
        <v>8</v>
      </c>
      <c r="U154" s="18" t="str" cm="1">
        <f t="array" aca="1" ref="U154" ca="1">IF(OR(T154=0,T154=""),"",INDEX(misCriticidades,S154)&amp;"-"&amp;IFERROR(MATCH(T154,miOrdenTarjeta,0),0))</f>
        <v>2-8</v>
      </c>
      <c r="W154" s="18">
        <f t="shared" ca="1" si="64"/>
        <v>1</v>
      </c>
      <c r="X154" s="18" t="str">
        <f t="shared" ca="1" si="55"/>
        <v/>
      </c>
      <c r="Y154" s="18" t="str" cm="1">
        <f t="array" aca="1" ref="Y154" ca="1">IF(X154="","",IF(X154&lt;&gt;X153,1,IF(Y153=misLíneas-2,0,Y153+1)))</f>
        <v/>
      </c>
      <c r="Z154" s="18" t="str" cm="1">
        <f t="array" aca="1" ref="Z154" ca="1">IF(OR(Y154=0,Y154=""),"",INDEX(misCriticidades,X154)&amp;"-"&amp;IFERROR(MATCH(Y154,miOrdenTarjeta,0),0))</f>
        <v/>
      </c>
      <c r="AB154" s="18">
        <f t="shared" ca="1" si="65"/>
        <v>1</v>
      </c>
      <c r="AC154" s="18" t="str">
        <f t="shared" ca="1" si="56"/>
        <v/>
      </c>
      <c r="AD154" s="18" t="str" cm="1">
        <f t="array" aca="1" ref="AD154" ca="1">IF(AC154="","",IF(AC154&lt;&gt;AC153,1,IF(AD153=misLíneas-2,0,AD153+1)))</f>
        <v/>
      </c>
      <c r="AE154" s="18" t="str" cm="1">
        <f t="array" aca="1" ref="AE154" ca="1">IF(OR(AD154=0,AD154=""),"",INDEX(misCriticidades,AC154)&amp;"-"&amp;IFERROR(MATCH(AD154,miOrdenTarjeta,0),0))</f>
        <v/>
      </c>
      <c r="AG154" s="18">
        <f t="shared" ca="1" si="66"/>
        <v>1</v>
      </c>
      <c r="AH154" s="18" t="str">
        <f t="shared" ca="1" si="57"/>
        <v/>
      </c>
      <c r="AI154" s="18" t="str" cm="1">
        <f t="array" aca="1" ref="AI154" ca="1">IF(AH154="","",IF(AH154&lt;&gt;AH153,1,IF(AI153=misLíneas-2,0,AI153+1)))</f>
        <v/>
      </c>
      <c r="AJ154" s="18" t="str" cm="1">
        <f t="array" aca="1" ref="AJ154" ca="1">IF(OR(AI154=0,AI154=""),"",INDEX(misCriticidades,AH154)&amp;"-"&amp;IFERROR(MATCH(AI154,miOrdenTarjeta,0),0))</f>
        <v/>
      </c>
      <c r="AL154" s="18">
        <f t="shared" ca="1" si="67"/>
        <v>1</v>
      </c>
      <c r="AM154" s="18" t="str">
        <f t="shared" ca="1" si="58"/>
        <v/>
      </c>
      <c r="AN154" s="18" t="str" cm="1">
        <f t="array" aca="1" ref="AN154" ca="1">IF(AM154="","",IF(AM154&lt;&gt;AM153,1,IF(AN153=misLíneas-2,0,AN153+1)))</f>
        <v/>
      </c>
      <c r="AO154" s="18" t="str" cm="1">
        <f t="array" aca="1" ref="AO154" ca="1">IF(OR(AN154=0,AN154=""),"",INDEX(misCriticidades,AM154)&amp;"-"&amp;IFERROR(MATCH(AN154,miOrdenTarjeta,0),0))</f>
        <v/>
      </c>
      <c r="AQ154" s="18">
        <f t="shared" ca="1" si="68"/>
        <v>1</v>
      </c>
      <c r="AR154" s="18" t="str">
        <f t="shared" ca="1" si="59"/>
        <v/>
      </c>
      <c r="AS154" s="18" t="str" cm="1">
        <f t="array" aca="1" ref="AS154" ca="1">IF(AR154="","",IF(AR154&lt;&gt;AR153,1,IF(AS153=misLíneas-2,0,AS153+1)))</f>
        <v/>
      </c>
      <c r="AT154" s="18" t="str" cm="1">
        <f t="array" aca="1" ref="AT154" ca="1">IF(OR(AS154=0,AS154=""),"",INDEX(misCriticidades,AR154)&amp;"-"&amp;IFERROR(MATCH(AS154,miOrdenTarjeta,0),0))</f>
        <v/>
      </c>
      <c r="AV154" s="18">
        <f t="shared" ca="1" si="69"/>
        <v>1</v>
      </c>
      <c r="AW154" s="18" t="str">
        <f t="shared" ca="1" si="60"/>
        <v/>
      </c>
      <c r="AX154" s="18" t="str" cm="1">
        <f t="array" aca="1" ref="AX154" ca="1">IF(AW154="","",IF(AW154&lt;&gt;AW153,1,IF(AX153=misLíneas-2,0,AX153+1)))</f>
        <v/>
      </c>
      <c r="AY154" s="18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18">
        <f t="shared" ca="1" si="70"/>
        <v>1</v>
      </c>
      <c r="D155" s="18" t="str">
        <f t="shared" ca="1" si="51"/>
        <v/>
      </c>
      <c r="E155" s="18" t="str" cm="1">
        <f t="array" aca="1" ref="E155" ca="1">IF(D155="","",IF(D155&lt;&gt;D154,1,IF(E154=misLíneas-2,0,E154+1)))</f>
        <v/>
      </c>
      <c r="F155" s="18" t="str" cm="1">
        <f t="array" aca="1" ref="F155" ca="1">IF(OR(E155=0,E155=""),"",INDEX(misCriticidades,D155)&amp;"-"&amp;IFERROR(MATCH(E155,miOrdenTarjeta,0),0))</f>
        <v/>
      </c>
      <c r="H155" s="18">
        <f t="shared" ca="1" si="61"/>
        <v>1</v>
      </c>
      <c r="I155" s="18" t="str">
        <f t="shared" ca="1" si="52"/>
        <v/>
      </c>
      <c r="J155" s="18" t="str" cm="1">
        <f t="array" aca="1" ref="J155" ca="1">IF(I155="","",IF(I155&lt;&gt;I154,1,IF(J154=misLíneas-2,0,J154+1)))</f>
        <v/>
      </c>
      <c r="K155" s="18" t="str" cm="1">
        <f t="array" aca="1" ref="K155" ca="1">IF(OR(J155=0,J155=""),"",INDEX(misCriticidades,I155)&amp;"-"&amp;IFERROR(MATCH(J155,miOrdenTarjeta,0),0))</f>
        <v/>
      </c>
      <c r="M155" s="18">
        <f t="shared" ca="1" si="62"/>
        <v>1</v>
      </c>
      <c r="N155" s="18" t="str">
        <f t="shared" ca="1" si="53"/>
        <v/>
      </c>
      <c r="O155" s="18" t="str" cm="1">
        <f t="array" aca="1" ref="O155" ca="1">IF(N155="","",IF(N155&lt;&gt;N154,1,IF(O154=misLíneas-2,0,O154+1)))</f>
        <v/>
      </c>
      <c r="P155" s="18" t="str" cm="1">
        <f t="array" aca="1" ref="P155" ca="1">IF(OR(O155=0,O155=""),"",INDEX(misCriticidades,N155)&amp;"-"&amp;IFERROR(MATCH(O155,miOrdenTarjeta,0),0))</f>
        <v/>
      </c>
      <c r="R155" s="18">
        <f t="shared" ca="1" si="63"/>
        <v>17</v>
      </c>
      <c r="S155" s="18">
        <f t="shared" ca="1" si="54"/>
        <v>14</v>
      </c>
      <c r="T155" s="18" cm="1">
        <f t="array" aca="1" ref="T155" ca="1">IF(S155="","",IF(S155&lt;&gt;S154,1,IF(T154=misLíneas-2,0,T154+1)))</f>
        <v>0</v>
      </c>
      <c r="U155" s="18" t="str" cm="1">
        <f t="array" aca="1" ref="U155" ca="1">IF(OR(T155=0,T155=""),"",INDEX(misCriticidades,S155)&amp;"-"&amp;IFERROR(MATCH(T155,miOrdenTarjeta,0),0))</f>
        <v/>
      </c>
      <c r="W155" s="18">
        <f t="shared" ca="1" si="64"/>
        <v>1</v>
      </c>
      <c r="X155" s="18" t="str">
        <f t="shared" ca="1" si="55"/>
        <v/>
      </c>
      <c r="Y155" s="18" t="str" cm="1">
        <f t="array" aca="1" ref="Y155" ca="1">IF(X155="","",IF(X155&lt;&gt;X154,1,IF(Y154=misLíneas-2,0,Y154+1)))</f>
        <v/>
      </c>
      <c r="Z155" s="18" t="str" cm="1">
        <f t="array" aca="1" ref="Z155" ca="1">IF(OR(Y155=0,Y155=""),"",INDEX(misCriticidades,X155)&amp;"-"&amp;IFERROR(MATCH(Y155,miOrdenTarjeta,0),0))</f>
        <v/>
      </c>
      <c r="AB155" s="18">
        <f t="shared" ca="1" si="65"/>
        <v>1</v>
      </c>
      <c r="AC155" s="18" t="str">
        <f t="shared" ca="1" si="56"/>
        <v/>
      </c>
      <c r="AD155" s="18" t="str" cm="1">
        <f t="array" aca="1" ref="AD155" ca="1">IF(AC155="","",IF(AC155&lt;&gt;AC154,1,IF(AD154=misLíneas-2,0,AD154+1)))</f>
        <v/>
      </c>
      <c r="AE155" s="18" t="str" cm="1">
        <f t="array" aca="1" ref="AE155" ca="1">IF(OR(AD155=0,AD155=""),"",INDEX(misCriticidades,AC155)&amp;"-"&amp;IFERROR(MATCH(AD155,miOrdenTarjeta,0),0))</f>
        <v/>
      </c>
      <c r="AG155" s="18">
        <f t="shared" ca="1" si="66"/>
        <v>1</v>
      </c>
      <c r="AH155" s="18" t="str">
        <f t="shared" ca="1" si="57"/>
        <v/>
      </c>
      <c r="AI155" s="18" t="str" cm="1">
        <f t="array" aca="1" ref="AI155" ca="1">IF(AH155="","",IF(AH155&lt;&gt;AH154,1,IF(AI154=misLíneas-2,0,AI154+1)))</f>
        <v/>
      </c>
      <c r="AJ155" s="18" t="str" cm="1">
        <f t="array" aca="1" ref="AJ155" ca="1">IF(OR(AI155=0,AI155=""),"",INDEX(misCriticidades,AH155)&amp;"-"&amp;IFERROR(MATCH(AI155,miOrdenTarjeta,0),0))</f>
        <v/>
      </c>
      <c r="AL155" s="18">
        <f t="shared" ca="1" si="67"/>
        <v>1</v>
      </c>
      <c r="AM155" s="18" t="str">
        <f t="shared" ca="1" si="58"/>
        <v/>
      </c>
      <c r="AN155" s="18" t="str" cm="1">
        <f t="array" aca="1" ref="AN155" ca="1">IF(AM155="","",IF(AM155&lt;&gt;AM154,1,IF(AN154=misLíneas-2,0,AN154+1)))</f>
        <v/>
      </c>
      <c r="AO155" s="18" t="str" cm="1">
        <f t="array" aca="1" ref="AO155" ca="1">IF(OR(AN155=0,AN155=""),"",INDEX(misCriticidades,AM155)&amp;"-"&amp;IFERROR(MATCH(AN155,miOrdenTarjeta,0),0))</f>
        <v/>
      </c>
      <c r="AQ155" s="18">
        <f t="shared" ca="1" si="68"/>
        <v>1</v>
      </c>
      <c r="AR155" s="18" t="str">
        <f t="shared" ca="1" si="59"/>
        <v/>
      </c>
      <c r="AS155" s="18" t="str" cm="1">
        <f t="array" aca="1" ref="AS155" ca="1">IF(AR155="","",IF(AR155&lt;&gt;AR154,1,IF(AS154=misLíneas-2,0,AS154+1)))</f>
        <v/>
      </c>
      <c r="AT155" s="18" t="str" cm="1">
        <f t="array" aca="1" ref="AT155" ca="1">IF(OR(AS155=0,AS155=""),"",INDEX(misCriticidades,AR155)&amp;"-"&amp;IFERROR(MATCH(AS155,miOrdenTarjeta,0),0))</f>
        <v/>
      </c>
      <c r="AV155" s="18">
        <f t="shared" ca="1" si="69"/>
        <v>1</v>
      </c>
      <c r="AW155" s="18" t="str">
        <f t="shared" ca="1" si="60"/>
        <v/>
      </c>
      <c r="AX155" s="18" t="str" cm="1">
        <f t="array" aca="1" ref="AX155" ca="1">IF(AW155="","",IF(AW155&lt;&gt;AW154,1,IF(AX154=misLíneas-2,0,AX154+1)))</f>
        <v/>
      </c>
      <c r="AY155" s="18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18">
        <f t="shared" ca="1" si="70"/>
        <v>1</v>
      </c>
      <c r="D156" s="18" t="str">
        <f t="shared" ca="1" si="51"/>
        <v/>
      </c>
      <c r="E156" s="18" t="str" cm="1">
        <f t="array" aca="1" ref="E156" ca="1">IF(D156="","",IF(D156&lt;&gt;D155,1,IF(E155=misLíneas-2,0,E155+1)))</f>
        <v/>
      </c>
      <c r="F156" s="18" t="str" cm="1">
        <f t="array" aca="1" ref="F156" ca="1">IF(OR(E156=0,E156=""),"",INDEX(misCriticidades,D156)&amp;"-"&amp;IFERROR(MATCH(E156,miOrdenTarjeta,0),0))</f>
        <v/>
      </c>
      <c r="H156" s="18">
        <f t="shared" ca="1" si="61"/>
        <v>1</v>
      </c>
      <c r="I156" s="18" t="str">
        <f t="shared" ca="1" si="52"/>
        <v/>
      </c>
      <c r="J156" s="18" t="str" cm="1">
        <f t="array" aca="1" ref="J156" ca="1">IF(I156="","",IF(I156&lt;&gt;I155,1,IF(J155=misLíneas-2,0,J155+1)))</f>
        <v/>
      </c>
      <c r="K156" s="18" t="str" cm="1">
        <f t="array" aca="1" ref="K156" ca="1">IF(OR(J156=0,J156=""),"",INDEX(misCriticidades,I156)&amp;"-"&amp;IFERROR(MATCH(J156,miOrdenTarjeta,0),0))</f>
        <v/>
      </c>
      <c r="M156" s="18">
        <f t="shared" ca="1" si="62"/>
        <v>1</v>
      </c>
      <c r="N156" s="18" t="str">
        <f t="shared" ca="1" si="53"/>
        <v/>
      </c>
      <c r="O156" s="18" t="str" cm="1">
        <f t="array" aca="1" ref="O156" ca="1">IF(N156="","",IF(N156&lt;&gt;N155,1,IF(O155=misLíneas-2,0,O155+1)))</f>
        <v/>
      </c>
      <c r="P156" s="18" t="str" cm="1">
        <f t="array" aca="1" ref="P156" ca="1">IF(OR(O156=0,O156=""),"",INDEX(misCriticidades,N156)&amp;"-"&amp;IFERROR(MATCH(O156,miOrdenTarjeta,0),0))</f>
        <v/>
      </c>
      <c r="R156" s="18">
        <f t="shared" ca="1" si="63"/>
        <v>18</v>
      </c>
      <c r="S156" s="18">
        <f t="shared" ca="1" si="54"/>
        <v>13</v>
      </c>
      <c r="T156" s="18" cm="1">
        <f t="array" aca="1" ref="T156" ca="1">IF(S156="","",IF(S156&lt;&gt;S155,1,IF(T155=misLíneas-2,0,T155+1)))</f>
        <v>1</v>
      </c>
      <c r="U156" s="18" t="str" cm="1">
        <f t="array" aca="1" ref="U156" ca="1">IF(OR(T156=0,T156=""),"",INDEX(misCriticidades,S156)&amp;"-"&amp;IFERROR(MATCH(T156,miOrdenTarjeta,0),0))</f>
        <v>2-1</v>
      </c>
      <c r="W156" s="18">
        <f t="shared" ca="1" si="64"/>
        <v>1</v>
      </c>
      <c r="X156" s="18" t="str">
        <f t="shared" ca="1" si="55"/>
        <v/>
      </c>
      <c r="Y156" s="18" t="str" cm="1">
        <f t="array" aca="1" ref="Y156" ca="1">IF(X156="","",IF(X156&lt;&gt;X155,1,IF(Y155=misLíneas-2,0,Y155+1)))</f>
        <v/>
      </c>
      <c r="Z156" s="18" t="str" cm="1">
        <f t="array" aca="1" ref="Z156" ca="1">IF(OR(Y156=0,Y156=""),"",INDEX(misCriticidades,X156)&amp;"-"&amp;IFERROR(MATCH(Y156,miOrdenTarjeta,0),0))</f>
        <v/>
      </c>
      <c r="AB156" s="18">
        <f t="shared" ca="1" si="65"/>
        <v>1</v>
      </c>
      <c r="AC156" s="18" t="str">
        <f t="shared" ca="1" si="56"/>
        <v/>
      </c>
      <c r="AD156" s="18" t="str" cm="1">
        <f t="array" aca="1" ref="AD156" ca="1">IF(AC156="","",IF(AC156&lt;&gt;AC155,1,IF(AD155=misLíneas-2,0,AD155+1)))</f>
        <v/>
      </c>
      <c r="AE156" s="18" t="str" cm="1">
        <f t="array" aca="1" ref="AE156" ca="1">IF(OR(AD156=0,AD156=""),"",INDEX(misCriticidades,AC156)&amp;"-"&amp;IFERROR(MATCH(AD156,miOrdenTarjeta,0),0))</f>
        <v/>
      </c>
      <c r="AG156" s="18">
        <f t="shared" ca="1" si="66"/>
        <v>1</v>
      </c>
      <c r="AH156" s="18" t="str">
        <f t="shared" ca="1" si="57"/>
        <v/>
      </c>
      <c r="AI156" s="18" t="str" cm="1">
        <f t="array" aca="1" ref="AI156" ca="1">IF(AH156="","",IF(AH156&lt;&gt;AH155,1,IF(AI155=misLíneas-2,0,AI155+1)))</f>
        <v/>
      </c>
      <c r="AJ156" s="18" t="str" cm="1">
        <f t="array" aca="1" ref="AJ156" ca="1">IF(OR(AI156=0,AI156=""),"",INDEX(misCriticidades,AH156)&amp;"-"&amp;IFERROR(MATCH(AI156,miOrdenTarjeta,0),0))</f>
        <v/>
      </c>
      <c r="AL156" s="18">
        <f t="shared" ca="1" si="67"/>
        <v>1</v>
      </c>
      <c r="AM156" s="18" t="str">
        <f t="shared" ca="1" si="58"/>
        <v/>
      </c>
      <c r="AN156" s="18" t="str" cm="1">
        <f t="array" aca="1" ref="AN156" ca="1">IF(AM156="","",IF(AM156&lt;&gt;AM155,1,IF(AN155=misLíneas-2,0,AN155+1)))</f>
        <v/>
      </c>
      <c r="AO156" s="18" t="str" cm="1">
        <f t="array" aca="1" ref="AO156" ca="1">IF(OR(AN156=0,AN156=""),"",INDEX(misCriticidades,AM156)&amp;"-"&amp;IFERROR(MATCH(AN156,miOrdenTarjeta,0),0))</f>
        <v/>
      </c>
      <c r="AQ156" s="18">
        <f t="shared" ca="1" si="68"/>
        <v>1</v>
      </c>
      <c r="AR156" s="18" t="str">
        <f t="shared" ca="1" si="59"/>
        <v/>
      </c>
      <c r="AS156" s="18" t="str" cm="1">
        <f t="array" aca="1" ref="AS156" ca="1">IF(AR156="","",IF(AR156&lt;&gt;AR155,1,IF(AS155=misLíneas-2,0,AS155+1)))</f>
        <v/>
      </c>
      <c r="AT156" s="18" t="str" cm="1">
        <f t="array" aca="1" ref="AT156" ca="1">IF(OR(AS156=0,AS156=""),"",INDEX(misCriticidades,AR156)&amp;"-"&amp;IFERROR(MATCH(AS156,miOrdenTarjeta,0),0))</f>
        <v/>
      </c>
      <c r="AV156" s="18">
        <f t="shared" ca="1" si="69"/>
        <v>1</v>
      </c>
      <c r="AW156" s="18" t="str">
        <f t="shared" ca="1" si="60"/>
        <v/>
      </c>
      <c r="AX156" s="18" t="str" cm="1">
        <f t="array" aca="1" ref="AX156" ca="1">IF(AW156="","",IF(AW156&lt;&gt;AW155,1,IF(AX155=misLíneas-2,0,AX155+1)))</f>
        <v/>
      </c>
      <c r="AY156" s="18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18">
        <f t="shared" ca="1" si="70"/>
        <v>1</v>
      </c>
      <c r="D157" s="18" t="str">
        <f t="shared" ca="1" si="51"/>
        <v/>
      </c>
      <c r="E157" s="18" t="str" cm="1">
        <f t="array" aca="1" ref="E157" ca="1">IF(D157="","",IF(D157&lt;&gt;D156,1,IF(E156=misLíneas-2,0,E156+1)))</f>
        <v/>
      </c>
      <c r="F157" s="18" t="str" cm="1">
        <f t="array" aca="1" ref="F157" ca="1">IF(OR(E157=0,E157=""),"",INDEX(misCriticidades,D157)&amp;"-"&amp;IFERROR(MATCH(E157,miOrdenTarjeta,0),0))</f>
        <v/>
      </c>
      <c r="H157" s="18">
        <f t="shared" ca="1" si="61"/>
        <v>1</v>
      </c>
      <c r="I157" s="18" t="str">
        <f t="shared" ca="1" si="52"/>
        <v/>
      </c>
      <c r="J157" s="18" t="str" cm="1">
        <f t="array" aca="1" ref="J157" ca="1">IF(I157="","",IF(I157&lt;&gt;I156,1,IF(J156=misLíneas-2,0,J156+1)))</f>
        <v/>
      </c>
      <c r="K157" s="18" t="str" cm="1">
        <f t="array" aca="1" ref="K157" ca="1">IF(OR(J157=0,J157=""),"",INDEX(misCriticidades,I157)&amp;"-"&amp;IFERROR(MATCH(J157,miOrdenTarjeta,0),0))</f>
        <v/>
      </c>
      <c r="M157" s="18">
        <f t="shared" ca="1" si="62"/>
        <v>1</v>
      </c>
      <c r="N157" s="18" t="str">
        <f t="shared" ca="1" si="53"/>
        <v/>
      </c>
      <c r="O157" s="18" t="str" cm="1">
        <f t="array" aca="1" ref="O157" ca="1">IF(N157="","",IF(N157&lt;&gt;N156,1,IF(O156=misLíneas-2,0,O156+1)))</f>
        <v/>
      </c>
      <c r="P157" s="18" t="str" cm="1">
        <f t="array" aca="1" ref="P157" ca="1">IF(OR(O157=0,O157=""),"",INDEX(misCriticidades,N157)&amp;"-"&amp;IFERROR(MATCH(O157,miOrdenTarjeta,0),0))</f>
        <v/>
      </c>
      <c r="R157" s="18">
        <f t="shared" ca="1" si="63"/>
        <v>18</v>
      </c>
      <c r="S157" s="18">
        <f t="shared" ca="1" si="54"/>
        <v>13</v>
      </c>
      <c r="T157" s="18" cm="1">
        <f t="array" aca="1" ref="T157" ca="1">IF(S157="","",IF(S157&lt;&gt;S156,1,IF(T156=misLíneas-2,0,T156+1)))</f>
        <v>2</v>
      </c>
      <c r="U157" s="18" t="str" cm="1">
        <f t="array" aca="1" ref="U157" ca="1">IF(OR(T157=0,T157=""),"",INDEX(misCriticidades,S157)&amp;"-"&amp;IFERROR(MATCH(T157,miOrdenTarjeta,0),0))</f>
        <v>2-2</v>
      </c>
      <c r="W157" s="18">
        <f t="shared" ca="1" si="64"/>
        <v>1</v>
      </c>
      <c r="X157" s="18" t="str">
        <f t="shared" ca="1" si="55"/>
        <v/>
      </c>
      <c r="Y157" s="18" t="str" cm="1">
        <f t="array" aca="1" ref="Y157" ca="1">IF(X157="","",IF(X157&lt;&gt;X156,1,IF(Y156=misLíneas-2,0,Y156+1)))</f>
        <v/>
      </c>
      <c r="Z157" s="18" t="str" cm="1">
        <f t="array" aca="1" ref="Z157" ca="1">IF(OR(Y157=0,Y157=""),"",INDEX(misCriticidades,X157)&amp;"-"&amp;IFERROR(MATCH(Y157,miOrdenTarjeta,0),0))</f>
        <v/>
      </c>
      <c r="AB157" s="18">
        <f t="shared" ca="1" si="65"/>
        <v>1</v>
      </c>
      <c r="AC157" s="18" t="str">
        <f t="shared" ca="1" si="56"/>
        <v/>
      </c>
      <c r="AD157" s="18" t="str" cm="1">
        <f t="array" aca="1" ref="AD157" ca="1">IF(AC157="","",IF(AC157&lt;&gt;AC156,1,IF(AD156=misLíneas-2,0,AD156+1)))</f>
        <v/>
      </c>
      <c r="AE157" s="18" t="str" cm="1">
        <f t="array" aca="1" ref="AE157" ca="1">IF(OR(AD157=0,AD157=""),"",INDEX(misCriticidades,AC157)&amp;"-"&amp;IFERROR(MATCH(AD157,miOrdenTarjeta,0),0))</f>
        <v/>
      </c>
      <c r="AG157" s="18">
        <f t="shared" ca="1" si="66"/>
        <v>1</v>
      </c>
      <c r="AH157" s="18" t="str">
        <f t="shared" ca="1" si="57"/>
        <v/>
      </c>
      <c r="AI157" s="18" t="str" cm="1">
        <f t="array" aca="1" ref="AI157" ca="1">IF(AH157="","",IF(AH157&lt;&gt;AH156,1,IF(AI156=misLíneas-2,0,AI156+1)))</f>
        <v/>
      </c>
      <c r="AJ157" s="18" t="str" cm="1">
        <f t="array" aca="1" ref="AJ157" ca="1">IF(OR(AI157=0,AI157=""),"",INDEX(misCriticidades,AH157)&amp;"-"&amp;IFERROR(MATCH(AI157,miOrdenTarjeta,0),0))</f>
        <v/>
      </c>
      <c r="AL157" s="18">
        <f t="shared" ca="1" si="67"/>
        <v>1</v>
      </c>
      <c r="AM157" s="18" t="str">
        <f t="shared" ca="1" si="58"/>
        <v/>
      </c>
      <c r="AN157" s="18" t="str" cm="1">
        <f t="array" aca="1" ref="AN157" ca="1">IF(AM157="","",IF(AM157&lt;&gt;AM156,1,IF(AN156=misLíneas-2,0,AN156+1)))</f>
        <v/>
      </c>
      <c r="AO157" s="18" t="str" cm="1">
        <f t="array" aca="1" ref="AO157" ca="1">IF(OR(AN157=0,AN157=""),"",INDEX(misCriticidades,AM157)&amp;"-"&amp;IFERROR(MATCH(AN157,miOrdenTarjeta,0),0))</f>
        <v/>
      </c>
      <c r="AQ157" s="18">
        <f t="shared" ca="1" si="68"/>
        <v>1</v>
      </c>
      <c r="AR157" s="18" t="str">
        <f t="shared" ca="1" si="59"/>
        <v/>
      </c>
      <c r="AS157" s="18" t="str" cm="1">
        <f t="array" aca="1" ref="AS157" ca="1">IF(AR157="","",IF(AR157&lt;&gt;AR156,1,IF(AS156=misLíneas-2,0,AS156+1)))</f>
        <v/>
      </c>
      <c r="AT157" s="18" t="str" cm="1">
        <f t="array" aca="1" ref="AT157" ca="1">IF(OR(AS157=0,AS157=""),"",INDEX(misCriticidades,AR157)&amp;"-"&amp;IFERROR(MATCH(AS157,miOrdenTarjeta,0),0))</f>
        <v/>
      </c>
      <c r="AV157" s="18">
        <f t="shared" ca="1" si="69"/>
        <v>1</v>
      </c>
      <c r="AW157" s="18" t="str">
        <f t="shared" ca="1" si="60"/>
        <v/>
      </c>
      <c r="AX157" s="18" t="str" cm="1">
        <f t="array" aca="1" ref="AX157" ca="1">IF(AW157="","",IF(AW157&lt;&gt;AW156,1,IF(AX156=misLíneas-2,0,AX156+1)))</f>
        <v/>
      </c>
      <c r="AY157" s="18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18">
        <f t="shared" ca="1" si="70"/>
        <v>1</v>
      </c>
      <c r="D158" s="18" t="str">
        <f t="shared" ca="1" si="51"/>
        <v/>
      </c>
      <c r="E158" s="18" t="str" cm="1">
        <f t="array" aca="1" ref="E158" ca="1">IF(D158="","",IF(D158&lt;&gt;D157,1,IF(E157=misLíneas-2,0,E157+1)))</f>
        <v/>
      </c>
      <c r="F158" s="18" t="str" cm="1">
        <f t="array" aca="1" ref="F158" ca="1">IF(OR(E158=0,E158=""),"",INDEX(misCriticidades,D158)&amp;"-"&amp;IFERROR(MATCH(E158,miOrdenTarjeta,0),0))</f>
        <v/>
      </c>
      <c r="H158" s="18">
        <f t="shared" ca="1" si="61"/>
        <v>1</v>
      </c>
      <c r="I158" s="18" t="str">
        <f t="shared" ca="1" si="52"/>
        <v/>
      </c>
      <c r="J158" s="18" t="str" cm="1">
        <f t="array" aca="1" ref="J158" ca="1">IF(I158="","",IF(I158&lt;&gt;I157,1,IF(J157=misLíneas-2,0,J157+1)))</f>
        <v/>
      </c>
      <c r="K158" s="18" t="str" cm="1">
        <f t="array" aca="1" ref="K158" ca="1">IF(OR(J158=0,J158=""),"",INDEX(misCriticidades,I158)&amp;"-"&amp;IFERROR(MATCH(J158,miOrdenTarjeta,0),0))</f>
        <v/>
      </c>
      <c r="M158" s="18">
        <f t="shared" ca="1" si="62"/>
        <v>1</v>
      </c>
      <c r="N158" s="18" t="str">
        <f t="shared" ca="1" si="53"/>
        <v/>
      </c>
      <c r="O158" s="18" t="str" cm="1">
        <f t="array" aca="1" ref="O158" ca="1">IF(N158="","",IF(N158&lt;&gt;N157,1,IF(O157=misLíneas-2,0,O157+1)))</f>
        <v/>
      </c>
      <c r="P158" s="18" t="str" cm="1">
        <f t="array" aca="1" ref="P158" ca="1">IF(OR(O158=0,O158=""),"",INDEX(misCriticidades,N158)&amp;"-"&amp;IFERROR(MATCH(O158,miOrdenTarjeta,0),0))</f>
        <v/>
      </c>
      <c r="R158" s="18">
        <f t="shared" ca="1" si="63"/>
        <v>18</v>
      </c>
      <c r="S158" s="18">
        <f t="shared" ca="1" si="54"/>
        <v>13</v>
      </c>
      <c r="T158" s="18" cm="1">
        <f t="array" aca="1" ref="T158" ca="1">IF(S158="","",IF(S158&lt;&gt;S157,1,IF(T157=misLíneas-2,0,T157+1)))</f>
        <v>3</v>
      </c>
      <c r="U158" s="18" t="str" cm="1">
        <f t="array" aca="1" ref="U158" ca="1">IF(OR(T158=0,T158=""),"",INDEX(misCriticidades,S158)&amp;"-"&amp;IFERROR(MATCH(T158,miOrdenTarjeta,0),0))</f>
        <v>2-3</v>
      </c>
      <c r="W158" s="18">
        <f t="shared" ca="1" si="64"/>
        <v>1</v>
      </c>
      <c r="X158" s="18" t="str">
        <f t="shared" ca="1" si="55"/>
        <v/>
      </c>
      <c r="Y158" s="18" t="str" cm="1">
        <f t="array" aca="1" ref="Y158" ca="1">IF(X158="","",IF(X158&lt;&gt;X157,1,IF(Y157=misLíneas-2,0,Y157+1)))</f>
        <v/>
      </c>
      <c r="Z158" s="18" t="str" cm="1">
        <f t="array" aca="1" ref="Z158" ca="1">IF(OR(Y158=0,Y158=""),"",INDEX(misCriticidades,X158)&amp;"-"&amp;IFERROR(MATCH(Y158,miOrdenTarjeta,0),0))</f>
        <v/>
      </c>
      <c r="AB158" s="18">
        <f t="shared" ca="1" si="65"/>
        <v>1</v>
      </c>
      <c r="AC158" s="18" t="str">
        <f t="shared" ca="1" si="56"/>
        <v/>
      </c>
      <c r="AD158" s="18" t="str" cm="1">
        <f t="array" aca="1" ref="AD158" ca="1">IF(AC158="","",IF(AC158&lt;&gt;AC157,1,IF(AD157=misLíneas-2,0,AD157+1)))</f>
        <v/>
      </c>
      <c r="AE158" s="18" t="str" cm="1">
        <f t="array" aca="1" ref="AE158" ca="1">IF(OR(AD158=0,AD158=""),"",INDEX(misCriticidades,AC158)&amp;"-"&amp;IFERROR(MATCH(AD158,miOrdenTarjeta,0),0))</f>
        <v/>
      </c>
      <c r="AG158" s="18">
        <f t="shared" ca="1" si="66"/>
        <v>1</v>
      </c>
      <c r="AH158" s="18" t="str">
        <f t="shared" ca="1" si="57"/>
        <v/>
      </c>
      <c r="AI158" s="18" t="str" cm="1">
        <f t="array" aca="1" ref="AI158" ca="1">IF(AH158="","",IF(AH158&lt;&gt;AH157,1,IF(AI157=misLíneas-2,0,AI157+1)))</f>
        <v/>
      </c>
      <c r="AJ158" s="18" t="str" cm="1">
        <f t="array" aca="1" ref="AJ158" ca="1">IF(OR(AI158=0,AI158=""),"",INDEX(misCriticidades,AH158)&amp;"-"&amp;IFERROR(MATCH(AI158,miOrdenTarjeta,0),0))</f>
        <v/>
      </c>
      <c r="AL158" s="18">
        <f t="shared" ca="1" si="67"/>
        <v>1</v>
      </c>
      <c r="AM158" s="18" t="str">
        <f t="shared" ca="1" si="58"/>
        <v/>
      </c>
      <c r="AN158" s="18" t="str" cm="1">
        <f t="array" aca="1" ref="AN158" ca="1">IF(AM158="","",IF(AM158&lt;&gt;AM157,1,IF(AN157=misLíneas-2,0,AN157+1)))</f>
        <v/>
      </c>
      <c r="AO158" s="18" t="str" cm="1">
        <f t="array" aca="1" ref="AO158" ca="1">IF(OR(AN158=0,AN158=""),"",INDEX(misCriticidades,AM158)&amp;"-"&amp;IFERROR(MATCH(AN158,miOrdenTarjeta,0),0))</f>
        <v/>
      </c>
      <c r="AQ158" s="18">
        <f t="shared" ca="1" si="68"/>
        <v>1</v>
      </c>
      <c r="AR158" s="18" t="str">
        <f t="shared" ca="1" si="59"/>
        <v/>
      </c>
      <c r="AS158" s="18" t="str" cm="1">
        <f t="array" aca="1" ref="AS158" ca="1">IF(AR158="","",IF(AR158&lt;&gt;AR157,1,IF(AS157=misLíneas-2,0,AS157+1)))</f>
        <v/>
      </c>
      <c r="AT158" s="18" t="str" cm="1">
        <f t="array" aca="1" ref="AT158" ca="1">IF(OR(AS158=0,AS158=""),"",INDEX(misCriticidades,AR158)&amp;"-"&amp;IFERROR(MATCH(AS158,miOrdenTarjeta,0),0))</f>
        <v/>
      </c>
      <c r="AV158" s="18">
        <f t="shared" ca="1" si="69"/>
        <v>1</v>
      </c>
      <c r="AW158" s="18" t="str">
        <f t="shared" ca="1" si="60"/>
        <v/>
      </c>
      <c r="AX158" s="18" t="str" cm="1">
        <f t="array" aca="1" ref="AX158" ca="1">IF(AW158="","",IF(AW158&lt;&gt;AW157,1,IF(AX157=misLíneas-2,0,AX157+1)))</f>
        <v/>
      </c>
      <c r="AY158" s="18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18">
        <f t="shared" ca="1" si="70"/>
        <v>1</v>
      </c>
      <c r="D159" s="18" t="str">
        <f t="shared" ca="1" si="51"/>
        <v/>
      </c>
      <c r="E159" s="18" t="str" cm="1">
        <f t="array" aca="1" ref="E159" ca="1">IF(D159="","",IF(D159&lt;&gt;D158,1,IF(E158=misLíneas-2,0,E158+1)))</f>
        <v/>
      </c>
      <c r="F159" s="18" t="str" cm="1">
        <f t="array" aca="1" ref="F159" ca="1">IF(OR(E159=0,E159=""),"",INDEX(misCriticidades,D159)&amp;"-"&amp;IFERROR(MATCH(E159,miOrdenTarjeta,0),0))</f>
        <v/>
      </c>
      <c r="H159" s="18">
        <f t="shared" ca="1" si="61"/>
        <v>1</v>
      </c>
      <c r="I159" s="18" t="str">
        <f t="shared" ca="1" si="52"/>
        <v/>
      </c>
      <c r="J159" s="18" t="str" cm="1">
        <f t="array" aca="1" ref="J159" ca="1">IF(I159="","",IF(I159&lt;&gt;I158,1,IF(J158=misLíneas-2,0,J158+1)))</f>
        <v/>
      </c>
      <c r="K159" s="18" t="str" cm="1">
        <f t="array" aca="1" ref="K159" ca="1">IF(OR(J159=0,J159=""),"",INDEX(misCriticidades,I159)&amp;"-"&amp;IFERROR(MATCH(J159,miOrdenTarjeta,0),0))</f>
        <v/>
      </c>
      <c r="M159" s="18">
        <f t="shared" ca="1" si="62"/>
        <v>1</v>
      </c>
      <c r="N159" s="18" t="str">
        <f t="shared" ca="1" si="53"/>
        <v/>
      </c>
      <c r="O159" s="18" t="str" cm="1">
        <f t="array" aca="1" ref="O159" ca="1">IF(N159="","",IF(N159&lt;&gt;N158,1,IF(O158=misLíneas-2,0,O158+1)))</f>
        <v/>
      </c>
      <c r="P159" s="18" t="str" cm="1">
        <f t="array" aca="1" ref="P159" ca="1">IF(OR(O159=0,O159=""),"",INDEX(misCriticidades,N159)&amp;"-"&amp;IFERROR(MATCH(O159,miOrdenTarjeta,0),0))</f>
        <v/>
      </c>
      <c r="R159" s="18">
        <f t="shared" ca="1" si="63"/>
        <v>18</v>
      </c>
      <c r="S159" s="18">
        <f t="shared" ca="1" si="54"/>
        <v>13</v>
      </c>
      <c r="T159" s="18" cm="1">
        <f t="array" aca="1" ref="T159" ca="1">IF(S159="","",IF(S159&lt;&gt;S158,1,IF(T158=misLíneas-2,0,T158+1)))</f>
        <v>4</v>
      </c>
      <c r="U159" s="18" t="str" cm="1">
        <f t="array" aca="1" ref="U159" ca="1">IF(OR(T159=0,T159=""),"",INDEX(misCriticidades,S159)&amp;"-"&amp;IFERROR(MATCH(T159,miOrdenTarjeta,0),0))</f>
        <v>2-4</v>
      </c>
      <c r="W159" s="18">
        <f t="shared" ca="1" si="64"/>
        <v>1</v>
      </c>
      <c r="X159" s="18" t="str">
        <f t="shared" ca="1" si="55"/>
        <v/>
      </c>
      <c r="Y159" s="18" t="str" cm="1">
        <f t="array" aca="1" ref="Y159" ca="1">IF(X159="","",IF(X159&lt;&gt;X158,1,IF(Y158=misLíneas-2,0,Y158+1)))</f>
        <v/>
      </c>
      <c r="Z159" s="18" t="str" cm="1">
        <f t="array" aca="1" ref="Z159" ca="1">IF(OR(Y159=0,Y159=""),"",INDEX(misCriticidades,X159)&amp;"-"&amp;IFERROR(MATCH(Y159,miOrdenTarjeta,0),0))</f>
        <v/>
      </c>
      <c r="AB159" s="18">
        <f t="shared" ca="1" si="65"/>
        <v>1</v>
      </c>
      <c r="AC159" s="18" t="str">
        <f t="shared" ca="1" si="56"/>
        <v/>
      </c>
      <c r="AD159" s="18" t="str" cm="1">
        <f t="array" aca="1" ref="AD159" ca="1">IF(AC159="","",IF(AC159&lt;&gt;AC158,1,IF(AD158=misLíneas-2,0,AD158+1)))</f>
        <v/>
      </c>
      <c r="AE159" s="18" t="str" cm="1">
        <f t="array" aca="1" ref="AE159" ca="1">IF(OR(AD159=0,AD159=""),"",INDEX(misCriticidades,AC159)&amp;"-"&amp;IFERROR(MATCH(AD159,miOrdenTarjeta,0),0))</f>
        <v/>
      </c>
      <c r="AG159" s="18">
        <f t="shared" ca="1" si="66"/>
        <v>1</v>
      </c>
      <c r="AH159" s="18" t="str">
        <f t="shared" ca="1" si="57"/>
        <v/>
      </c>
      <c r="AI159" s="18" t="str" cm="1">
        <f t="array" aca="1" ref="AI159" ca="1">IF(AH159="","",IF(AH159&lt;&gt;AH158,1,IF(AI158=misLíneas-2,0,AI158+1)))</f>
        <v/>
      </c>
      <c r="AJ159" s="18" t="str" cm="1">
        <f t="array" aca="1" ref="AJ159" ca="1">IF(OR(AI159=0,AI159=""),"",INDEX(misCriticidades,AH159)&amp;"-"&amp;IFERROR(MATCH(AI159,miOrdenTarjeta,0),0))</f>
        <v/>
      </c>
      <c r="AL159" s="18">
        <f t="shared" ca="1" si="67"/>
        <v>1</v>
      </c>
      <c r="AM159" s="18" t="str">
        <f t="shared" ca="1" si="58"/>
        <v/>
      </c>
      <c r="AN159" s="18" t="str" cm="1">
        <f t="array" aca="1" ref="AN159" ca="1">IF(AM159="","",IF(AM159&lt;&gt;AM158,1,IF(AN158=misLíneas-2,0,AN158+1)))</f>
        <v/>
      </c>
      <c r="AO159" s="18" t="str" cm="1">
        <f t="array" aca="1" ref="AO159" ca="1">IF(OR(AN159=0,AN159=""),"",INDEX(misCriticidades,AM159)&amp;"-"&amp;IFERROR(MATCH(AN159,miOrdenTarjeta,0),0))</f>
        <v/>
      </c>
      <c r="AQ159" s="18">
        <f t="shared" ca="1" si="68"/>
        <v>1</v>
      </c>
      <c r="AR159" s="18" t="str">
        <f t="shared" ca="1" si="59"/>
        <v/>
      </c>
      <c r="AS159" s="18" t="str" cm="1">
        <f t="array" aca="1" ref="AS159" ca="1">IF(AR159="","",IF(AR159&lt;&gt;AR158,1,IF(AS158=misLíneas-2,0,AS158+1)))</f>
        <v/>
      </c>
      <c r="AT159" s="18" t="str" cm="1">
        <f t="array" aca="1" ref="AT159" ca="1">IF(OR(AS159=0,AS159=""),"",INDEX(misCriticidades,AR159)&amp;"-"&amp;IFERROR(MATCH(AS159,miOrdenTarjeta,0),0))</f>
        <v/>
      </c>
      <c r="AV159" s="18">
        <f t="shared" ca="1" si="69"/>
        <v>1</v>
      </c>
      <c r="AW159" s="18" t="str">
        <f t="shared" ca="1" si="60"/>
        <v/>
      </c>
      <c r="AX159" s="18" t="str" cm="1">
        <f t="array" aca="1" ref="AX159" ca="1">IF(AW159="","",IF(AW159&lt;&gt;AW158,1,IF(AX158=misLíneas-2,0,AX158+1)))</f>
        <v/>
      </c>
      <c r="AY159" s="18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18">
        <f t="shared" ca="1" si="70"/>
        <v>1</v>
      </c>
      <c r="D160" s="18" t="str">
        <f t="shared" ca="1" si="51"/>
        <v/>
      </c>
      <c r="E160" s="18" t="str" cm="1">
        <f t="array" aca="1" ref="E160" ca="1">IF(D160="","",IF(D160&lt;&gt;D159,1,IF(E159=misLíneas-2,0,E159+1)))</f>
        <v/>
      </c>
      <c r="F160" s="18" t="str" cm="1">
        <f t="array" aca="1" ref="F160" ca="1">IF(OR(E160=0,E160=""),"",INDEX(misCriticidades,D160)&amp;"-"&amp;IFERROR(MATCH(E160,miOrdenTarjeta,0),0))</f>
        <v/>
      </c>
      <c r="H160" s="18">
        <f t="shared" ca="1" si="61"/>
        <v>1</v>
      </c>
      <c r="I160" s="18" t="str">
        <f t="shared" ca="1" si="52"/>
        <v/>
      </c>
      <c r="J160" s="18" t="str" cm="1">
        <f t="array" aca="1" ref="J160" ca="1">IF(I160="","",IF(I160&lt;&gt;I159,1,IF(J159=misLíneas-2,0,J159+1)))</f>
        <v/>
      </c>
      <c r="K160" s="18" t="str" cm="1">
        <f t="array" aca="1" ref="K160" ca="1">IF(OR(J160=0,J160=""),"",INDEX(misCriticidades,I160)&amp;"-"&amp;IFERROR(MATCH(J160,miOrdenTarjeta,0),0))</f>
        <v/>
      </c>
      <c r="M160" s="18">
        <f t="shared" ca="1" si="62"/>
        <v>1</v>
      </c>
      <c r="N160" s="18" t="str">
        <f t="shared" ca="1" si="53"/>
        <v/>
      </c>
      <c r="O160" s="18" t="str" cm="1">
        <f t="array" aca="1" ref="O160" ca="1">IF(N160="","",IF(N160&lt;&gt;N159,1,IF(O159=misLíneas-2,0,O159+1)))</f>
        <v/>
      </c>
      <c r="P160" s="18" t="str" cm="1">
        <f t="array" aca="1" ref="P160" ca="1">IF(OR(O160=0,O160=""),"",INDEX(misCriticidades,N160)&amp;"-"&amp;IFERROR(MATCH(O160,miOrdenTarjeta,0),0))</f>
        <v/>
      </c>
      <c r="R160" s="18">
        <f t="shared" ca="1" si="63"/>
        <v>18</v>
      </c>
      <c r="S160" s="18">
        <f t="shared" ca="1" si="54"/>
        <v>13</v>
      </c>
      <c r="T160" s="18" cm="1">
        <f t="array" aca="1" ref="T160" ca="1">IF(S160="","",IF(S160&lt;&gt;S159,1,IF(T159=misLíneas-2,0,T159+1)))</f>
        <v>5</v>
      </c>
      <c r="U160" s="18" t="str" cm="1">
        <f t="array" aca="1" ref="U160" ca="1">IF(OR(T160=0,T160=""),"",INDEX(misCriticidades,S160)&amp;"-"&amp;IFERROR(MATCH(T160,miOrdenTarjeta,0),0))</f>
        <v>2-5</v>
      </c>
      <c r="W160" s="18">
        <f t="shared" ca="1" si="64"/>
        <v>1</v>
      </c>
      <c r="X160" s="18" t="str">
        <f t="shared" ca="1" si="55"/>
        <v/>
      </c>
      <c r="Y160" s="18" t="str" cm="1">
        <f t="array" aca="1" ref="Y160" ca="1">IF(X160="","",IF(X160&lt;&gt;X159,1,IF(Y159=misLíneas-2,0,Y159+1)))</f>
        <v/>
      </c>
      <c r="Z160" s="18" t="str" cm="1">
        <f t="array" aca="1" ref="Z160" ca="1">IF(OR(Y160=0,Y160=""),"",INDEX(misCriticidades,X160)&amp;"-"&amp;IFERROR(MATCH(Y160,miOrdenTarjeta,0),0))</f>
        <v/>
      </c>
      <c r="AB160" s="18">
        <f t="shared" ca="1" si="65"/>
        <v>1</v>
      </c>
      <c r="AC160" s="18" t="str">
        <f t="shared" ca="1" si="56"/>
        <v/>
      </c>
      <c r="AD160" s="18" t="str" cm="1">
        <f t="array" aca="1" ref="AD160" ca="1">IF(AC160="","",IF(AC160&lt;&gt;AC159,1,IF(AD159=misLíneas-2,0,AD159+1)))</f>
        <v/>
      </c>
      <c r="AE160" s="18" t="str" cm="1">
        <f t="array" aca="1" ref="AE160" ca="1">IF(OR(AD160=0,AD160=""),"",INDEX(misCriticidades,AC160)&amp;"-"&amp;IFERROR(MATCH(AD160,miOrdenTarjeta,0),0))</f>
        <v/>
      </c>
      <c r="AG160" s="18">
        <f t="shared" ca="1" si="66"/>
        <v>1</v>
      </c>
      <c r="AH160" s="18" t="str">
        <f t="shared" ca="1" si="57"/>
        <v/>
      </c>
      <c r="AI160" s="18" t="str" cm="1">
        <f t="array" aca="1" ref="AI160" ca="1">IF(AH160="","",IF(AH160&lt;&gt;AH159,1,IF(AI159=misLíneas-2,0,AI159+1)))</f>
        <v/>
      </c>
      <c r="AJ160" s="18" t="str" cm="1">
        <f t="array" aca="1" ref="AJ160" ca="1">IF(OR(AI160=0,AI160=""),"",INDEX(misCriticidades,AH160)&amp;"-"&amp;IFERROR(MATCH(AI160,miOrdenTarjeta,0),0))</f>
        <v/>
      </c>
      <c r="AL160" s="18">
        <f t="shared" ca="1" si="67"/>
        <v>1</v>
      </c>
      <c r="AM160" s="18" t="str">
        <f t="shared" ca="1" si="58"/>
        <v/>
      </c>
      <c r="AN160" s="18" t="str" cm="1">
        <f t="array" aca="1" ref="AN160" ca="1">IF(AM160="","",IF(AM160&lt;&gt;AM159,1,IF(AN159=misLíneas-2,0,AN159+1)))</f>
        <v/>
      </c>
      <c r="AO160" s="18" t="str" cm="1">
        <f t="array" aca="1" ref="AO160" ca="1">IF(OR(AN160=0,AN160=""),"",INDEX(misCriticidades,AM160)&amp;"-"&amp;IFERROR(MATCH(AN160,miOrdenTarjeta,0),0))</f>
        <v/>
      </c>
      <c r="AQ160" s="18">
        <f t="shared" ca="1" si="68"/>
        <v>1</v>
      </c>
      <c r="AR160" s="18" t="str">
        <f t="shared" ca="1" si="59"/>
        <v/>
      </c>
      <c r="AS160" s="18" t="str" cm="1">
        <f t="array" aca="1" ref="AS160" ca="1">IF(AR160="","",IF(AR160&lt;&gt;AR159,1,IF(AS159=misLíneas-2,0,AS159+1)))</f>
        <v/>
      </c>
      <c r="AT160" s="18" t="str" cm="1">
        <f t="array" aca="1" ref="AT160" ca="1">IF(OR(AS160=0,AS160=""),"",INDEX(misCriticidades,AR160)&amp;"-"&amp;IFERROR(MATCH(AS160,miOrdenTarjeta,0),0))</f>
        <v/>
      </c>
      <c r="AV160" s="18">
        <f t="shared" ca="1" si="69"/>
        <v>1</v>
      </c>
      <c r="AW160" s="18" t="str">
        <f t="shared" ca="1" si="60"/>
        <v/>
      </c>
      <c r="AX160" s="18" t="str" cm="1">
        <f t="array" aca="1" ref="AX160" ca="1">IF(AW160="","",IF(AW160&lt;&gt;AW159,1,IF(AX159=misLíneas-2,0,AX159+1)))</f>
        <v/>
      </c>
      <c r="AY160" s="18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18">
        <f t="shared" ca="1" si="70"/>
        <v>1</v>
      </c>
      <c r="D161" s="18" t="str">
        <f t="shared" ca="1" si="51"/>
        <v/>
      </c>
      <c r="E161" s="18" t="str" cm="1">
        <f t="array" aca="1" ref="E161" ca="1">IF(D161="","",IF(D161&lt;&gt;D160,1,IF(E160=misLíneas-2,0,E160+1)))</f>
        <v/>
      </c>
      <c r="F161" s="18" t="str" cm="1">
        <f t="array" aca="1" ref="F161" ca="1">IF(OR(E161=0,E161=""),"",INDEX(misCriticidades,D161)&amp;"-"&amp;IFERROR(MATCH(E161,miOrdenTarjeta,0),0))</f>
        <v/>
      </c>
      <c r="H161" s="18">
        <f t="shared" ca="1" si="61"/>
        <v>1</v>
      </c>
      <c r="I161" s="18" t="str">
        <f t="shared" ca="1" si="52"/>
        <v/>
      </c>
      <c r="J161" s="18" t="str" cm="1">
        <f t="array" aca="1" ref="J161" ca="1">IF(I161="","",IF(I161&lt;&gt;I160,1,IF(J160=misLíneas-2,0,J160+1)))</f>
        <v/>
      </c>
      <c r="K161" s="18" t="str" cm="1">
        <f t="array" aca="1" ref="K161" ca="1">IF(OR(J161=0,J161=""),"",INDEX(misCriticidades,I161)&amp;"-"&amp;IFERROR(MATCH(J161,miOrdenTarjeta,0),0))</f>
        <v/>
      </c>
      <c r="M161" s="18">
        <f t="shared" ca="1" si="62"/>
        <v>1</v>
      </c>
      <c r="N161" s="18" t="str">
        <f t="shared" ca="1" si="53"/>
        <v/>
      </c>
      <c r="O161" s="18" t="str" cm="1">
        <f t="array" aca="1" ref="O161" ca="1">IF(N161="","",IF(N161&lt;&gt;N160,1,IF(O160=misLíneas-2,0,O160+1)))</f>
        <v/>
      </c>
      <c r="P161" s="18" t="str" cm="1">
        <f t="array" aca="1" ref="P161" ca="1">IF(OR(O161=0,O161=""),"",INDEX(misCriticidades,N161)&amp;"-"&amp;IFERROR(MATCH(O161,miOrdenTarjeta,0),0))</f>
        <v/>
      </c>
      <c r="R161" s="18">
        <f t="shared" ca="1" si="63"/>
        <v>18</v>
      </c>
      <c r="S161" s="18">
        <f t="shared" ca="1" si="54"/>
        <v>13</v>
      </c>
      <c r="T161" s="18" cm="1">
        <f t="array" aca="1" ref="T161" ca="1">IF(S161="","",IF(S161&lt;&gt;S160,1,IF(T160=misLíneas-2,0,T160+1)))</f>
        <v>6</v>
      </c>
      <c r="U161" s="18" t="str" cm="1">
        <f t="array" aca="1" ref="U161" ca="1">IF(OR(T161=0,T161=""),"",INDEX(misCriticidades,S161)&amp;"-"&amp;IFERROR(MATCH(T161,miOrdenTarjeta,0),0))</f>
        <v>2-6</v>
      </c>
      <c r="W161" s="18">
        <f t="shared" ca="1" si="64"/>
        <v>1</v>
      </c>
      <c r="X161" s="18" t="str">
        <f t="shared" ca="1" si="55"/>
        <v/>
      </c>
      <c r="Y161" s="18" t="str" cm="1">
        <f t="array" aca="1" ref="Y161" ca="1">IF(X161="","",IF(X161&lt;&gt;X160,1,IF(Y160=misLíneas-2,0,Y160+1)))</f>
        <v/>
      </c>
      <c r="Z161" s="18" t="str" cm="1">
        <f t="array" aca="1" ref="Z161" ca="1">IF(OR(Y161=0,Y161=""),"",INDEX(misCriticidades,X161)&amp;"-"&amp;IFERROR(MATCH(Y161,miOrdenTarjeta,0),0))</f>
        <v/>
      </c>
      <c r="AB161" s="18">
        <f t="shared" ca="1" si="65"/>
        <v>1</v>
      </c>
      <c r="AC161" s="18" t="str">
        <f t="shared" ca="1" si="56"/>
        <v/>
      </c>
      <c r="AD161" s="18" t="str" cm="1">
        <f t="array" aca="1" ref="AD161" ca="1">IF(AC161="","",IF(AC161&lt;&gt;AC160,1,IF(AD160=misLíneas-2,0,AD160+1)))</f>
        <v/>
      </c>
      <c r="AE161" s="18" t="str" cm="1">
        <f t="array" aca="1" ref="AE161" ca="1">IF(OR(AD161=0,AD161=""),"",INDEX(misCriticidades,AC161)&amp;"-"&amp;IFERROR(MATCH(AD161,miOrdenTarjeta,0),0))</f>
        <v/>
      </c>
      <c r="AG161" s="18">
        <f t="shared" ca="1" si="66"/>
        <v>1</v>
      </c>
      <c r="AH161" s="18" t="str">
        <f t="shared" ca="1" si="57"/>
        <v/>
      </c>
      <c r="AI161" s="18" t="str" cm="1">
        <f t="array" aca="1" ref="AI161" ca="1">IF(AH161="","",IF(AH161&lt;&gt;AH160,1,IF(AI160=misLíneas-2,0,AI160+1)))</f>
        <v/>
      </c>
      <c r="AJ161" s="18" t="str" cm="1">
        <f t="array" aca="1" ref="AJ161" ca="1">IF(OR(AI161=0,AI161=""),"",INDEX(misCriticidades,AH161)&amp;"-"&amp;IFERROR(MATCH(AI161,miOrdenTarjeta,0),0))</f>
        <v/>
      </c>
      <c r="AL161" s="18">
        <f t="shared" ca="1" si="67"/>
        <v>1</v>
      </c>
      <c r="AM161" s="18" t="str">
        <f t="shared" ca="1" si="58"/>
        <v/>
      </c>
      <c r="AN161" s="18" t="str" cm="1">
        <f t="array" aca="1" ref="AN161" ca="1">IF(AM161="","",IF(AM161&lt;&gt;AM160,1,IF(AN160=misLíneas-2,0,AN160+1)))</f>
        <v/>
      </c>
      <c r="AO161" s="18" t="str" cm="1">
        <f t="array" aca="1" ref="AO161" ca="1">IF(OR(AN161=0,AN161=""),"",INDEX(misCriticidades,AM161)&amp;"-"&amp;IFERROR(MATCH(AN161,miOrdenTarjeta,0),0))</f>
        <v/>
      </c>
      <c r="AQ161" s="18">
        <f t="shared" ca="1" si="68"/>
        <v>1</v>
      </c>
      <c r="AR161" s="18" t="str">
        <f t="shared" ca="1" si="59"/>
        <v/>
      </c>
      <c r="AS161" s="18" t="str" cm="1">
        <f t="array" aca="1" ref="AS161" ca="1">IF(AR161="","",IF(AR161&lt;&gt;AR160,1,IF(AS160=misLíneas-2,0,AS160+1)))</f>
        <v/>
      </c>
      <c r="AT161" s="18" t="str" cm="1">
        <f t="array" aca="1" ref="AT161" ca="1">IF(OR(AS161=0,AS161=""),"",INDEX(misCriticidades,AR161)&amp;"-"&amp;IFERROR(MATCH(AS161,miOrdenTarjeta,0),0))</f>
        <v/>
      </c>
      <c r="AV161" s="18">
        <f t="shared" ca="1" si="69"/>
        <v>1</v>
      </c>
      <c r="AW161" s="18" t="str">
        <f t="shared" ca="1" si="60"/>
        <v/>
      </c>
      <c r="AX161" s="18" t="str" cm="1">
        <f t="array" aca="1" ref="AX161" ca="1">IF(AW161="","",IF(AW161&lt;&gt;AW160,1,IF(AX160=misLíneas-2,0,AX160+1)))</f>
        <v/>
      </c>
      <c r="AY161" s="18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18">
        <f t="shared" ca="1" si="70"/>
        <v>1</v>
      </c>
      <c r="D162" s="18" t="str">
        <f t="shared" ca="1" si="51"/>
        <v/>
      </c>
      <c r="E162" s="18" t="str" cm="1">
        <f t="array" aca="1" ref="E162" ca="1">IF(D162="","",IF(D162&lt;&gt;D161,1,IF(E161=misLíneas-2,0,E161+1)))</f>
        <v/>
      </c>
      <c r="F162" s="18" t="str" cm="1">
        <f t="array" aca="1" ref="F162" ca="1">IF(OR(E162=0,E162=""),"",INDEX(misCriticidades,D162)&amp;"-"&amp;IFERROR(MATCH(E162,miOrdenTarjeta,0),0))</f>
        <v/>
      </c>
      <c r="H162" s="18">
        <f t="shared" ca="1" si="61"/>
        <v>1</v>
      </c>
      <c r="I162" s="18" t="str">
        <f t="shared" ca="1" si="52"/>
        <v/>
      </c>
      <c r="J162" s="18" t="str" cm="1">
        <f t="array" aca="1" ref="J162" ca="1">IF(I162="","",IF(I162&lt;&gt;I161,1,IF(J161=misLíneas-2,0,J161+1)))</f>
        <v/>
      </c>
      <c r="K162" s="18" t="str" cm="1">
        <f t="array" aca="1" ref="K162" ca="1">IF(OR(J162=0,J162=""),"",INDEX(misCriticidades,I162)&amp;"-"&amp;IFERROR(MATCH(J162,miOrdenTarjeta,0),0))</f>
        <v/>
      </c>
      <c r="M162" s="18">
        <f t="shared" ca="1" si="62"/>
        <v>1</v>
      </c>
      <c r="N162" s="18" t="str">
        <f t="shared" ca="1" si="53"/>
        <v/>
      </c>
      <c r="O162" s="18" t="str" cm="1">
        <f t="array" aca="1" ref="O162" ca="1">IF(N162="","",IF(N162&lt;&gt;N161,1,IF(O161=misLíneas-2,0,O161+1)))</f>
        <v/>
      </c>
      <c r="P162" s="18" t="str" cm="1">
        <f t="array" aca="1" ref="P162" ca="1">IF(OR(O162=0,O162=""),"",INDEX(misCriticidades,N162)&amp;"-"&amp;IFERROR(MATCH(O162,miOrdenTarjeta,0),0))</f>
        <v/>
      </c>
      <c r="R162" s="18">
        <f t="shared" ca="1" si="63"/>
        <v>18</v>
      </c>
      <c r="S162" s="18">
        <f t="shared" ca="1" si="54"/>
        <v>13</v>
      </c>
      <c r="T162" s="18" cm="1">
        <f t="array" aca="1" ref="T162" ca="1">IF(S162="","",IF(S162&lt;&gt;S161,1,IF(T161=misLíneas-2,0,T161+1)))</f>
        <v>7</v>
      </c>
      <c r="U162" s="18" t="str" cm="1">
        <f t="array" aca="1" ref="U162" ca="1">IF(OR(T162=0,T162=""),"",INDEX(misCriticidades,S162)&amp;"-"&amp;IFERROR(MATCH(T162,miOrdenTarjeta,0),0))</f>
        <v>2-7</v>
      </c>
      <c r="W162" s="18">
        <f t="shared" ca="1" si="64"/>
        <v>1</v>
      </c>
      <c r="X162" s="18" t="str">
        <f t="shared" ca="1" si="55"/>
        <v/>
      </c>
      <c r="Y162" s="18" t="str" cm="1">
        <f t="array" aca="1" ref="Y162" ca="1">IF(X162="","",IF(X162&lt;&gt;X161,1,IF(Y161=misLíneas-2,0,Y161+1)))</f>
        <v/>
      </c>
      <c r="Z162" s="18" t="str" cm="1">
        <f t="array" aca="1" ref="Z162" ca="1">IF(OR(Y162=0,Y162=""),"",INDEX(misCriticidades,X162)&amp;"-"&amp;IFERROR(MATCH(Y162,miOrdenTarjeta,0),0))</f>
        <v/>
      </c>
      <c r="AB162" s="18">
        <f t="shared" ca="1" si="65"/>
        <v>1</v>
      </c>
      <c r="AC162" s="18" t="str">
        <f t="shared" ca="1" si="56"/>
        <v/>
      </c>
      <c r="AD162" s="18" t="str" cm="1">
        <f t="array" aca="1" ref="AD162" ca="1">IF(AC162="","",IF(AC162&lt;&gt;AC161,1,IF(AD161=misLíneas-2,0,AD161+1)))</f>
        <v/>
      </c>
      <c r="AE162" s="18" t="str" cm="1">
        <f t="array" aca="1" ref="AE162" ca="1">IF(OR(AD162=0,AD162=""),"",INDEX(misCriticidades,AC162)&amp;"-"&amp;IFERROR(MATCH(AD162,miOrdenTarjeta,0),0))</f>
        <v/>
      </c>
      <c r="AG162" s="18">
        <f t="shared" ca="1" si="66"/>
        <v>1</v>
      </c>
      <c r="AH162" s="18" t="str">
        <f t="shared" ca="1" si="57"/>
        <v/>
      </c>
      <c r="AI162" s="18" t="str" cm="1">
        <f t="array" aca="1" ref="AI162" ca="1">IF(AH162="","",IF(AH162&lt;&gt;AH161,1,IF(AI161=misLíneas-2,0,AI161+1)))</f>
        <v/>
      </c>
      <c r="AJ162" s="18" t="str" cm="1">
        <f t="array" aca="1" ref="AJ162" ca="1">IF(OR(AI162=0,AI162=""),"",INDEX(misCriticidades,AH162)&amp;"-"&amp;IFERROR(MATCH(AI162,miOrdenTarjeta,0),0))</f>
        <v/>
      </c>
      <c r="AL162" s="18">
        <f t="shared" ca="1" si="67"/>
        <v>1</v>
      </c>
      <c r="AM162" s="18" t="str">
        <f t="shared" ca="1" si="58"/>
        <v/>
      </c>
      <c r="AN162" s="18" t="str" cm="1">
        <f t="array" aca="1" ref="AN162" ca="1">IF(AM162="","",IF(AM162&lt;&gt;AM161,1,IF(AN161=misLíneas-2,0,AN161+1)))</f>
        <v/>
      </c>
      <c r="AO162" s="18" t="str" cm="1">
        <f t="array" aca="1" ref="AO162" ca="1">IF(OR(AN162=0,AN162=""),"",INDEX(misCriticidades,AM162)&amp;"-"&amp;IFERROR(MATCH(AN162,miOrdenTarjeta,0),0))</f>
        <v/>
      </c>
      <c r="AQ162" s="18">
        <f t="shared" ca="1" si="68"/>
        <v>1</v>
      </c>
      <c r="AR162" s="18" t="str">
        <f t="shared" ca="1" si="59"/>
        <v/>
      </c>
      <c r="AS162" s="18" t="str" cm="1">
        <f t="array" aca="1" ref="AS162" ca="1">IF(AR162="","",IF(AR162&lt;&gt;AR161,1,IF(AS161=misLíneas-2,0,AS161+1)))</f>
        <v/>
      </c>
      <c r="AT162" s="18" t="str" cm="1">
        <f t="array" aca="1" ref="AT162" ca="1">IF(OR(AS162=0,AS162=""),"",INDEX(misCriticidades,AR162)&amp;"-"&amp;IFERROR(MATCH(AS162,miOrdenTarjeta,0),0))</f>
        <v/>
      </c>
      <c r="AV162" s="18">
        <f t="shared" ca="1" si="69"/>
        <v>1</v>
      </c>
      <c r="AW162" s="18" t="str">
        <f t="shared" ca="1" si="60"/>
        <v/>
      </c>
      <c r="AX162" s="18" t="str" cm="1">
        <f t="array" aca="1" ref="AX162" ca="1">IF(AW162="","",IF(AW162&lt;&gt;AW161,1,IF(AX161=misLíneas-2,0,AX161+1)))</f>
        <v/>
      </c>
      <c r="AY162" s="18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18">
        <f t="shared" ca="1" si="70"/>
        <v>1</v>
      </c>
      <c r="D163" s="18" t="str">
        <f t="shared" ref="D163:D194" ca="1" si="71">IF(C163&gt;C162,IFERROR(IF(F$1="v",SMALL(B$2:B$101,C163),LARGE(B$2:B$101,C163)),""),D162)</f>
        <v/>
      </c>
      <c r="E163" s="18" t="str" cm="1">
        <f t="array" aca="1" ref="E163" ca="1">IF(D163="","",IF(D163&lt;&gt;D162,1,IF(E162=misLíneas-2,0,E162+1)))</f>
        <v/>
      </c>
      <c r="F163" s="18" t="str" cm="1">
        <f t="array" aca="1" ref="F163" ca="1">IF(OR(E163=0,E163=""),"",INDEX(misCriticidades,D163)&amp;"-"&amp;IFERROR(MATCH(E163,miOrdenTarjeta,0),0))</f>
        <v/>
      </c>
      <c r="H163" s="18">
        <f t="shared" ca="1" si="61"/>
        <v>1</v>
      </c>
      <c r="I163" s="18" t="str">
        <f t="shared" ref="I163:I194" ca="1" si="72">IF(H163&gt;H162,IFERROR(IF(K$1="v",SMALL(G$2:G$101,H163),LARGE(G$2:G$101,H163)),""),I162)</f>
        <v/>
      </c>
      <c r="J163" s="18" t="str" cm="1">
        <f t="array" aca="1" ref="J163" ca="1">IF(I163="","",IF(I163&lt;&gt;I162,1,IF(J162=misLíneas-2,0,J162+1)))</f>
        <v/>
      </c>
      <c r="K163" s="18" t="str" cm="1">
        <f t="array" aca="1" ref="K163" ca="1">IF(OR(J163=0,J163=""),"",INDEX(misCriticidades,I163)&amp;"-"&amp;IFERROR(MATCH(J163,miOrdenTarjeta,0),0))</f>
        <v/>
      </c>
      <c r="M163" s="18">
        <f t="shared" ca="1" si="62"/>
        <v>1</v>
      </c>
      <c r="N163" s="18" t="str">
        <f t="shared" ref="N163:N194" ca="1" si="73">IF(M163&gt;M162,IFERROR(IF(P$1="v",SMALL(L$2:L$101,M163),LARGE(L$2:L$101,M163)),""),N162)</f>
        <v/>
      </c>
      <c r="O163" s="18" t="str" cm="1">
        <f t="array" aca="1" ref="O163" ca="1">IF(N163="","",IF(N163&lt;&gt;N162,1,IF(O162=misLíneas-2,0,O162+1)))</f>
        <v/>
      </c>
      <c r="P163" s="18" t="str" cm="1">
        <f t="array" aca="1" ref="P163" ca="1">IF(OR(O163=0,O163=""),"",INDEX(misCriticidades,N163)&amp;"-"&amp;IFERROR(MATCH(O163,miOrdenTarjeta,0),0))</f>
        <v/>
      </c>
      <c r="R163" s="18">
        <f t="shared" ca="1" si="63"/>
        <v>18</v>
      </c>
      <c r="S163" s="18">
        <f t="shared" ref="S163:S194" ca="1" si="74">IF(R163&gt;R162,IFERROR(IF(U$1="v",SMALL(Q$2:Q$101,R163),LARGE(Q$2:Q$101,R163)),""),S162)</f>
        <v>13</v>
      </c>
      <c r="T163" s="18" cm="1">
        <f t="array" aca="1" ref="T163" ca="1">IF(S163="","",IF(S163&lt;&gt;S162,1,IF(T162=misLíneas-2,0,T162+1)))</f>
        <v>8</v>
      </c>
      <c r="U163" s="18" t="str" cm="1">
        <f t="array" aca="1" ref="U163" ca="1">IF(OR(T163=0,T163=""),"",INDEX(misCriticidades,S163)&amp;"-"&amp;IFERROR(MATCH(T163,miOrdenTarjeta,0),0))</f>
        <v>2-8</v>
      </c>
      <c r="W163" s="18">
        <f t="shared" ca="1" si="64"/>
        <v>1</v>
      </c>
      <c r="X163" s="18" t="str">
        <f t="shared" ref="X163:X194" ca="1" si="75">IF(W163&gt;W162,IFERROR(IF(Z$1="v",SMALL(V$2:V$101,W163),LARGE(V$2:V$101,W163)),""),X162)</f>
        <v/>
      </c>
      <c r="Y163" s="18" t="str" cm="1">
        <f t="array" aca="1" ref="Y163" ca="1">IF(X163="","",IF(X163&lt;&gt;X162,1,IF(Y162=misLíneas-2,0,Y162+1)))</f>
        <v/>
      </c>
      <c r="Z163" s="18" t="str" cm="1">
        <f t="array" aca="1" ref="Z163" ca="1">IF(OR(Y163=0,Y163=""),"",INDEX(misCriticidades,X163)&amp;"-"&amp;IFERROR(MATCH(Y163,miOrdenTarjeta,0),0))</f>
        <v/>
      </c>
      <c r="AB163" s="18">
        <f t="shared" ca="1" si="65"/>
        <v>1</v>
      </c>
      <c r="AC163" s="18" t="str">
        <f t="shared" ca="1" si="56"/>
        <v/>
      </c>
      <c r="AD163" s="18" t="str" cm="1">
        <f t="array" aca="1" ref="AD163" ca="1">IF(AC163="","",IF(AC163&lt;&gt;AC162,1,IF(AD162=misLíneas-2,0,AD162+1)))</f>
        <v/>
      </c>
      <c r="AE163" s="18" t="str" cm="1">
        <f t="array" aca="1" ref="AE163" ca="1">IF(OR(AD163=0,AD163=""),"",INDEX(misCriticidades,AC163)&amp;"-"&amp;IFERROR(MATCH(AD163,miOrdenTarjeta,0),0))</f>
        <v/>
      </c>
      <c r="AG163" s="18">
        <f t="shared" ca="1" si="66"/>
        <v>1</v>
      </c>
      <c r="AH163" s="18" t="str">
        <f t="shared" ca="1" si="57"/>
        <v/>
      </c>
      <c r="AI163" s="18" t="str" cm="1">
        <f t="array" aca="1" ref="AI163" ca="1">IF(AH163="","",IF(AH163&lt;&gt;AH162,1,IF(AI162=misLíneas-2,0,AI162+1)))</f>
        <v/>
      </c>
      <c r="AJ163" s="18" t="str" cm="1">
        <f t="array" aca="1" ref="AJ163" ca="1">IF(OR(AI163=0,AI163=""),"",INDEX(misCriticidades,AH163)&amp;"-"&amp;IFERROR(MATCH(AI163,miOrdenTarjeta,0),0))</f>
        <v/>
      </c>
      <c r="AL163" s="18">
        <f t="shared" ca="1" si="67"/>
        <v>1</v>
      </c>
      <c r="AM163" s="18" t="str">
        <f t="shared" ca="1" si="58"/>
        <v/>
      </c>
      <c r="AN163" s="18" t="str" cm="1">
        <f t="array" aca="1" ref="AN163" ca="1">IF(AM163="","",IF(AM163&lt;&gt;AM162,1,IF(AN162=misLíneas-2,0,AN162+1)))</f>
        <v/>
      </c>
      <c r="AO163" s="18" t="str" cm="1">
        <f t="array" aca="1" ref="AO163" ca="1">IF(OR(AN163=0,AN163=""),"",INDEX(misCriticidades,AM163)&amp;"-"&amp;IFERROR(MATCH(AN163,miOrdenTarjeta,0),0))</f>
        <v/>
      </c>
      <c r="AQ163" s="18">
        <f t="shared" ca="1" si="68"/>
        <v>1</v>
      </c>
      <c r="AR163" s="18" t="str">
        <f t="shared" ca="1" si="59"/>
        <v/>
      </c>
      <c r="AS163" s="18" t="str" cm="1">
        <f t="array" aca="1" ref="AS163" ca="1">IF(AR163="","",IF(AR163&lt;&gt;AR162,1,IF(AS162=misLíneas-2,0,AS162+1)))</f>
        <v/>
      </c>
      <c r="AT163" s="18" t="str" cm="1">
        <f t="array" aca="1" ref="AT163" ca="1">IF(OR(AS163=0,AS163=""),"",INDEX(misCriticidades,AR163)&amp;"-"&amp;IFERROR(MATCH(AS163,miOrdenTarjeta,0),0))</f>
        <v/>
      </c>
      <c r="AV163" s="18">
        <f t="shared" ca="1" si="69"/>
        <v>1</v>
      </c>
      <c r="AW163" s="18" t="str">
        <f t="shared" ca="1" si="60"/>
        <v/>
      </c>
      <c r="AX163" s="18" t="str" cm="1">
        <f t="array" aca="1" ref="AX163" ca="1">IF(AW163="","",IF(AW163&lt;&gt;AW162,1,IF(AX162=misLíneas-2,0,AX162+1)))</f>
        <v/>
      </c>
      <c r="AY163" s="18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18">
        <f t="shared" ca="1" si="70"/>
        <v>1</v>
      </c>
      <c r="D164" s="18" t="str">
        <f t="shared" ca="1" si="71"/>
        <v/>
      </c>
      <c r="E164" s="18" t="str" cm="1">
        <f t="array" aca="1" ref="E164" ca="1">IF(D164="","",IF(D164&lt;&gt;D163,1,IF(E163=misLíneas-2,0,E163+1)))</f>
        <v/>
      </c>
      <c r="F164" s="18" t="str" cm="1">
        <f t="array" aca="1" ref="F164" ca="1">IF(OR(E164=0,E164=""),"",INDEX(misCriticidades,D164)&amp;"-"&amp;IFERROR(MATCH(E164,miOrdenTarjeta,0),0))</f>
        <v/>
      </c>
      <c r="H164" s="18">
        <f t="shared" ca="1" si="61"/>
        <v>1</v>
      </c>
      <c r="I164" s="18" t="str">
        <f t="shared" ca="1" si="72"/>
        <v/>
      </c>
      <c r="J164" s="18" t="str" cm="1">
        <f t="array" aca="1" ref="J164" ca="1">IF(I164="","",IF(I164&lt;&gt;I163,1,IF(J163=misLíneas-2,0,J163+1)))</f>
        <v/>
      </c>
      <c r="K164" s="18" t="str" cm="1">
        <f t="array" aca="1" ref="K164" ca="1">IF(OR(J164=0,J164=""),"",INDEX(misCriticidades,I164)&amp;"-"&amp;IFERROR(MATCH(J164,miOrdenTarjeta,0),0))</f>
        <v/>
      </c>
      <c r="M164" s="18">
        <f t="shared" ca="1" si="62"/>
        <v>1</v>
      </c>
      <c r="N164" s="18" t="str">
        <f t="shared" ca="1" si="73"/>
        <v/>
      </c>
      <c r="O164" s="18" t="str" cm="1">
        <f t="array" aca="1" ref="O164" ca="1">IF(N164="","",IF(N164&lt;&gt;N163,1,IF(O163=misLíneas-2,0,O163+1)))</f>
        <v/>
      </c>
      <c r="P164" s="18" t="str" cm="1">
        <f t="array" aca="1" ref="P164" ca="1">IF(OR(O164=0,O164=""),"",INDEX(misCriticidades,N164)&amp;"-"&amp;IFERROR(MATCH(O164,miOrdenTarjeta,0),0))</f>
        <v/>
      </c>
      <c r="R164" s="18">
        <f t="shared" ca="1" si="63"/>
        <v>18</v>
      </c>
      <c r="S164" s="18">
        <f t="shared" ca="1" si="74"/>
        <v>13</v>
      </c>
      <c r="T164" s="18" cm="1">
        <f t="array" aca="1" ref="T164" ca="1">IF(S164="","",IF(S164&lt;&gt;S163,1,IF(T163=misLíneas-2,0,T163+1)))</f>
        <v>0</v>
      </c>
      <c r="U164" s="18" t="str" cm="1">
        <f t="array" aca="1" ref="U164" ca="1">IF(OR(T164=0,T164=""),"",INDEX(misCriticidades,S164)&amp;"-"&amp;IFERROR(MATCH(T164,miOrdenTarjeta,0),0))</f>
        <v/>
      </c>
      <c r="W164" s="18">
        <f t="shared" ca="1" si="64"/>
        <v>1</v>
      </c>
      <c r="X164" s="18" t="str">
        <f t="shared" ca="1" si="75"/>
        <v/>
      </c>
      <c r="Y164" s="18" t="str" cm="1">
        <f t="array" aca="1" ref="Y164" ca="1">IF(X164="","",IF(X164&lt;&gt;X163,1,IF(Y163=misLíneas-2,0,Y163+1)))</f>
        <v/>
      </c>
      <c r="Z164" s="18" t="str" cm="1">
        <f t="array" aca="1" ref="Z164" ca="1">IF(OR(Y164=0,Y164=""),"",INDEX(misCriticidades,X164)&amp;"-"&amp;IFERROR(MATCH(Y164,miOrdenTarjeta,0),0))</f>
        <v/>
      </c>
      <c r="AB164" s="18">
        <f t="shared" ca="1" si="65"/>
        <v>1</v>
      </c>
      <c r="AC164" s="18" t="str">
        <f t="shared" ca="1" si="56"/>
        <v/>
      </c>
      <c r="AD164" s="18" t="str" cm="1">
        <f t="array" aca="1" ref="AD164" ca="1">IF(AC164="","",IF(AC164&lt;&gt;AC163,1,IF(AD163=misLíneas-2,0,AD163+1)))</f>
        <v/>
      </c>
      <c r="AE164" s="18" t="str" cm="1">
        <f t="array" aca="1" ref="AE164" ca="1">IF(OR(AD164=0,AD164=""),"",INDEX(misCriticidades,AC164)&amp;"-"&amp;IFERROR(MATCH(AD164,miOrdenTarjeta,0),0))</f>
        <v/>
      </c>
      <c r="AG164" s="18">
        <f t="shared" ca="1" si="66"/>
        <v>1</v>
      </c>
      <c r="AH164" s="18" t="str">
        <f t="shared" ca="1" si="57"/>
        <v/>
      </c>
      <c r="AI164" s="18" t="str" cm="1">
        <f t="array" aca="1" ref="AI164" ca="1">IF(AH164="","",IF(AH164&lt;&gt;AH163,1,IF(AI163=misLíneas-2,0,AI163+1)))</f>
        <v/>
      </c>
      <c r="AJ164" s="18" t="str" cm="1">
        <f t="array" aca="1" ref="AJ164" ca="1">IF(OR(AI164=0,AI164=""),"",INDEX(misCriticidades,AH164)&amp;"-"&amp;IFERROR(MATCH(AI164,miOrdenTarjeta,0),0))</f>
        <v/>
      </c>
      <c r="AL164" s="18">
        <f t="shared" ca="1" si="67"/>
        <v>1</v>
      </c>
      <c r="AM164" s="18" t="str">
        <f t="shared" ca="1" si="58"/>
        <v/>
      </c>
      <c r="AN164" s="18" t="str" cm="1">
        <f t="array" aca="1" ref="AN164" ca="1">IF(AM164="","",IF(AM164&lt;&gt;AM163,1,IF(AN163=misLíneas-2,0,AN163+1)))</f>
        <v/>
      </c>
      <c r="AO164" s="18" t="str" cm="1">
        <f t="array" aca="1" ref="AO164" ca="1">IF(OR(AN164=0,AN164=""),"",INDEX(misCriticidades,AM164)&amp;"-"&amp;IFERROR(MATCH(AN164,miOrdenTarjeta,0),0))</f>
        <v/>
      </c>
      <c r="AQ164" s="18">
        <f t="shared" ca="1" si="68"/>
        <v>1</v>
      </c>
      <c r="AR164" s="18" t="str">
        <f t="shared" ca="1" si="59"/>
        <v/>
      </c>
      <c r="AS164" s="18" t="str" cm="1">
        <f t="array" aca="1" ref="AS164" ca="1">IF(AR164="","",IF(AR164&lt;&gt;AR163,1,IF(AS163=misLíneas-2,0,AS163+1)))</f>
        <v/>
      </c>
      <c r="AT164" s="18" t="str" cm="1">
        <f t="array" aca="1" ref="AT164" ca="1">IF(OR(AS164=0,AS164=""),"",INDEX(misCriticidades,AR164)&amp;"-"&amp;IFERROR(MATCH(AS164,miOrdenTarjeta,0),0))</f>
        <v/>
      </c>
      <c r="AV164" s="18">
        <f t="shared" ca="1" si="69"/>
        <v>1</v>
      </c>
      <c r="AW164" s="18" t="str">
        <f t="shared" ca="1" si="60"/>
        <v/>
      </c>
      <c r="AX164" s="18" t="str" cm="1">
        <f t="array" aca="1" ref="AX164" ca="1">IF(AW164="","",IF(AW164&lt;&gt;AW163,1,IF(AX163=misLíneas-2,0,AX163+1)))</f>
        <v/>
      </c>
      <c r="AY164" s="18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18">
        <f t="shared" ca="1" si="70"/>
        <v>1</v>
      </c>
      <c r="D165" s="18" t="str">
        <f t="shared" ca="1" si="71"/>
        <v/>
      </c>
      <c r="E165" s="18" t="str" cm="1">
        <f t="array" aca="1" ref="E165" ca="1">IF(D165="","",IF(D165&lt;&gt;D164,1,IF(E164=misLíneas-2,0,E164+1)))</f>
        <v/>
      </c>
      <c r="F165" s="18" t="str" cm="1">
        <f t="array" aca="1" ref="F165" ca="1">IF(OR(E165=0,E165=""),"",INDEX(misCriticidades,D165)&amp;"-"&amp;IFERROR(MATCH(E165,miOrdenTarjeta,0),0))</f>
        <v/>
      </c>
      <c r="H165" s="18">
        <f t="shared" ca="1" si="61"/>
        <v>1</v>
      </c>
      <c r="I165" s="18" t="str">
        <f t="shared" ca="1" si="72"/>
        <v/>
      </c>
      <c r="J165" s="18" t="str" cm="1">
        <f t="array" aca="1" ref="J165" ca="1">IF(I165="","",IF(I165&lt;&gt;I164,1,IF(J164=misLíneas-2,0,J164+1)))</f>
        <v/>
      </c>
      <c r="K165" s="18" t="str" cm="1">
        <f t="array" aca="1" ref="K165" ca="1">IF(OR(J165=0,J165=""),"",INDEX(misCriticidades,I165)&amp;"-"&amp;IFERROR(MATCH(J165,miOrdenTarjeta,0),0))</f>
        <v/>
      </c>
      <c r="M165" s="18">
        <f t="shared" ca="1" si="62"/>
        <v>1</v>
      </c>
      <c r="N165" s="18" t="str">
        <f t="shared" ca="1" si="73"/>
        <v/>
      </c>
      <c r="O165" s="18" t="str" cm="1">
        <f t="array" aca="1" ref="O165" ca="1">IF(N165="","",IF(N165&lt;&gt;N164,1,IF(O164=misLíneas-2,0,O164+1)))</f>
        <v/>
      </c>
      <c r="P165" s="18" t="str" cm="1">
        <f t="array" aca="1" ref="P165" ca="1">IF(OR(O165=0,O165=""),"",INDEX(misCriticidades,N165)&amp;"-"&amp;IFERROR(MATCH(O165,miOrdenTarjeta,0),0))</f>
        <v/>
      </c>
      <c r="R165" s="18">
        <f t="shared" ca="1" si="63"/>
        <v>19</v>
      </c>
      <c r="S165" s="18">
        <f t="shared" ca="1" si="74"/>
        <v>12</v>
      </c>
      <c r="T165" s="18" cm="1">
        <f t="array" aca="1" ref="T165" ca="1">IF(S165="","",IF(S165&lt;&gt;S164,1,IF(T164=misLíneas-2,0,T164+1)))</f>
        <v>1</v>
      </c>
      <c r="U165" s="18" t="str" cm="1">
        <f t="array" aca="1" ref="U165" ca="1">IF(OR(T165=0,T165=""),"",INDEX(misCriticidades,S165)&amp;"-"&amp;IFERROR(MATCH(T165,miOrdenTarjeta,0),0))</f>
        <v>3-1</v>
      </c>
      <c r="W165" s="18">
        <f t="shared" ca="1" si="64"/>
        <v>1</v>
      </c>
      <c r="X165" s="18" t="str">
        <f t="shared" ca="1" si="75"/>
        <v/>
      </c>
      <c r="Y165" s="18" t="str" cm="1">
        <f t="array" aca="1" ref="Y165" ca="1">IF(X165="","",IF(X165&lt;&gt;X164,1,IF(Y164=misLíneas-2,0,Y164+1)))</f>
        <v/>
      </c>
      <c r="Z165" s="18" t="str" cm="1">
        <f t="array" aca="1" ref="Z165" ca="1">IF(OR(Y165=0,Y165=""),"",INDEX(misCriticidades,X165)&amp;"-"&amp;IFERROR(MATCH(Y165,miOrdenTarjeta,0),0))</f>
        <v/>
      </c>
      <c r="AB165" s="18">
        <f t="shared" ca="1" si="65"/>
        <v>1</v>
      </c>
      <c r="AC165" s="18" t="str">
        <f t="shared" ca="1" si="56"/>
        <v/>
      </c>
      <c r="AD165" s="18" t="str" cm="1">
        <f t="array" aca="1" ref="AD165" ca="1">IF(AC165="","",IF(AC165&lt;&gt;AC164,1,IF(AD164=misLíneas-2,0,AD164+1)))</f>
        <v/>
      </c>
      <c r="AE165" s="18" t="str" cm="1">
        <f t="array" aca="1" ref="AE165" ca="1">IF(OR(AD165=0,AD165=""),"",INDEX(misCriticidades,AC165)&amp;"-"&amp;IFERROR(MATCH(AD165,miOrdenTarjeta,0),0))</f>
        <v/>
      </c>
      <c r="AG165" s="18">
        <f t="shared" ca="1" si="66"/>
        <v>1</v>
      </c>
      <c r="AH165" s="18" t="str">
        <f t="shared" ca="1" si="57"/>
        <v/>
      </c>
      <c r="AI165" s="18" t="str" cm="1">
        <f t="array" aca="1" ref="AI165" ca="1">IF(AH165="","",IF(AH165&lt;&gt;AH164,1,IF(AI164=misLíneas-2,0,AI164+1)))</f>
        <v/>
      </c>
      <c r="AJ165" s="18" t="str" cm="1">
        <f t="array" aca="1" ref="AJ165" ca="1">IF(OR(AI165=0,AI165=""),"",INDEX(misCriticidades,AH165)&amp;"-"&amp;IFERROR(MATCH(AI165,miOrdenTarjeta,0),0))</f>
        <v/>
      </c>
      <c r="AL165" s="18">
        <f t="shared" ca="1" si="67"/>
        <v>1</v>
      </c>
      <c r="AM165" s="18" t="str">
        <f t="shared" ca="1" si="58"/>
        <v/>
      </c>
      <c r="AN165" s="18" t="str" cm="1">
        <f t="array" aca="1" ref="AN165" ca="1">IF(AM165="","",IF(AM165&lt;&gt;AM164,1,IF(AN164=misLíneas-2,0,AN164+1)))</f>
        <v/>
      </c>
      <c r="AO165" s="18" t="str" cm="1">
        <f t="array" aca="1" ref="AO165" ca="1">IF(OR(AN165=0,AN165=""),"",INDEX(misCriticidades,AM165)&amp;"-"&amp;IFERROR(MATCH(AN165,miOrdenTarjeta,0),0))</f>
        <v/>
      </c>
      <c r="AQ165" s="18">
        <f t="shared" ca="1" si="68"/>
        <v>1</v>
      </c>
      <c r="AR165" s="18" t="str">
        <f t="shared" ca="1" si="59"/>
        <v/>
      </c>
      <c r="AS165" s="18" t="str" cm="1">
        <f t="array" aca="1" ref="AS165" ca="1">IF(AR165="","",IF(AR165&lt;&gt;AR164,1,IF(AS164=misLíneas-2,0,AS164+1)))</f>
        <v/>
      </c>
      <c r="AT165" s="18" t="str" cm="1">
        <f t="array" aca="1" ref="AT165" ca="1">IF(OR(AS165=0,AS165=""),"",INDEX(misCriticidades,AR165)&amp;"-"&amp;IFERROR(MATCH(AS165,miOrdenTarjeta,0),0))</f>
        <v/>
      </c>
      <c r="AV165" s="18">
        <f t="shared" ca="1" si="69"/>
        <v>1</v>
      </c>
      <c r="AW165" s="18" t="str">
        <f t="shared" ca="1" si="60"/>
        <v/>
      </c>
      <c r="AX165" s="18" t="str" cm="1">
        <f t="array" aca="1" ref="AX165" ca="1">IF(AW165="","",IF(AW165&lt;&gt;AW164,1,IF(AX164=misLíneas-2,0,AX164+1)))</f>
        <v/>
      </c>
      <c r="AY165" s="18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18">
        <f t="shared" ca="1" si="70"/>
        <v>1</v>
      </c>
      <c r="D166" s="18" t="str">
        <f t="shared" ca="1" si="71"/>
        <v/>
      </c>
      <c r="E166" s="18" t="str" cm="1">
        <f t="array" aca="1" ref="E166" ca="1">IF(D166="","",IF(D166&lt;&gt;D165,1,IF(E165=misLíneas-2,0,E165+1)))</f>
        <v/>
      </c>
      <c r="F166" s="18" t="str" cm="1">
        <f t="array" aca="1" ref="F166" ca="1">IF(OR(E166=0,E166=""),"",INDEX(misCriticidades,D166)&amp;"-"&amp;IFERROR(MATCH(E166,miOrdenTarjeta,0),0))</f>
        <v/>
      </c>
      <c r="H166" s="18">
        <f t="shared" ca="1" si="61"/>
        <v>1</v>
      </c>
      <c r="I166" s="18" t="str">
        <f t="shared" ca="1" si="72"/>
        <v/>
      </c>
      <c r="J166" s="18" t="str" cm="1">
        <f t="array" aca="1" ref="J166" ca="1">IF(I166="","",IF(I166&lt;&gt;I165,1,IF(J165=misLíneas-2,0,J165+1)))</f>
        <v/>
      </c>
      <c r="K166" s="18" t="str" cm="1">
        <f t="array" aca="1" ref="K166" ca="1">IF(OR(J166=0,J166=""),"",INDEX(misCriticidades,I166)&amp;"-"&amp;IFERROR(MATCH(J166,miOrdenTarjeta,0),0))</f>
        <v/>
      </c>
      <c r="M166" s="18">
        <f t="shared" ca="1" si="62"/>
        <v>1</v>
      </c>
      <c r="N166" s="18" t="str">
        <f t="shared" ca="1" si="73"/>
        <v/>
      </c>
      <c r="O166" s="18" t="str" cm="1">
        <f t="array" aca="1" ref="O166" ca="1">IF(N166="","",IF(N166&lt;&gt;N165,1,IF(O165=misLíneas-2,0,O165+1)))</f>
        <v/>
      </c>
      <c r="P166" s="18" t="str" cm="1">
        <f t="array" aca="1" ref="P166" ca="1">IF(OR(O166=0,O166=""),"",INDEX(misCriticidades,N166)&amp;"-"&amp;IFERROR(MATCH(O166,miOrdenTarjeta,0),0))</f>
        <v/>
      </c>
      <c r="R166" s="18">
        <f t="shared" ca="1" si="63"/>
        <v>19</v>
      </c>
      <c r="S166" s="18">
        <f t="shared" ca="1" si="74"/>
        <v>12</v>
      </c>
      <c r="T166" s="18" cm="1">
        <f t="array" aca="1" ref="T166" ca="1">IF(S166="","",IF(S166&lt;&gt;S165,1,IF(T165=misLíneas-2,0,T165+1)))</f>
        <v>2</v>
      </c>
      <c r="U166" s="18" t="str" cm="1">
        <f t="array" aca="1" ref="U166" ca="1">IF(OR(T166=0,T166=""),"",INDEX(misCriticidades,S166)&amp;"-"&amp;IFERROR(MATCH(T166,miOrdenTarjeta,0),0))</f>
        <v>3-2</v>
      </c>
      <c r="W166" s="18">
        <f t="shared" ca="1" si="64"/>
        <v>1</v>
      </c>
      <c r="X166" s="18" t="str">
        <f t="shared" ca="1" si="75"/>
        <v/>
      </c>
      <c r="Y166" s="18" t="str" cm="1">
        <f t="array" aca="1" ref="Y166" ca="1">IF(X166="","",IF(X166&lt;&gt;X165,1,IF(Y165=misLíneas-2,0,Y165+1)))</f>
        <v/>
      </c>
      <c r="Z166" s="18" t="str" cm="1">
        <f t="array" aca="1" ref="Z166" ca="1">IF(OR(Y166=0,Y166=""),"",INDEX(misCriticidades,X166)&amp;"-"&amp;IFERROR(MATCH(Y166,miOrdenTarjeta,0),0))</f>
        <v/>
      </c>
      <c r="AB166" s="18">
        <f t="shared" ca="1" si="65"/>
        <v>1</v>
      </c>
      <c r="AC166" s="18" t="str">
        <f t="shared" ca="1" si="56"/>
        <v/>
      </c>
      <c r="AD166" s="18" t="str" cm="1">
        <f t="array" aca="1" ref="AD166" ca="1">IF(AC166="","",IF(AC166&lt;&gt;AC165,1,IF(AD165=misLíneas-2,0,AD165+1)))</f>
        <v/>
      </c>
      <c r="AE166" s="18" t="str" cm="1">
        <f t="array" aca="1" ref="AE166" ca="1">IF(OR(AD166=0,AD166=""),"",INDEX(misCriticidades,AC166)&amp;"-"&amp;IFERROR(MATCH(AD166,miOrdenTarjeta,0),0))</f>
        <v/>
      </c>
      <c r="AG166" s="18">
        <f t="shared" ca="1" si="66"/>
        <v>1</v>
      </c>
      <c r="AH166" s="18" t="str">
        <f t="shared" ca="1" si="57"/>
        <v/>
      </c>
      <c r="AI166" s="18" t="str" cm="1">
        <f t="array" aca="1" ref="AI166" ca="1">IF(AH166="","",IF(AH166&lt;&gt;AH165,1,IF(AI165=misLíneas-2,0,AI165+1)))</f>
        <v/>
      </c>
      <c r="AJ166" s="18" t="str" cm="1">
        <f t="array" aca="1" ref="AJ166" ca="1">IF(OR(AI166=0,AI166=""),"",INDEX(misCriticidades,AH166)&amp;"-"&amp;IFERROR(MATCH(AI166,miOrdenTarjeta,0),0))</f>
        <v/>
      </c>
      <c r="AL166" s="18">
        <f t="shared" ca="1" si="67"/>
        <v>1</v>
      </c>
      <c r="AM166" s="18" t="str">
        <f t="shared" ca="1" si="58"/>
        <v/>
      </c>
      <c r="AN166" s="18" t="str" cm="1">
        <f t="array" aca="1" ref="AN166" ca="1">IF(AM166="","",IF(AM166&lt;&gt;AM165,1,IF(AN165=misLíneas-2,0,AN165+1)))</f>
        <v/>
      </c>
      <c r="AO166" s="18" t="str" cm="1">
        <f t="array" aca="1" ref="AO166" ca="1">IF(OR(AN166=0,AN166=""),"",INDEX(misCriticidades,AM166)&amp;"-"&amp;IFERROR(MATCH(AN166,miOrdenTarjeta,0),0))</f>
        <v/>
      </c>
      <c r="AQ166" s="18">
        <f t="shared" ca="1" si="68"/>
        <v>1</v>
      </c>
      <c r="AR166" s="18" t="str">
        <f t="shared" ca="1" si="59"/>
        <v/>
      </c>
      <c r="AS166" s="18" t="str" cm="1">
        <f t="array" aca="1" ref="AS166" ca="1">IF(AR166="","",IF(AR166&lt;&gt;AR165,1,IF(AS165=misLíneas-2,0,AS165+1)))</f>
        <v/>
      </c>
      <c r="AT166" s="18" t="str" cm="1">
        <f t="array" aca="1" ref="AT166" ca="1">IF(OR(AS166=0,AS166=""),"",INDEX(misCriticidades,AR166)&amp;"-"&amp;IFERROR(MATCH(AS166,miOrdenTarjeta,0),0))</f>
        <v/>
      </c>
      <c r="AV166" s="18">
        <f t="shared" ca="1" si="69"/>
        <v>1</v>
      </c>
      <c r="AW166" s="18" t="str">
        <f t="shared" ca="1" si="60"/>
        <v/>
      </c>
      <c r="AX166" s="18" t="str" cm="1">
        <f t="array" aca="1" ref="AX166" ca="1">IF(AW166="","",IF(AW166&lt;&gt;AW165,1,IF(AX165=misLíneas-2,0,AX165+1)))</f>
        <v/>
      </c>
      <c r="AY166" s="18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18">
        <f t="shared" ca="1" si="70"/>
        <v>1</v>
      </c>
      <c r="D167" s="18" t="str">
        <f t="shared" ca="1" si="71"/>
        <v/>
      </c>
      <c r="E167" s="18" t="str" cm="1">
        <f t="array" aca="1" ref="E167" ca="1">IF(D167="","",IF(D167&lt;&gt;D166,1,IF(E166=misLíneas-2,0,E166+1)))</f>
        <v/>
      </c>
      <c r="F167" s="18" t="str" cm="1">
        <f t="array" aca="1" ref="F167" ca="1">IF(OR(E167=0,E167=""),"",INDEX(misCriticidades,D167)&amp;"-"&amp;IFERROR(MATCH(E167,miOrdenTarjeta,0),0))</f>
        <v/>
      </c>
      <c r="H167" s="18">
        <f t="shared" ca="1" si="61"/>
        <v>1</v>
      </c>
      <c r="I167" s="18" t="str">
        <f t="shared" ca="1" si="72"/>
        <v/>
      </c>
      <c r="J167" s="18" t="str" cm="1">
        <f t="array" aca="1" ref="J167" ca="1">IF(I167="","",IF(I167&lt;&gt;I166,1,IF(J166=misLíneas-2,0,J166+1)))</f>
        <v/>
      </c>
      <c r="K167" s="18" t="str" cm="1">
        <f t="array" aca="1" ref="K167" ca="1">IF(OR(J167=0,J167=""),"",INDEX(misCriticidades,I167)&amp;"-"&amp;IFERROR(MATCH(J167,miOrdenTarjeta,0),0))</f>
        <v/>
      </c>
      <c r="M167" s="18">
        <f t="shared" ca="1" si="62"/>
        <v>1</v>
      </c>
      <c r="N167" s="18" t="str">
        <f t="shared" ca="1" si="73"/>
        <v/>
      </c>
      <c r="O167" s="18" t="str" cm="1">
        <f t="array" aca="1" ref="O167" ca="1">IF(N167="","",IF(N167&lt;&gt;N166,1,IF(O166=misLíneas-2,0,O166+1)))</f>
        <v/>
      </c>
      <c r="P167" s="18" t="str" cm="1">
        <f t="array" aca="1" ref="P167" ca="1">IF(OR(O167=0,O167=""),"",INDEX(misCriticidades,N167)&amp;"-"&amp;IFERROR(MATCH(O167,miOrdenTarjeta,0),0))</f>
        <v/>
      </c>
      <c r="R167" s="18">
        <f t="shared" ca="1" si="63"/>
        <v>19</v>
      </c>
      <c r="S167" s="18">
        <f t="shared" ca="1" si="74"/>
        <v>12</v>
      </c>
      <c r="T167" s="18" cm="1">
        <f t="array" aca="1" ref="T167" ca="1">IF(S167="","",IF(S167&lt;&gt;S166,1,IF(T166=misLíneas-2,0,T166+1)))</f>
        <v>3</v>
      </c>
      <c r="U167" s="18" t="str" cm="1">
        <f t="array" aca="1" ref="U167" ca="1">IF(OR(T167=0,T167=""),"",INDEX(misCriticidades,S167)&amp;"-"&amp;IFERROR(MATCH(T167,miOrdenTarjeta,0),0))</f>
        <v>3-3</v>
      </c>
      <c r="W167" s="18">
        <f t="shared" ca="1" si="64"/>
        <v>1</v>
      </c>
      <c r="X167" s="18" t="str">
        <f t="shared" ca="1" si="75"/>
        <v/>
      </c>
      <c r="Y167" s="18" t="str" cm="1">
        <f t="array" aca="1" ref="Y167" ca="1">IF(X167="","",IF(X167&lt;&gt;X166,1,IF(Y166=misLíneas-2,0,Y166+1)))</f>
        <v/>
      </c>
      <c r="Z167" s="18" t="str" cm="1">
        <f t="array" aca="1" ref="Z167" ca="1">IF(OR(Y167=0,Y167=""),"",INDEX(misCriticidades,X167)&amp;"-"&amp;IFERROR(MATCH(Y167,miOrdenTarjeta,0),0))</f>
        <v/>
      </c>
      <c r="AB167" s="18">
        <f t="shared" ca="1" si="65"/>
        <v>1</v>
      </c>
      <c r="AC167" s="18" t="str">
        <f t="shared" ca="1" si="56"/>
        <v/>
      </c>
      <c r="AD167" s="18" t="str" cm="1">
        <f t="array" aca="1" ref="AD167" ca="1">IF(AC167="","",IF(AC167&lt;&gt;AC166,1,IF(AD166=misLíneas-2,0,AD166+1)))</f>
        <v/>
      </c>
      <c r="AE167" s="18" t="str" cm="1">
        <f t="array" aca="1" ref="AE167" ca="1">IF(OR(AD167=0,AD167=""),"",INDEX(misCriticidades,AC167)&amp;"-"&amp;IFERROR(MATCH(AD167,miOrdenTarjeta,0),0))</f>
        <v/>
      </c>
      <c r="AG167" s="18">
        <f t="shared" ca="1" si="66"/>
        <v>1</v>
      </c>
      <c r="AH167" s="18" t="str">
        <f t="shared" ca="1" si="57"/>
        <v/>
      </c>
      <c r="AI167" s="18" t="str" cm="1">
        <f t="array" aca="1" ref="AI167" ca="1">IF(AH167="","",IF(AH167&lt;&gt;AH166,1,IF(AI166=misLíneas-2,0,AI166+1)))</f>
        <v/>
      </c>
      <c r="AJ167" s="18" t="str" cm="1">
        <f t="array" aca="1" ref="AJ167" ca="1">IF(OR(AI167=0,AI167=""),"",INDEX(misCriticidades,AH167)&amp;"-"&amp;IFERROR(MATCH(AI167,miOrdenTarjeta,0),0))</f>
        <v/>
      </c>
      <c r="AL167" s="18">
        <f t="shared" ca="1" si="67"/>
        <v>1</v>
      </c>
      <c r="AM167" s="18" t="str">
        <f t="shared" ca="1" si="58"/>
        <v/>
      </c>
      <c r="AN167" s="18" t="str" cm="1">
        <f t="array" aca="1" ref="AN167" ca="1">IF(AM167="","",IF(AM167&lt;&gt;AM166,1,IF(AN166=misLíneas-2,0,AN166+1)))</f>
        <v/>
      </c>
      <c r="AO167" s="18" t="str" cm="1">
        <f t="array" aca="1" ref="AO167" ca="1">IF(OR(AN167=0,AN167=""),"",INDEX(misCriticidades,AM167)&amp;"-"&amp;IFERROR(MATCH(AN167,miOrdenTarjeta,0),0))</f>
        <v/>
      </c>
      <c r="AQ167" s="18">
        <f t="shared" ca="1" si="68"/>
        <v>1</v>
      </c>
      <c r="AR167" s="18" t="str">
        <f t="shared" ca="1" si="59"/>
        <v/>
      </c>
      <c r="AS167" s="18" t="str" cm="1">
        <f t="array" aca="1" ref="AS167" ca="1">IF(AR167="","",IF(AR167&lt;&gt;AR166,1,IF(AS166=misLíneas-2,0,AS166+1)))</f>
        <v/>
      </c>
      <c r="AT167" s="18" t="str" cm="1">
        <f t="array" aca="1" ref="AT167" ca="1">IF(OR(AS167=0,AS167=""),"",INDEX(misCriticidades,AR167)&amp;"-"&amp;IFERROR(MATCH(AS167,miOrdenTarjeta,0),0))</f>
        <v/>
      </c>
      <c r="AV167" s="18">
        <f t="shared" ca="1" si="69"/>
        <v>1</v>
      </c>
      <c r="AW167" s="18" t="str">
        <f t="shared" ca="1" si="60"/>
        <v/>
      </c>
      <c r="AX167" s="18" t="str" cm="1">
        <f t="array" aca="1" ref="AX167" ca="1">IF(AW167="","",IF(AW167&lt;&gt;AW166,1,IF(AX166=misLíneas-2,0,AX166+1)))</f>
        <v/>
      </c>
      <c r="AY167" s="18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18">
        <f t="shared" ca="1" si="70"/>
        <v>1</v>
      </c>
      <c r="D168" s="18" t="str">
        <f t="shared" ca="1" si="71"/>
        <v/>
      </c>
      <c r="E168" s="18" t="str" cm="1">
        <f t="array" aca="1" ref="E168" ca="1">IF(D168="","",IF(D168&lt;&gt;D167,1,IF(E167=misLíneas-2,0,E167+1)))</f>
        <v/>
      </c>
      <c r="F168" s="18" t="str" cm="1">
        <f t="array" aca="1" ref="F168" ca="1">IF(OR(E168=0,E168=""),"",INDEX(misCriticidades,D168)&amp;"-"&amp;IFERROR(MATCH(E168,miOrdenTarjeta,0),0))</f>
        <v/>
      </c>
      <c r="H168" s="18">
        <f t="shared" ca="1" si="61"/>
        <v>1</v>
      </c>
      <c r="I168" s="18" t="str">
        <f t="shared" ca="1" si="72"/>
        <v/>
      </c>
      <c r="J168" s="18" t="str" cm="1">
        <f t="array" aca="1" ref="J168" ca="1">IF(I168="","",IF(I168&lt;&gt;I167,1,IF(J167=misLíneas-2,0,J167+1)))</f>
        <v/>
      </c>
      <c r="K168" s="18" t="str" cm="1">
        <f t="array" aca="1" ref="K168" ca="1">IF(OR(J168=0,J168=""),"",INDEX(misCriticidades,I168)&amp;"-"&amp;IFERROR(MATCH(J168,miOrdenTarjeta,0),0))</f>
        <v/>
      </c>
      <c r="M168" s="18">
        <f t="shared" ca="1" si="62"/>
        <v>1</v>
      </c>
      <c r="N168" s="18" t="str">
        <f t="shared" ca="1" si="73"/>
        <v/>
      </c>
      <c r="O168" s="18" t="str" cm="1">
        <f t="array" aca="1" ref="O168" ca="1">IF(N168="","",IF(N168&lt;&gt;N167,1,IF(O167=misLíneas-2,0,O167+1)))</f>
        <v/>
      </c>
      <c r="P168" s="18" t="str" cm="1">
        <f t="array" aca="1" ref="P168" ca="1">IF(OR(O168=0,O168=""),"",INDEX(misCriticidades,N168)&amp;"-"&amp;IFERROR(MATCH(O168,miOrdenTarjeta,0),0))</f>
        <v/>
      </c>
      <c r="R168" s="18">
        <f t="shared" ca="1" si="63"/>
        <v>19</v>
      </c>
      <c r="S168" s="18">
        <f t="shared" ca="1" si="74"/>
        <v>12</v>
      </c>
      <c r="T168" s="18" cm="1">
        <f t="array" aca="1" ref="T168" ca="1">IF(S168="","",IF(S168&lt;&gt;S167,1,IF(T167=misLíneas-2,0,T167+1)))</f>
        <v>4</v>
      </c>
      <c r="U168" s="18" t="str" cm="1">
        <f t="array" aca="1" ref="U168" ca="1">IF(OR(T168=0,T168=""),"",INDEX(misCriticidades,S168)&amp;"-"&amp;IFERROR(MATCH(T168,miOrdenTarjeta,0),0))</f>
        <v>3-4</v>
      </c>
      <c r="W168" s="18">
        <f t="shared" ca="1" si="64"/>
        <v>1</v>
      </c>
      <c r="X168" s="18" t="str">
        <f t="shared" ca="1" si="75"/>
        <v/>
      </c>
      <c r="Y168" s="18" t="str" cm="1">
        <f t="array" aca="1" ref="Y168" ca="1">IF(X168="","",IF(X168&lt;&gt;X167,1,IF(Y167=misLíneas-2,0,Y167+1)))</f>
        <v/>
      </c>
      <c r="Z168" s="18" t="str" cm="1">
        <f t="array" aca="1" ref="Z168" ca="1">IF(OR(Y168=0,Y168=""),"",INDEX(misCriticidades,X168)&amp;"-"&amp;IFERROR(MATCH(Y168,miOrdenTarjeta,0),0))</f>
        <v/>
      </c>
      <c r="AB168" s="18">
        <f t="shared" ca="1" si="65"/>
        <v>1</v>
      </c>
      <c r="AC168" s="18" t="str">
        <f t="shared" ca="1" si="56"/>
        <v/>
      </c>
      <c r="AD168" s="18" t="str" cm="1">
        <f t="array" aca="1" ref="AD168" ca="1">IF(AC168="","",IF(AC168&lt;&gt;AC167,1,IF(AD167=misLíneas-2,0,AD167+1)))</f>
        <v/>
      </c>
      <c r="AE168" s="18" t="str" cm="1">
        <f t="array" aca="1" ref="AE168" ca="1">IF(OR(AD168=0,AD168=""),"",INDEX(misCriticidades,AC168)&amp;"-"&amp;IFERROR(MATCH(AD168,miOrdenTarjeta,0),0))</f>
        <v/>
      </c>
      <c r="AG168" s="18">
        <f t="shared" ca="1" si="66"/>
        <v>1</v>
      </c>
      <c r="AH168" s="18" t="str">
        <f t="shared" ca="1" si="57"/>
        <v/>
      </c>
      <c r="AI168" s="18" t="str" cm="1">
        <f t="array" aca="1" ref="AI168" ca="1">IF(AH168="","",IF(AH168&lt;&gt;AH167,1,IF(AI167=misLíneas-2,0,AI167+1)))</f>
        <v/>
      </c>
      <c r="AJ168" s="18" t="str" cm="1">
        <f t="array" aca="1" ref="AJ168" ca="1">IF(OR(AI168=0,AI168=""),"",INDEX(misCriticidades,AH168)&amp;"-"&amp;IFERROR(MATCH(AI168,miOrdenTarjeta,0),0))</f>
        <v/>
      </c>
      <c r="AL168" s="18">
        <f t="shared" ca="1" si="67"/>
        <v>1</v>
      </c>
      <c r="AM168" s="18" t="str">
        <f t="shared" ca="1" si="58"/>
        <v/>
      </c>
      <c r="AN168" s="18" t="str" cm="1">
        <f t="array" aca="1" ref="AN168" ca="1">IF(AM168="","",IF(AM168&lt;&gt;AM167,1,IF(AN167=misLíneas-2,0,AN167+1)))</f>
        <v/>
      </c>
      <c r="AO168" s="18" t="str" cm="1">
        <f t="array" aca="1" ref="AO168" ca="1">IF(OR(AN168=0,AN168=""),"",INDEX(misCriticidades,AM168)&amp;"-"&amp;IFERROR(MATCH(AN168,miOrdenTarjeta,0),0))</f>
        <v/>
      </c>
      <c r="AQ168" s="18">
        <f t="shared" ca="1" si="68"/>
        <v>1</v>
      </c>
      <c r="AR168" s="18" t="str">
        <f t="shared" ca="1" si="59"/>
        <v/>
      </c>
      <c r="AS168" s="18" t="str" cm="1">
        <f t="array" aca="1" ref="AS168" ca="1">IF(AR168="","",IF(AR168&lt;&gt;AR167,1,IF(AS167=misLíneas-2,0,AS167+1)))</f>
        <v/>
      </c>
      <c r="AT168" s="18" t="str" cm="1">
        <f t="array" aca="1" ref="AT168" ca="1">IF(OR(AS168=0,AS168=""),"",INDEX(misCriticidades,AR168)&amp;"-"&amp;IFERROR(MATCH(AS168,miOrdenTarjeta,0),0))</f>
        <v/>
      </c>
      <c r="AV168" s="18">
        <f t="shared" ca="1" si="69"/>
        <v>1</v>
      </c>
      <c r="AW168" s="18" t="str">
        <f t="shared" ca="1" si="60"/>
        <v/>
      </c>
      <c r="AX168" s="18" t="str" cm="1">
        <f t="array" aca="1" ref="AX168" ca="1">IF(AW168="","",IF(AW168&lt;&gt;AW167,1,IF(AX167=misLíneas-2,0,AX167+1)))</f>
        <v/>
      </c>
      <c r="AY168" s="18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18">
        <f t="shared" ca="1" si="70"/>
        <v>1</v>
      </c>
      <c r="D169" s="18" t="str">
        <f t="shared" ca="1" si="71"/>
        <v/>
      </c>
      <c r="E169" s="18" t="str" cm="1">
        <f t="array" aca="1" ref="E169" ca="1">IF(D169="","",IF(D169&lt;&gt;D168,1,IF(E168=misLíneas-2,0,E168+1)))</f>
        <v/>
      </c>
      <c r="F169" s="18" t="str" cm="1">
        <f t="array" aca="1" ref="F169" ca="1">IF(OR(E169=0,E169=""),"",INDEX(misCriticidades,D169)&amp;"-"&amp;IFERROR(MATCH(E169,miOrdenTarjeta,0),0))</f>
        <v/>
      </c>
      <c r="H169" s="18">
        <f t="shared" ca="1" si="61"/>
        <v>1</v>
      </c>
      <c r="I169" s="18" t="str">
        <f t="shared" ca="1" si="72"/>
        <v/>
      </c>
      <c r="J169" s="18" t="str" cm="1">
        <f t="array" aca="1" ref="J169" ca="1">IF(I169="","",IF(I169&lt;&gt;I168,1,IF(J168=misLíneas-2,0,J168+1)))</f>
        <v/>
      </c>
      <c r="K169" s="18" t="str" cm="1">
        <f t="array" aca="1" ref="K169" ca="1">IF(OR(J169=0,J169=""),"",INDEX(misCriticidades,I169)&amp;"-"&amp;IFERROR(MATCH(J169,miOrdenTarjeta,0),0))</f>
        <v/>
      </c>
      <c r="M169" s="18">
        <f t="shared" ca="1" si="62"/>
        <v>1</v>
      </c>
      <c r="N169" s="18" t="str">
        <f t="shared" ca="1" si="73"/>
        <v/>
      </c>
      <c r="O169" s="18" t="str" cm="1">
        <f t="array" aca="1" ref="O169" ca="1">IF(N169="","",IF(N169&lt;&gt;N168,1,IF(O168=misLíneas-2,0,O168+1)))</f>
        <v/>
      </c>
      <c r="P169" s="18" t="str" cm="1">
        <f t="array" aca="1" ref="P169" ca="1">IF(OR(O169=0,O169=""),"",INDEX(misCriticidades,N169)&amp;"-"&amp;IFERROR(MATCH(O169,miOrdenTarjeta,0),0))</f>
        <v/>
      </c>
      <c r="R169" s="18">
        <f t="shared" ca="1" si="63"/>
        <v>19</v>
      </c>
      <c r="S169" s="18">
        <f t="shared" ca="1" si="74"/>
        <v>12</v>
      </c>
      <c r="T169" s="18" cm="1">
        <f t="array" aca="1" ref="T169" ca="1">IF(S169="","",IF(S169&lt;&gt;S168,1,IF(T168=misLíneas-2,0,T168+1)))</f>
        <v>5</v>
      </c>
      <c r="U169" s="18" t="str" cm="1">
        <f t="array" aca="1" ref="U169" ca="1">IF(OR(T169=0,T169=""),"",INDEX(misCriticidades,S169)&amp;"-"&amp;IFERROR(MATCH(T169,miOrdenTarjeta,0),0))</f>
        <v>3-5</v>
      </c>
      <c r="W169" s="18">
        <f t="shared" ca="1" si="64"/>
        <v>1</v>
      </c>
      <c r="X169" s="18" t="str">
        <f t="shared" ca="1" si="75"/>
        <v/>
      </c>
      <c r="Y169" s="18" t="str" cm="1">
        <f t="array" aca="1" ref="Y169" ca="1">IF(X169="","",IF(X169&lt;&gt;X168,1,IF(Y168=misLíneas-2,0,Y168+1)))</f>
        <v/>
      </c>
      <c r="Z169" s="18" t="str" cm="1">
        <f t="array" aca="1" ref="Z169" ca="1">IF(OR(Y169=0,Y169=""),"",INDEX(misCriticidades,X169)&amp;"-"&amp;IFERROR(MATCH(Y169,miOrdenTarjeta,0),0))</f>
        <v/>
      </c>
      <c r="AB169" s="18">
        <f t="shared" ca="1" si="65"/>
        <v>1</v>
      </c>
      <c r="AC169" s="18" t="str">
        <f t="shared" ca="1" si="56"/>
        <v/>
      </c>
      <c r="AD169" s="18" t="str" cm="1">
        <f t="array" aca="1" ref="AD169" ca="1">IF(AC169="","",IF(AC169&lt;&gt;AC168,1,IF(AD168=misLíneas-2,0,AD168+1)))</f>
        <v/>
      </c>
      <c r="AE169" s="18" t="str" cm="1">
        <f t="array" aca="1" ref="AE169" ca="1">IF(OR(AD169=0,AD169=""),"",INDEX(misCriticidades,AC169)&amp;"-"&amp;IFERROR(MATCH(AD169,miOrdenTarjeta,0),0))</f>
        <v/>
      </c>
      <c r="AG169" s="18">
        <f t="shared" ca="1" si="66"/>
        <v>1</v>
      </c>
      <c r="AH169" s="18" t="str">
        <f t="shared" ca="1" si="57"/>
        <v/>
      </c>
      <c r="AI169" s="18" t="str" cm="1">
        <f t="array" aca="1" ref="AI169" ca="1">IF(AH169="","",IF(AH169&lt;&gt;AH168,1,IF(AI168=misLíneas-2,0,AI168+1)))</f>
        <v/>
      </c>
      <c r="AJ169" s="18" t="str" cm="1">
        <f t="array" aca="1" ref="AJ169" ca="1">IF(OR(AI169=0,AI169=""),"",INDEX(misCriticidades,AH169)&amp;"-"&amp;IFERROR(MATCH(AI169,miOrdenTarjeta,0),0))</f>
        <v/>
      </c>
      <c r="AL169" s="18">
        <f t="shared" ca="1" si="67"/>
        <v>1</v>
      </c>
      <c r="AM169" s="18" t="str">
        <f t="shared" ca="1" si="58"/>
        <v/>
      </c>
      <c r="AN169" s="18" t="str" cm="1">
        <f t="array" aca="1" ref="AN169" ca="1">IF(AM169="","",IF(AM169&lt;&gt;AM168,1,IF(AN168=misLíneas-2,0,AN168+1)))</f>
        <v/>
      </c>
      <c r="AO169" s="18" t="str" cm="1">
        <f t="array" aca="1" ref="AO169" ca="1">IF(OR(AN169=0,AN169=""),"",INDEX(misCriticidades,AM169)&amp;"-"&amp;IFERROR(MATCH(AN169,miOrdenTarjeta,0),0))</f>
        <v/>
      </c>
      <c r="AQ169" s="18">
        <f t="shared" ca="1" si="68"/>
        <v>1</v>
      </c>
      <c r="AR169" s="18" t="str">
        <f t="shared" ca="1" si="59"/>
        <v/>
      </c>
      <c r="AS169" s="18" t="str" cm="1">
        <f t="array" aca="1" ref="AS169" ca="1">IF(AR169="","",IF(AR169&lt;&gt;AR168,1,IF(AS168=misLíneas-2,0,AS168+1)))</f>
        <v/>
      </c>
      <c r="AT169" s="18" t="str" cm="1">
        <f t="array" aca="1" ref="AT169" ca="1">IF(OR(AS169=0,AS169=""),"",INDEX(misCriticidades,AR169)&amp;"-"&amp;IFERROR(MATCH(AS169,miOrdenTarjeta,0),0))</f>
        <v/>
      </c>
      <c r="AV169" s="18">
        <f t="shared" ca="1" si="69"/>
        <v>1</v>
      </c>
      <c r="AW169" s="18" t="str">
        <f t="shared" ca="1" si="60"/>
        <v/>
      </c>
      <c r="AX169" s="18" t="str" cm="1">
        <f t="array" aca="1" ref="AX169" ca="1">IF(AW169="","",IF(AW169&lt;&gt;AW168,1,IF(AX168=misLíneas-2,0,AX168+1)))</f>
        <v/>
      </c>
      <c r="AY169" s="18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18">
        <f t="shared" ca="1" si="70"/>
        <v>1</v>
      </c>
      <c r="D170" s="18" t="str">
        <f t="shared" ca="1" si="71"/>
        <v/>
      </c>
      <c r="E170" s="18" t="str" cm="1">
        <f t="array" aca="1" ref="E170" ca="1">IF(D170="","",IF(D170&lt;&gt;D169,1,IF(E169=misLíneas-2,0,E169+1)))</f>
        <v/>
      </c>
      <c r="F170" s="18" t="str" cm="1">
        <f t="array" aca="1" ref="F170" ca="1">IF(OR(E170=0,E170=""),"",INDEX(misCriticidades,D170)&amp;"-"&amp;IFERROR(MATCH(E170,miOrdenTarjeta,0),0))</f>
        <v/>
      </c>
      <c r="H170" s="18">
        <f t="shared" ca="1" si="61"/>
        <v>1</v>
      </c>
      <c r="I170" s="18" t="str">
        <f t="shared" ca="1" si="72"/>
        <v/>
      </c>
      <c r="J170" s="18" t="str" cm="1">
        <f t="array" aca="1" ref="J170" ca="1">IF(I170="","",IF(I170&lt;&gt;I169,1,IF(J169=misLíneas-2,0,J169+1)))</f>
        <v/>
      </c>
      <c r="K170" s="18" t="str" cm="1">
        <f t="array" aca="1" ref="K170" ca="1">IF(OR(J170=0,J170=""),"",INDEX(misCriticidades,I170)&amp;"-"&amp;IFERROR(MATCH(J170,miOrdenTarjeta,0),0))</f>
        <v/>
      </c>
      <c r="M170" s="18">
        <f t="shared" ca="1" si="62"/>
        <v>1</v>
      </c>
      <c r="N170" s="18" t="str">
        <f t="shared" ca="1" si="73"/>
        <v/>
      </c>
      <c r="O170" s="18" t="str" cm="1">
        <f t="array" aca="1" ref="O170" ca="1">IF(N170="","",IF(N170&lt;&gt;N169,1,IF(O169=misLíneas-2,0,O169+1)))</f>
        <v/>
      </c>
      <c r="P170" s="18" t="str" cm="1">
        <f t="array" aca="1" ref="P170" ca="1">IF(OR(O170=0,O170=""),"",INDEX(misCriticidades,N170)&amp;"-"&amp;IFERROR(MATCH(O170,miOrdenTarjeta,0),0))</f>
        <v/>
      </c>
      <c r="R170" s="18">
        <f t="shared" ca="1" si="63"/>
        <v>19</v>
      </c>
      <c r="S170" s="18">
        <f t="shared" ca="1" si="74"/>
        <v>12</v>
      </c>
      <c r="T170" s="18" cm="1">
        <f t="array" aca="1" ref="T170" ca="1">IF(S170="","",IF(S170&lt;&gt;S169,1,IF(T169=misLíneas-2,0,T169+1)))</f>
        <v>6</v>
      </c>
      <c r="U170" s="18" t="str" cm="1">
        <f t="array" aca="1" ref="U170" ca="1">IF(OR(T170=0,T170=""),"",INDEX(misCriticidades,S170)&amp;"-"&amp;IFERROR(MATCH(T170,miOrdenTarjeta,0),0))</f>
        <v>3-6</v>
      </c>
      <c r="W170" s="18">
        <f t="shared" ca="1" si="64"/>
        <v>1</v>
      </c>
      <c r="X170" s="18" t="str">
        <f t="shared" ca="1" si="75"/>
        <v/>
      </c>
      <c r="Y170" s="18" t="str" cm="1">
        <f t="array" aca="1" ref="Y170" ca="1">IF(X170="","",IF(X170&lt;&gt;X169,1,IF(Y169=misLíneas-2,0,Y169+1)))</f>
        <v/>
      </c>
      <c r="Z170" s="18" t="str" cm="1">
        <f t="array" aca="1" ref="Z170" ca="1">IF(OR(Y170=0,Y170=""),"",INDEX(misCriticidades,X170)&amp;"-"&amp;IFERROR(MATCH(Y170,miOrdenTarjeta,0),0))</f>
        <v/>
      </c>
      <c r="AB170" s="18">
        <f t="shared" ca="1" si="65"/>
        <v>1</v>
      </c>
      <c r="AC170" s="18" t="str">
        <f t="shared" ca="1" si="56"/>
        <v/>
      </c>
      <c r="AD170" s="18" t="str" cm="1">
        <f t="array" aca="1" ref="AD170" ca="1">IF(AC170="","",IF(AC170&lt;&gt;AC169,1,IF(AD169=misLíneas-2,0,AD169+1)))</f>
        <v/>
      </c>
      <c r="AE170" s="18" t="str" cm="1">
        <f t="array" aca="1" ref="AE170" ca="1">IF(OR(AD170=0,AD170=""),"",INDEX(misCriticidades,AC170)&amp;"-"&amp;IFERROR(MATCH(AD170,miOrdenTarjeta,0),0))</f>
        <v/>
      </c>
      <c r="AG170" s="18">
        <f t="shared" ca="1" si="66"/>
        <v>1</v>
      </c>
      <c r="AH170" s="18" t="str">
        <f t="shared" ca="1" si="57"/>
        <v/>
      </c>
      <c r="AI170" s="18" t="str" cm="1">
        <f t="array" aca="1" ref="AI170" ca="1">IF(AH170="","",IF(AH170&lt;&gt;AH169,1,IF(AI169=misLíneas-2,0,AI169+1)))</f>
        <v/>
      </c>
      <c r="AJ170" s="18" t="str" cm="1">
        <f t="array" aca="1" ref="AJ170" ca="1">IF(OR(AI170=0,AI170=""),"",INDEX(misCriticidades,AH170)&amp;"-"&amp;IFERROR(MATCH(AI170,miOrdenTarjeta,0),0))</f>
        <v/>
      </c>
      <c r="AL170" s="18">
        <f t="shared" ca="1" si="67"/>
        <v>1</v>
      </c>
      <c r="AM170" s="18" t="str">
        <f t="shared" ca="1" si="58"/>
        <v/>
      </c>
      <c r="AN170" s="18" t="str" cm="1">
        <f t="array" aca="1" ref="AN170" ca="1">IF(AM170="","",IF(AM170&lt;&gt;AM169,1,IF(AN169=misLíneas-2,0,AN169+1)))</f>
        <v/>
      </c>
      <c r="AO170" s="18" t="str" cm="1">
        <f t="array" aca="1" ref="AO170" ca="1">IF(OR(AN170=0,AN170=""),"",INDEX(misCriticidades,AM170)&amp;"-"&amp;IFERROR(MATCH(AN170,miOrdenTarjeta,0),0))</f>
        <v/>
      </c>
      <c r="AQ170" s="18">
        <f t="shared" ca="1" si="68"/>
        <v>1</v>
      </c>
      <c r="AR170" s="18" t="str">
        <f t="shared" ca="1" si="59"/>
        <v/>
      </c>
      <c r="AS170" s="18" t="str" cm="1">
        <f t="array" aca="1" ref="AS170" ca="1">IF(AR170="","",IF(AR170&lt;&gt;AR169,1,IF(AS169=misLíneas-2,0,AS169+1)))</f>
        <v/>
      </c>
      <c r="AT170" s="18" t="str" cm="1">
        <f t="array" aca="1" ref="AT170" ca="1">IF(OR(AS170=0,AS170=""),"",INDEX(misCriticidades,AR170)&amp;"-"&amp;IFERROR(MATCH(AS170,miOrdenTarjeta,0),0))</f>
        <v/>
      </c>
      <c r="AV170" s="18">
        <f t="shared" ca="1" si="69"/>
        <v>1</v>
      </c>
      <c r="AW170" s="18" t="str">
        <f t="shared" ca="1" si="60"/>
        <v/>
      </c>
      <c r="AX170" s="18" t="str" cm="1">
        <f t="array" aca="1" ref="AX170" ca="1">IF(AW170="","",IF(AW170&lt;&gt;AW169,1,IF(AX169=misLíneas-2,0,AX169+1)))</f>
        <v/>
      </c>
      <c r="AY170" s="18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18">
        <f t="shared" ca="1" si="70"/>
        <v>1</v>
      </c>
      <c r="D171" s="18" t="str">
        <f t="shared" ca="1" si="71"/>
        <v/>
      </c>
      <c r="E171" s="18" t="str" cm="1">
        <f t="array" aca="1" ref="E171" ca="1">IF(D171="","",IF(D171&lt;&gt;D170,1,IF(E170=misLíneas-2,0,E170+1)))</f>
        <v/>
      </c>
      <c r="F171" s="18" t="str" cm="1">
        <f t="array" aca="1" ref="F171" ca="1">IF(OR(E171=0,E171=""),"",INDEX(misCriticidades,D171)&amp;"-"&amp;IFERROR(MATCH(E171,miOrdenTarjeta,0),0))</f>
        <v/>
      </c>
      <c r="H171" s="18">
        <f t="shared" ca="1" si="61"/>
        <v>1</v>
      </c>
      <c r="I171" s="18" t="str">
        <f t="shared" ca="1" si="72"/>
        <v/>
      </c>
      <c r="J171" s="18" t="str" cm="1">
        <f t="array" aca="1" ref="J171" ca="1">IF(I171="","",IF(I171&lt;&gt;I170,1,IF(J170=misLíneas-2,0,J170+1)))</f>
        <v/>
      </c>
      <c r="K171" s="18" t="str" cm="1">
        <f t="array" aca="1" ref="K171" ca="1">IF(OR(J171=0,J171=""),"",INDEX(misCriticidades,I171)&amp;"-"&amp;IFERROR(MATCH(J171,miOrdenTarjeta,0),0))</f>
        <v/>
      </c>
      <c r="M171" s="18">
        <f t="shared" ca="1" si="62"/>
        <v>1</v>
      </c>
      <c r="N171" s="18" t="str">
        <f t="shared" ca="1" si="73"/>
        <v/>
      </c>
      <c r="O171" s="18" t="str" cm="1">
        <f t="array" aca="1" ref="O171" ca="1">IF(N171="","",IF(N171&lt;&gt;N170,1,IF(O170=misLíneas-2,0,O170+1)))</f>
        <v/>
      </c>
      <c r="P171" s="18" t="str" cm="1">
        <f t="array" aca="1" ref="P171" ca="1">IF(OR(O171=0,O171=""),"",INDEX(misCriticidades,N171)&amp;"-"&amp;IFERROR(MATCH(O171,miOrdenTarjeta,0),0))</f>
        <v/>
      </c>
      <c r="R171" s="18">
        <f t="shared" ca="1" si="63"/>
        <v>19</v>
      </c>
      <c r="S171" s="18">
        <f t="shared" ca="1" si="74"/>
        <v>12</v>
      </c>
      <c r="T171" s="18" cm="1">
        <f t="array" aca="1" ref="T171" ca="1">IF(S171="","",IF(S171&lt;&gt;S170,1,IF(T170=misLíneas-2,0,T170+1)))</f>
        <v>7</v>
      </c>
      <c r="U171" s="18" t="str" cm="1">
        <f t="array" aca="1" ref="U171" ca="1">IF(OR(T171=0,T171=""),"",INDEX(misCriticidades,S171)&amp;"-"&amp;IFERROR(MATCH(T171,miOrdenTarjeta,0),0))</f>
        <v>3-7</v>
      </c>
      <c r="W171" s="18">
        <f t="shared" ca="1" si="64"/>
        <v>1</v>
      </c>
      <c r="X171" s="18" t="str">
        <f t="shared" ca="1" si="75"/>
        <v/>
      </c>
      <c r="Y171" s="18" t="str" cm="1">
        <f t="array" aca="1" ref="Y171" ca="1">IF(X171="","",IF(X171&lt;&gt;X170,1,IF(Y170=misLíneas-2,0,Y170+1)))</f>
        <v/>
      </c>
      <c r="Z171" s="18" t="str" cm="1">
        <f t="array" aca="1" ref="Z171" ca="1">IF(OR(Y171=0,Y171=""),"",INDEX(misCriticidades,X171)&amp;"-"&amp;IFERROR(MATCH(Y171,miOrdenTarjeta,0),0))</f>
        <v/>
      </c>
      <c r="AB171" s="18">
        <f t="shared" ca="1" si="65"/>
        <v>1</v>
      </c>
      <c r="AC171" s="18" t="str">
        <f t="shared" ca="1" si="56"/>
        <v/>
      </c>
      <c r="AD171" s="18" t="str" cm="1">
        <f t="array" aca="1" ref="AD171" ca="1">IF(AC171="","",IF(AC171&lt;&gt;AC170,1,IF(AD170=misLíneas-2,0,AD170+1)))</f>
        <v/>
      </c>
      <c r="AE171" s="18" t="str" cm="1">
        <f t="array" aca="1" ref="AE171" ca="1">IF(OR(AD171=0,AD171=""),"",INDEX(misCriticidades,AC171)&amp;"-"&amp;IFERROR(MATCH(AD171,miOrdenTarjeta,0),0))</f>
        <v/>
      </c>
      <c r="AG171" s="18">
        <f t="shared" ca="1" si="66"/>
        <v>1</v>
      </c>
      <c r="AH171" s="18" t="str">
        <f t="shared" ca="1" si="57"/>
        <v/>
      </c>
      <c r="AI171" s="18" t="str" cm="1">
        <f t="array" aca="1" ref="AI171" ca="1">IF(AH171="","",IF(AH171&lt;&gt;AH170,1,IF(AI170=misLíneas-2,0,AI170+1)))</f>
        <v/>
      </c>
      <c r="AJ171" s="18" t="str" cm="1">
        <f t="array" aca="1" ref="AJ171" ca="1">IF(OR(AI171=0,AI171=""),"",INDEX(misCriticidades,AH171)&amp;"-"&amp;IFERROR(MATCH(AI171,miOrdenTarjeta,0),0))</f>
        <v/>
      </c>
      <c r="AL171" s="18">
        <f t="shared" ca="1" si="67"/>
        <v>1</v>
      </c>
      <c r="AM171" s="18" t="str">
        <f t="shared" ca="1" si="58"/>
        <v/>
      </c>
      <c r="AN171" s="18" t="str" cm="1">
        <f t="array" aca="1" ref="AN171" ca="1">IF(AM171="","",IF(AM171&lt;&gt;AM170,1,IF(AN170=misLíneas-2,0,AN170+1)))</f>
        <v/>
      </c>
      <c r="AO171" s="18" t="str" cm="1">
        <f t="array" aca="1" ref="AO171" ca="1">IF(OR(AN171=0,AN171=""),"",INDEX(misCriticidades,AM171)&amp;"-"&amp;IFERROR(MATCH(AN171,miOrdenTarjeta,0),0))</f>
        <v/>
      </c>
      <c r="AQ171" s="18">
        <f t="shared" ca="1" si="68"/>
        <v>1</v>
      </c>
      <c r="AR171" s="18" t="str">
        <f t="shared" ca="1" si="59"/>
        <v/>
      </c>
      <c r="AS171" s="18" t="str" cm="1">
        <f t="array" aca="1" ref="AS171" ca="1">IF(AR171="","",IF(AR171&lt;&gt;AR170,1,IF(AS170=misLíneas-2,0,AS170+1)))</f>
        <v/>
      </c>
      <c r="AT171" s="18" t="str" cm="1">
        <f t="array" aca="1" ref="AT171" ca="1">IF(OR(AS171=0,AS171=""),"",INDEX(misCriticidades,AR171)&amp;"-"&amp;IFERROR(MATCH(AS171,miOrdenTarjeta,0),0))</f>
        <v/>
      </c>
      <c r="AV171" s="18">
        <f t="shared" ca="1" si="69"/>
        <v>1</v>
      </c>
      <c r="AW171" s="18" t="str">
        <f t="shared" ca="1" si="60"/>
        <v/>
      </c>
      <c r="AX171" s="18" t="str" cm="1">
        <f t="array" aca="1" ref="AX171" ca="1">IF(AW171="","",IF(AW171&lt;&gt;AW170,1,IF(AX170=misLíneas-2,0,AX170+1)))</f>
        <v/>
      </c>
      <c r="AY171" s="18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18">
        <f t="shared" ca="1" si="70"/>
        <v>1</v>
      </c>
      <c r="D172" s="18" t="str">
        <f t="shared" ca="1" si="71"/>
        <v/>
      </c>
      <c r="E172" s="18" t="str" cm="1">
        <f t="array" aca="1" ref="E172" ca="1">IF(D172="","",IF(D172&lt;&gt;D171,1,IF(E171=misLíneas-2,0,E171+1)))</f>
        <v/>
      </c>
      <c r="F172" s="18" t="str" cm="1">
        <f t="array" aca="1" ref="F172" ca="1">IF(OR(E172=0,E172=""),"",INDEX(misCriticidades,D172)&amp;"-"&amp;IFERROR(MATCH(E172,miOrdenTarjeta,0),0))</f>
        <v/>
      </c>
      <c r="H172" s="18">
        <f t="shared" ca="1" si="61"/>
        <v>1</v>
      </c>
      <c r="I172" s="18" t="str">
        <f t="shared" ca="1" si="72"/>
        <v/>
      </c>
      <c r="J172" s="18" t="str" cm="1">
        <f t="array" aca="1" ref="J172" ca="1">IF(I172="","",IF(I172&lt;&gt;I171,1,IF(J171=misLíneas-2,0,J171+1)))</f>
        <v/>
      </c>
      <c r="K172" s="18" t="str" cm="1">
        <f t="array" aca="1" ref="K172" ca="1">IF(OR(J172=0,J172=""),"",INDEX(misCriticidades,I172)&amp;"-"&amp;IFERROR(MATCH(J172,miOrdenTarjeta,0),0))</f>
        <v/>
      </c>
      <c r="M172" s="18">
        <f t="shared" ca="1" si="62"/>
        <v>1</v>
      </c>
      <c r="N172" s="18" t="str">
        <f t="shared" ca="1" si="73"/>
        <v/>
      </c>
      <c r="O172" s="18" t="str" cm="1">
        <f t="array" aca="1" ref="O172" ca="1">IF(N172="","",IF(N172&lt;&gt;N171,1,IF(O171=misLíneas-2,0,O171+1)))</f>
        <v/>
      </c>
      <c r="P172" s="18" t="str" cm="1">
        <f t="array" aca="1" ref="P172" ca="1">IF(OR(O172=0,O172=""),"",INDEX(misCriticidades,N172)&amp;"-"&amp;IFERROR(MATCH(O172,miOrdenTarjeta,0),0))</f>
        <v/>
      </c>
      <c r="R172" s="18">
        <f t="shared" ca="1" si="63"/>
        <v>19</v>
      </c>
      <c r="S172" s="18">
        <f t="shared" ca="1" si="74"/>
        <v>12</v>
      </c>
      <c r="T172" s="18" cm="1">
        <f t="array" aca="1" ref="T172" ca="1">IF(S172="","",IF(S172&lt;&gt;S171,1,IF(T171=misLíneas-2,0,T171+1)))</f>
        <v>8</v>
      </c>
      <c r="U172" s="18" t="str" cm="1">
        <f t="array" aca="1" ref="U172" ca="1">IF(OR(T172=0,T172=""),"",INDEX(misCriticidades,S172)&amp;"-"&amp;IFERROR(MATCH(T172,miOrdenTarjeta,0),0))</f>
        <v>3-8</v>
      </c>
      <c r="W172" s="18">
        <f t="shared" ca="1" si="64"/>
        <v>1</v>
      </c>
      <c r="X172" s="18" t="str">
        <f t="shared" ca="1" si="75"/>
        <v/>
      </c>
      <c r="Y172" s="18" t="str" cm="1">
        <f t="array" aca="1" ref="Y172" ca="1">IF(X172="","",IF(X172&lt;&gt;X171,1,IF(Y171=misLíneas-2,0,Y171+1)))</f>
        <v/>
      </c>
      <c r="Z172" s="18" t="str" cm="1">
        <f t="array" aca="1" ref="Z172" ca="1">IF(OR(Y172=0,Y172=""),"",INDEX(misCriticidades,X172)&amp;"-"&amp;IFERROR(MATCH(Y172,miOrdenTarjeta,0),0))</f>
        <v/>
      </c>
      <c r="AB172" s="18">
        <f t="shared" ca="1" si="65"/>
        <v>1</v>
      </c>
      <c r="AC172" s="18" t="str">
        <f t="shared" ca="1" si="56"/>
        <v/>
      </c>
      <c r="AD172" s="18" t="str" cm="1">
        <f t="array" aca="1" ref="AD172" ca="1">IF(AC172="","",IF(AC172&lt;&gt;AC171,1,IF(AD171=misLíneas-2,0,AD171+1)))</f>
        <v/>
      </c>
      <c r="AE172" s="18" t="str" cm="1">
        <f t="array" aca="1" ref="AE172" ca="1">IF(OR(AD172=0,AD172=""),"",INDEX(misCriticidades,AC172)&amp;"-"&amp;IFERROR(MATCH(AD172,miOrdenTarjeta,0),0))</f>
        <v/>
      </c>
      <c r="AG172" s="18">
        <f t="shared" ca="1" si="66"/>
        <v>1</v>
      </c>
      <c r="AH172" s="18" t="str">
        <f t="shared" ca="1" si="57"/>
        <v/>
      </c>
      <c r="AI172" s="18" t="str" cm="1">
        <f t="array" aca="1" ref="AI172" ca="1">IF(AH172="","",IF(AH172&lt;&gt;AH171,1,IF(AI171=misLíneas-2,0,AI171+1)))</f>
        <v/>
      </c>
      <c r="AJ172" s="18" t="str" cm="1">
        <f t="array" aca="1" ref="AJ172" ca="1">IF(OR(AI172=0,AI172=""),"",INDEX(misCriticidades,AH172)&amp;"-"&amp;IFERROR(MATCH(AI172,miOrdenTarjeta,0),0))</f>
        <v/>
      </c>
      <c r="AL172" s="18">
        <f t="shared" ca="1" si="67"/>
        <v>1</v>
      </c>
      <c r="AM172" s="18" t="str">
        <f t="shared" ca="1" si="58"/>
        <v/>
      </c>
      <c r="AN172" s="18" t="str" cm="1">
        <f t="array" aca="1" ref="AN172" ca="1">IF(AM172="","",IF(AM172&lt;&gt;AM171,1,IF(AN171=misLíneas-2,0,AN171+1)))</f>
        <v/>
      </c>
      <c r="AO172" s="18" t="str" cm="1">
        <f t="array" aca="1" ref="AO172" ca="1">IF(OR(AN172=0,AN172=""),"",INDEX(misCriticidades,AM172)&amp;"-"&amp;IFERROR(MATCH(AN172,miOrdenTarjeta,0),0))</f>
        <v/>
      </c>
      <c r="AQ172" s="18">
        <f t="shared" ca="1" si="68"/>
        <v>1</v>
      </c>
      <c r="AR172" s="18" t="str">
        <f t="shared" ca="1" si="59"/>
        <v/>
      </c>
      <c r="AS172" s="18" t="str" cm="1">
        <f t="array" aca="1" ref="AS172" ca="1">IF(AR172="","",IF(AR172&lt;&gt;AR171,1,IF(AS171=misLíneas-2,0,AS171+1)))</f>
        <v/>
      </c>
      <c r="AT172" s="18" t="str" cm="1">
        <f t="array" aca="1" ref="AT172" ca="1">IF(OR(AS172=0,AS172=""),"",INDEX(misCriticidades,AR172)&amp;"-"&amp;IFERROR(MATCH(AS172,miOrdenTarjeta,0),0))</f>
        <v/>
      </c>
      <c r="AV172" s="18">
        <f t="shared" ca="1" si="69"/>
        <v>1</v>
      </c>
      <c r="AW172" s="18" t="str">
        <f t="shared" ca="1" si="60"/>
        <v/>
      </c>
      <c r="AX172" s="18" t="str" cm="1">
        <f t="array" aca="1" ref="AX172" ca="1">IF(AW172="","",IF(AW172&lt;&gt;AW171,1,IF(AX171=misLíneas-2,0,AX171+1)))</f>
        <v/>
      </c>
      <c r="AY172" s="18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18">
        <f t="shared" ca="1" si="70"/>
        <v>1</v>
      </c>
      <c r="D173" s="18" t="str">
        <f t="shared" ca="1" si="71"/>
        <v/>
      </c>
      <c r="E173" s="18" t="str" cm="1">
        <f t="array" aca="1" ref="E173" ca="1">IF(D173="","",IF(D173&lt;&gt;D172,1,IF(E172=misLíneas-2,0,E172+1)))</f>
        <v/>
      </c>
      <c r="F173" s="18" t="str" cm="1">
        <f t="array" aca="1" ref="F173" ca="1">IF(OR(E173=0,E173=""),"",INDEX(misCriticidades,D173)&amp;"-"&amp;IFERROR(MATCH(E173,miOrdenTarjeta,0),0))</f>
        <v/>
      </c>
      <c r="H173" s="18">
        <f t="shared" ca="1" si="61"/>
        <v>1</v>
      </c>
      <c r="I173" s="18" t="str">
        <f t="shared" ca="1" si="72"/>
        <v/>
      </c>
      <c r="J173" s="18" t="str" cm="1">
        <f t="array" aca="1" ref="J173" ca="1">IF(I173="","",IF(I173&lt;&gt;I172,1,IF(J172=misLíneas-2,0,J172+1)))</f>
        <v/>
      </c>
      <c r="K173" s="18" t="str" cm="1">
        <f t="array" aca="1" ref="K173" ca="1">IF(OR(J173=0,J173=""),"",INDEX(misCriticidades,I173)&amp;"-"&amp;IFERROR(MATCH(J173,miOrdenTarjeta,0),0))</f>
        <v/>
      </c>
      <c r="M173" s="18">
        <f t="shared" ca="1" si="62"/>
        <v>1</v>
      </c>
      <c r="N173" s="18" t="str">
        <f t="shared" ca="1" si="73"/>
        <v/>
      </c>
      <c r="O173" s="18" t="str" cm="1">
        <f t="array" aca="1" ref="O173" ca="1">IF(N173="","",IF(N173&lt;&gt;N172,1,IF(O172=misLíneas-2,0,O172+1)))</f>
        <v/>
      </c>
      <c r="P173" s="18" t="str" cm="1">
        <f t="array" aca="1" ref="P173" ca="1">IF(OR(O173=0,O173=""),"",INDEX(misCriticidades,N173)&amp;"-"&amp;IFERROR(MATCH(O173,miOrdenTarjeta,0),0))</f>
        <v/>
      </c>
      <c r="R173" s="18">
        <f t="shared" ca="1" si="63"/>
        <v>19</v>
      </c>
      <c r="S173" s="18">
        <f t="shared" ca="1" si="74"/>
        <v>12</v>
      </c>
      <c r="T173" s="18" cm="1">
        <f t="array" aca="1" ref="T173" ca="1">IF(S173="","",IF(S173&lt;&gt;S172,1,IF(T172=misLíneas-2,0,T172+1)))</f>
        <v>0</v>
      </c>
      <c r="U173" s="18" t="str" cm="1">
        <f t="array" aca="1" ref="U173" ca="1">IF(OR(T173=0,T173=""),"",INDEX(misCriticidades,S173)&amp;"-"&amp;IFERROR(MATCH(T173,miOrdenTarjeta,0),0))</f>
        <v/>
      </c>
      <c r="W173" s="18">
        <f t="shared" ca="1" si="64"/>
        <v>1</v>
      </c>
      <c r="X173" s="18" t="str">
        <f t="shared" ca="1" si="75"/>
        <v/>
      </c>
      <c r="Y173" s="18" t="str" cm="1">
        <f t="array" aca="1" ref="Y173" ca="1">IF(X173="","",IF(X173&lt;&gt;X172,1,IF(Y172=misLíneas-2,0,Y172+1)))</f>
        <v/>
      </c>
      <c r="Z173" s="18" t="str" cm="1">
        <f t="array" aca="1" ref="Z173" ca="1">IF(OR(Y173=0,Y173=""),"",INDEX(misCriticidades,X173)&amp;"-"&amp;IFERROR(MATCH(Y173,miOrdenTarjeta,0),0))</f>
        <v/>
      </c>
      <c r="AB173" s="18">
        <f t="shared" ca="1" si="65"/>
        <v>1</v>
      </c>
      <c r="AC173" s="18" t="str">
        <f t="shared" ca="1" si="56"/>
        <v/>
      </c>
      <c r="AD173" s="18" t="str" cm="1">
        <f t="array" aca="1" ref="AD173" ca="1">IF(AC173="","",IF(AC173&lt;&gt;AC172,1,IF(AD172=misLíneas-2,0,AD172+1)))</f>
        <v/>
      </c>
      <c r="AE173" s="18" t="str" cm="1">
        <f t="array" aca="1" ref="AE173" ca="1">IF(OR(AD173=0,AD173=""),"",INDEX(misCriticidades,AC173)&amp;"-"&amp;IFERROR(MATCH(AD173,miOrdenTarjeta,0),0))</f>
        <v/>
      </c>
      <c r="AG173" s="18">
        <f t="shared" ca="1" si="66"/>
        <v>1</v>
      </c>
      <c r="AH173" s="18" t="str">
        <f t="shared" ca="1" si="57"/>
        <v/>
      </c>
      <c r="AI173" s="18" t="str" cm="1">
        <f t="array" aca="1" ref="AI173" ca="1">IF(AH173="","",IF(AH173&lt;&gt;AH172,1,IF(AI172=misLíneas-2,0,AI172+1)))</f>
        <v/>
      </c>
      <c r="AJ173" s="18" t="str" cm="1">
        <f t="array" aca="1" ref="AJ173" ca="1">IF(OR(AI173=0,AI173=""),"",INDEX(misCriticidades,AH173)&amp;"-"&amp;IFERROR(MATCH(AI173,miOrdenTarjeta,0),0))</f>
        <v/>
      </c>
      <c r="AL173" s="18">
        <f t="shared" ca="1" si="67"/>
        <v>1</v>
      </c>
      <c r="AM173" s="18" t="str">
        <f t="shared" ca="1" si="58"/>
        <v/>
      </c>
      <c r="AN173" s="18" t="str" cm="1">
        <f t="array" aca="1" ref="AN173" ca="1">IF(AM173="","",IF(AM173&lt;&gt;AM172,1,IF(AN172=misLíneas-2,0,AN172+1)))</f>
        <v/>
      </c>
      <c r="AO173" s="18" t="str" cm="1">
        <f t="array" aca="1" ref="AO173" ca="1">IF(OR(AN173=0,AN173=""),"",INDEX(misCriticidades,AM173)&amp;"-"&amp;IFERROR(MATCH(AN173,miOrdenTarjeta,0),0))</f>
        <v/>
      </c>
      <c r="AQ173" s="18">
        <f t="shared" ca="1" si="68"/>
        <v>1</v>
      </c>
      <c r="AR173" s="18" t="str">
        <f t="shared" ca="1" si="59"/>
        <v/>
      </c>
      <c r="AS173" s="18" t="str" cm="1">
        <f t="array" aca="1" ref="AS173" ca="1">IF(AR173="","",IF(AR173&lt;&gt;AR172,1,IF(AS172=misLíneas-2,0,AS172+1)))</f>
        <v/>
      </c>
      <c r="AT173" s="18" t="str" cm="1">
        <f t="array" aca="1" ref="AT173" ca="1">IF(OR(AS173=0,AS173=""),"",INDEX(misCriticidades,AR173)&amp;"-"&amp;IFERROR(MATCH(AS173,miOrdenTarjeta,0),0))</f>
        <v/>
      </c>
      <c r="AV173" s="18">
        <f t="shared" ca="1" si="69"/>
        <v>1</v>
      </c>
      <c r="AW173" s="18" t="str">
        <f t="shared" ca="1" si="60"/>
        <v/>
      </c>
      <c r="AX173" s="18" t="str" cm="1">
        <f t="array" aca="1" ref="AX173" ca="1">IF(AW173="","",IF(AW173&lt;&gt;AW172,1,IF(AX172=misLíneas-2,0,AX172+1)))</f>
        <v/>
      </c>
      <c r="AY173" s="18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18">
        <f t="shared" ca="1" si="70"/>
        <v>1</v>
      </c>
      <c r="D174" s="18" t="str">
        <f t="shared" ca="1" si="71"/>
        <v/>
      </c>
      <c r="E174" s="18" t="str" cm="1">
        <f t="array" aca="1" ref="E174" ca="1">IF(D174="","",IF(D174&lt;&gt;D173,1,IF(E173=misLíneas-2,0,E173+1)))</f>
        <v/>
      </c>
      <c r="F174" s="18" t="str" cm="1">
        <f t="array" aca="1" ref="F174" ca="1">IF(OR(E174=0,E174=""),"",INDEX(misCriticidades,D174)&amp;"-"&amp;IFERROR(MATCH(E174,miOrdenTarjeta,0),0))</f>
        <v/>
      </c>
      <c r="H174" s="18">
        <f t="shared" ca="1" si="61"/>
        <v>1</v>
      </c>
      <c r="I174" s="18" t="str">
        <f t="shared" ca="1" si="72"/>
        <v/>
      </c>
      <c r="J174" s="18" t="str" cm="1">
        <f t="array" aca="1" ref="J174" ca="1">IF(I174="","",IF(I174&lt;&gt;I173,1,IF(J173=misLíneas-2,0,J173+1)))</f>
        <v/>
      </c>
      <c r="K174" s="18" t="str" cm="1">
        <f t="array" aca="1" ref="K174" ca="1">IF(OR(J174=0,J174=""),"",INDEX(misCriticidades,I174)&amp;"-"&amp;IFERROR(MATCH(J174,miOrdenTarjeta,0),0))</f>
        <v/>
      </c>
      <c r="M174" s="18">
        <f t="shared" ca="1" si="62"/>
        <v>1</v>
      </c>
      <c r="N174" s="18" t="str">
        <f t="shared" ca="1" si="73"/>
        <v/>
      </c>
      <c r="O174" s="18" t="str" cm="1">
        <f t="array" aca="1" ref="O174" ca="1">IF(N174="","",IF(N174&lt;&gt;N173,1,IF(O173=misLíneas-2,0,O173+1)))</f>
        <v/>
      </c>
      <c r="P174" s="18" t="str" cm="1">
        <f t="array" aca="1" ref="P174" ca="1">IF(OR(O174=0,O174=""),"",INDEX(misCriticidades,N174)&amp;"-"&amp;IFERROR(MATCH(O174,miOrdenTarjeta,0),0))</f>
        <v/>
      </c>
      <c r="R174" s="18">
        <f t="shared" ca="1" si="63"/>
        <v>20</v>
      </c>
      <c r="S174" s="18">
        <f t="shared" ca="1" si="74"/>
        <v>11</v>
      </c>
      <c r="T174" s="18" cm="1">
        <f t="array" aca="1" ref="T174" ca="1">IF(S174="","",IF(S174&lt;&gt;S173,1,IF(T173=misLíneas-2,0,T173+1)))</f>
        <v>1</v>
      </c>
      <c r="U174" s="18" t="str" cm="1">
        <f t="array" aca="1" ref="U174" ca="1">IF(OR(T174=0,T174=""),"",INDEX(misCriticidades,S174)&amp;"-"&amp;IFERROR(MATCH(T174,miOrdenTarjeta,0),0))</f>
        <v>2-1</v>
      </c>
      <c r="W174" s="18">
        <f t="shared" ca="1" si="64"/>
        <v>1</v>
      </c>
      <c r="X174" s="18" t="str">
        <f t="shared" ca="1" si="75"/>
        <v/>
      </c>
      <c r="Y174" s="18" t="str" cm="1">
        <f t="array" aca="1" ref="Y174" ca="1">IF(X174="","",IF(X174&lt;&gt;X173,1,IF(Y173=misLíneas-2,0,Y173+1)))</f>
        <v/>
      </c>
      <c r="Z174" s="18" t="str" cm="1">
        <f t="array" aca="1" ref="Z174" ca="1">IF(OR(Y174=0,Y174=""),"",INDEX(misCriticidades,X174)&amp;"-"&amp;IFERROR(MATCH(Y174,miOrdenTarjeta,0),0))</f>
        <v/>
      </c>
      <c r="AB174" s="18">
        <f t="shared" ca="1" si="65"/>
        <v>1</v>
      </c>
      <c r="AC174" s="18" t="str">
        <f t="shared" ca="1" si="56"/>
        <v/>
      </c>
      <c r="AD174" s="18" t="str" cm="1">
        <f t="array" aca="1" ref="AD174" ca="1">IF(AC174="","",IF(AC174&lt;&gt;AC173,1,IF(AD173=misLíneas-2,0,AD173+1)))</f>
        <v/>
      </c>
      <c r="AE174" s="18" t="str" cm="1">
        <f t="array" aca="1" ref="AE174" ca="1">IF(OR(AD174=0,AD174=""),"",INDEX(misCriticidades,AC174)&amp;"-"&amp;IFERROR(MATCH(AD174,miOrdenTarjeta,0),0))</f>
        <v/>
      </c>
      <c r="AG174" s="18">
        <f t="shared" ca="1" si="66"/>
        <v>1</v>
      </c>
      <c r="AH174" s="18" t="str">
        <f t="shared" ca="1" si="57"/>
        <v/>
      </c>
      <c r="AI174" s="18" t="str" cm="1">
        <f t="array" aca="1" ref="AI174" ca="1">IF(AH174="","",IF(AH174&lt;&gt;AH173,1,IF(AI173=misLíneas-2,0,AI173+1)))</f>
        <v/>
      </c>
      <c r="AJ174" s="18" t="str" cm="1">
        <f t="array" aca="1" ref="AJ174" ca="1">IF(OR(AI174=0,AI174=""),"",INDEX(misCriticidades,AH174)&amp;"-"&amp;IFERROR(MATCH(AI174,miOrdenTarjeta,0),0))</f>
        <v/>
      </c>
      <c r="AL174" s="18">
        <f t="shared" ca="1" si="67"/>
        <v>1</v>
      </c>
      <c r="AM174" s="18" t="str">
        <f t="shared" ca="1" si="58"/>
        <v/>
      </c>
      <c r="AN174" s="18" t="str" cm="1">
        <f t="array" aca="1" ref="AN174" ca="1">IF(AM174="","",IF(AM174&lt;&gt;AM173,1,IF(AN173=misLíneas-2,0,AN173+1)))</f>
        <v/>
      </c>
      <c r="AO174" s="18" t="str" cm="1">
        <f t="array" aca="1" ref="AO174" ca="1">IF(OR(AN174=0,AN174=""),"",INDEX(misCriticidades,AM174)&amp;"-"&amp;IFERROR(MATCH(AN174,miOrdenTarjeta,0),0))</f>
        <v/>
      </c>
      <c r="AQ174" s="18">
        <f t="shared" ca="1" si="68"/>
        <v>1</v>
      </c>
      <c r="AR174" s="18" t="str">
        <f t="shared" ca="1" si="59"/>
        <v/>
      </c>
      <c r="AS174" s="18" t="str" cm="1">
        <f t="array" aca="1" ref="AS174" ca="1">IF(AR174="","",IF(AR174&lt;&gt;AR173,1,IF(AS173=misLíneas-2,0,AS173+1)))</f>
        <v/>
      </c>
      <c r="AT174" s="18" t="str" cm="1">
        <f t="array" aca="1" ref="AT174" ca="1">IF(OR(AS174=0,AS174=""),"",INDEX(misCriticidades,AR174)&amp;"-"&amp;IFERROR(MATCH(AS174,miOrdenTarjeta,0),0))</f>
        <v/>
      </c>
      <c r="AV174" s="18">
        <f t="shared" ca="1" si="69"/>
        <v>1</v>
      </c>
      <c r="AW174" s="18" t="str">
        <f t="shared" ca="1" si="60"/>
        <v/>
      </c>
      <c r="AX174" s="18" t="str" cm="1">
        <f t="array" aca="1" ref="AX174" ca="1">IF(AW174="","",IF(AW174&lt;&gt;AW173,1,IF(AX173=misLíneas-2,0,AX173+1)))</f>
        <v/>
      </c>
      <c r="AY174" s="18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18">
        <f t="shared" ca="1" si="70"/>
        <v>1</v>
      </c>
      <c r="D175" s="18" t="str">
        <f t="shared" ca="1" si="71"/>
        <v/>
      </c>
      <c r="E175" s="18" t="str" cm="1">
        <f t="array" aca="1" ref="E175" ca="1">IF(D175="","",IF(D175&lt;&gt;D174,1,IF(E174=misLíneas-2,0,E174+1)))</f>
        <v/>
      </c>
      <c r="F175" s="18" t="str" cm="1">
        <f t="array" aca="1" ref="F175" ca="1">IF(OR(E175=0,E175=""),"",INDEX(misCriticidades,D175)&amp;"-"&amp;IFERROR(MATCH(E175,miOrdenTarjeta,0),0))</f>
        <v/>
      </c>
      <c r="H175" s="18">
        <f t="shared" ca="1" si="61"/>
        <v>1</v>
      </c>
      <c r="I175" s="18" t="str">
        <f t="shared" ca="1" si="72"/>
        <v/>
      </c>
      <c r="J175" s="18" t="str" cm="1">
        <f t="array" aca="1" ref="J175" ca="1">IF(I175="","",IF(I175&lt;&gt;I174,1,IF(J174=misLíneas-2,0,J174+1)))</f>
        <v/>
      </c>
      <c r="K175" s="18" t="str" cm="1">
        <f t="array" aca="1" ref="K175" ca="1">IF(OR(J175=0,J175=""),"",INDEX(misCriticidades,I175)&amp;"-"&amp;IFERROR(MATCH(J175,miOrdenTarjeta,0),0))</f>
        <v/>
      </c>
      <c r="M175" s="18">
        <f t="shared" ca="1" si="62"/>
        <v>1</v>
      </c>
      <c r="N175" s="18" t="str">
        <f t="shared" ca="1" si="73"/>
        <v/>
      </c>
      <c r="O175" s="18" t="str" cm="1">
        <f t="array" aca="1" ref="O175" ca="1">IF(N175="","",IF(N175&lt;&gt;N174,1,IF(O174=misLíneas-2,0,O174+1)))</f>
        <v/>
      </c>
      <c r="P175" s="18" t="str" cm="1">
        <f t="array" aca="1" ref="P175" ca="1">IF(OR(O175=0,O175=""),"",INDEX(misCriticidades,N175)&amp;"-"&amp;IFERROR(MATCH(O175,miOrdenTarjeta,0),0))</f>
        <v/>
      </c>
      <c r="R175" s="18">
        <f t="shared" ca="1" si="63"/>
        <v>20</v>
      </c>
      <c r="S175" s="18">
        <f t="shared" ca="1" si="74"/>
        <v>11</v>
      </c>
      <c r="T175" s="18" cm="1">
        <f t="array" aca="1" ref="T175" ca="1">IF(S175="","",IF(S175&lt;&gt;S174,1,IF(T174=misLíneas-2,0,T174+1)))</f>
        <v>2</v>
      </c>
      <c r="U175" s="18" t="str" cm="1">
        <f t="array" aca="1" ref="U175" ca="1">IF(OR(T175=0,T175=""),"",INDEX(misCriticidades,S175)&amp;"-"&amp;IFERROR(MATCH(T175,miOrdenTarjeta,0),0))</f>
        <v>2-2</v>
      </c>
      <c r="W175" s="18">
        <f t="shared" ca="1" si="64"/>
        <v>1</v>
      </c>
      <c r="X175" s="18" t="str">
        <f t="shared" ca="1" si="75"/>
        <v/>
      </c>
      <c r="Y175" s="18" t="str" cm="1">
        <f t="array" aca="1" ref="Y175" ca="1">IF(X175="","",IF(X175&lt;&gt;X174,1,IF(Y174=misLíneas-2,0,Y174+1)))</f>
        <v/>
      </c>
      <c r="Z175" s="18" t="str" cm="1">
        <f t="array" aca="1" ref="Z175" ca="1">IF(OR(Y175=0,Y175=""),"",INDEX(misCriticidades,X175)&amp;"-"&amp;IFERROR(MATCH(Y175,miOrdenTarjeta,0),0))</f>
        <v/>
      </c>
      <c r="AB175" s="18">
        <f t="shared" ca="1" si="65"/>
        <v>1</v>
      </c>
      <c r="AC175" s="18" t="str">
        <f t="shared" ca="1" si="56"/>
        <v/>
      </c>
      <c r="AD175" s="18" t="str" cm="1">
        <f t="array" aca="1" ref="AD175" ca="1">IF(AC175="","",IF(AC175&lt;&gt;AC174,1,IF(AD174=misLíneas-2,0,AD174+1)))</f>
        <v/>
      </c>
      <c r="AE175" s="18" t="str" cm="1">
        <f t="array" aca="1" ref="AE175" ca="1">IF(OR(AD175=0,AD175=""),"",INDEX(misCriticidades,AC175)&amp;"-"&amp;IFERROR(MATCH(AD175,miOrdenTarjeta,0),0))</f>
        <v/>
      </c>
      <c r="AG175" s="18">
        <f t="shared" ca="1" si="66"/>
        <v>1</v>
      </c>
      <c r="AH175" s="18" t="str">
        <f t="shared" ca="1" si="57"/>
        <v/>
      </c>
      <c r="AI175" s="18" t="str" cm="1">
        <f t="array" aca="1" ref="AI175" ca="1">IF(AH175="","",IF(AH175&lt;&gt;AH174,1,IF(AI174=misLíneas-2,0,AI174+1)))</f>
        <v/>
      </c>
      <c r="AJ175" s="18" t="str" cm="1">
        <f t="array" aca="1" ref="AJ175" ca="1">IF(OR(AI175=0,AI175=""),"",INDEX(misCriticidades,AH175)&amp;"-"&amp;IFERROR(MATCH(AI175,miOrdenTarjeta,0),0))</f>
        <v/>
      </c>
      <c r="AL175" s="18">
        <f t="shared" ca="1" si="67"/>
        <v>1</v>
      </c>
      <c r="AM175" s="18" t="str">
        <f t="shared" ca="1" si="58"/>
        <v/>
      </c>
      <c r="AN175" s="18" t="str" cm="1">
        <f t="array" aca="1" ref="AN175" ca="1">IF(AM175="","",IF(AM175&lt;&gt;AM174,1,IF(AN174=misLíneas-2,0,AN174+1)))</f>
        <v/>
      </c>
      <c r="AO175" s="18" t="str" cm="1">
        <f t="array" aca="1" ref="AO175" ca="1">IF(OR(AN175=0,AN175=""),"",INDEX(misCriticidades,AM175)&amp;"-"&amp;IFERROR(MATCH(AN175,miOrdenTarjeta,0),0))</f>
        <v/>
      </c>
      <c r="AQ175" s="18">
        <f t="shared" ca="1" si="68"/>
        <v>1</v>
      </c>
      <c r="AR175" s="18" t="str">
        <f t="shared" ca="1" si="59"/>
        <v/>
      </c>
      <c r="AS175" s="18" t="str" cm="1">
        <f t="array" aca="1" ref="AS175" ca="1">IF(AR175="","",IF(AR175&lt;&gt;AR174,1,IF(AS174=misLíneas-2,0,AS174+1)))</f>
        <v/>
      </c>
      <c r="AT175" s="18" t="str" cm="1">
        <f t="array" aca="1" ref="AT175" ca="1">IF(OR(AS175=0,AS175=""),"",INDEX(misCriticidades,AR175)&amp;"-"&amp;IFERROR(MATCH(AS175,miOrdenTarjeta,0),0))</f>
        <v/>
      </c>
      <c r="AV175" s="18">
        <f t="shared" ca="1" si="69"/>
        <v>1</v>
      </c>
      <c r="AW175" s="18" t="str">
        <f t="shared" ca="1" si="60"/>
        <v/>
      </c>
      <c r="AX175" s="18" t="str" cm="1">
        <f t="array" aca="1" ref="AX175" ca="1">IF(AW175="","",IF(AW175&lt;&gt;AW174,1,IF(AX174=misLíneas-2,0,AX174+1)))</f>
        <v/>
      </c>
      <c r="AY175" s="18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18">
        <f t="shared" ca="1" si="70"/>
        <v>1</v>
      </c>
      <c r="D176" s="18" t="str">
        <f t="shared" ca="1" si="71"/>
        <v/>
      </c>
      <c r="E176" s="18" t="str" cm="1">
        <f t="array" aca="1" ref="E176" ca="1">IF(D176="","",IF(D176&lt;&gt;D175,1,IF(E175=misLíneas-2,0,E175+1)))</f>
        <v/>
      </c>
      <c r="F176" s="18" t="str" cm="1">
        <f t="array" aca="1" ref="F176" ca="1">IF(OR(E176=0,E176=""),"",INDEX(misCriticidades,D176)&amp;"-"&amp;IFERROR(MATCH(E176,miOrdenTarjeta,0),0))</f>
        <v/>
      </c>
      <c r="H176" s="18">
        <f t="shared" ca="1" si="61"/>
        <v>1</v>
      </c>
      <c r="I176" s="18" t="str">
        <f t="shared" ca="1" si="72"/>
        <v/>
      </c>
      <c r="J176" s="18" t="str" cm="1">
        <f t="array" aca="1" ref="J176" ca="1">IF(I176="","",IF(I176&lt;&gt;I175,1,IF(J175=misLíneas-2,0,J175+1)))</f>
        <v/>
      </c>
      <c r="K176" s="18" t="str" cm="1">
        <f t="array" aca="1" ref="K176" ca="1">IF(OR(J176=0,J176=""),"",INDEX(misCriticidades,I176)&amp;"-"&amp;IFERROR(MATCH(J176,miOrdenTarjeta,0),0))</f>
        <v/>
      </c>
      <c r="M176" s="18">
        <f t="shared" ca="1" si="62"/>
        <v>1</v>
      </c>
      <c r="N176" s="18" t="str">
        <f t="shared" ca="1" si="73"/>
        <v/>
      </c>
      <c r="O176" s="18" t="str" cm="1">
        <f t="array" aca="1" ref="O176" ca="1">IF(N176="","",IF(N176&lt;&gt;N175,1,IF(O175=misLíneas-2,0,O175+1)))</f>
        <v/>
      </c>
      <c r="P176" s="18" t="str" cm="1">
        <f t="array" aca="1" ref="P176" ca="1">IF(OR(O176=0,O176=""),"",INDEX(misCriticidades,N176)&amp;"-"&amp;IFERROR(MATCH(O176,miOrdenTarjeta,0),0))</f>
        <v/>
      </c>
      <c r="R176" s="18">
        <f t="shared" ca="1" si="63"/>
        <v>20</v>
      </c>
      <c r="S176" s="18">
        <f t="shared" ca="1" si="74"/>
        <v>11</v>
      </c>
      <c r="T176" s="18" cm="1">
        <f t="array" aca="1" ref="T176" ca="1">IF(S176="","",IF(S176&lt;&gt;S175,1,IF(T175=misLíneas-2,0,T175+1)))</f>
        <v>3</v>
      </c>
      <c r="U176" s="18" t="str" cm="1">
        <f t="array" aca="1" ref="U176" ca="1">IF(OR(T176=0,T176=""),"",INDEX(misCriticidades,S176)&amp;"-"&amp;IFERROR(MATCH(T176,miOrdenTarjeta,0),0))</f>
        <v>2-3</v>
      </c>
      <c r="W176" s="18">
        <f t="shared" ca="1" si="64"/>
        <v>1</v>
      </c>
      <c r="X176" s="18" t="str">
        <f t="shared" ca="1" si="75"/>
        <v/>
      </c>
      <c r="Y176" s="18" t="str" cm="1">
        <f t="array" aca="1" ref="Y176" ca="1">IF(X176="","",IF(X176&lt;&gt;X175,1,IF(Y175=misLíneas-2,0,Y175+1)))</f>
        <v/>
      </c>
      <c r="Z176" s="18" t="str" cm="1">
        <f t="array" aca="1" ref="Z176" ca="1">IF(OR(Y176=0,Y176=""),"",INDEX(misCriticidades,X176)&amp;"-"&amp;IFERROR(MATCH(Y176,miOrdenTarjeta,0),0))</f>
        <v/>
      </c>
      <c r="AB176" s="18">
        <f t="shared" ca="1" si="65"/>
        <v>1</v>
      </c>
      <c r="AC176" s="18" t="str">
        <f t="shared" ca="1" si="56"/>
        <v/>
      </c>
      <c r="AD176" s="18" t="str" cm="1">
        <f t="array" aca="1" ref="AD176" ca="1">IF(AC176="","",IF(AC176&lt;&gt;AC175,1,IF(AD175=misLíneas-2,0,AD175+1)))</f>
        <v/>
      </c>
      <c r="AE176" s="18" t="str" cm="1">
        <f t="array" aca="1" ref="AE176" ca="1">IF(OR(AD176=0,AD176=""),"",INDEX(misCriticidades,AC176)&amp;"-"&amp;IFERROR(MATCH(AD176,miOrdenTarjeta,0),0))</f>
        <v/>
      </c>
      <c r="AG176" s="18">
        <f t="shared" ca="1" si="66"/>
        <v>1</v>
      </c>
      <c r="AH176" s="18" t="str">
        <f t="shared" ca="1" si="57"/>
        <v/>
      </c>
      <c r="AI176" s="18" t="str" cm="1">
        <f t="array" aca="1" ref="AI176" ca="1">IF(AH176="","",IF(AH176&lt;&gt;AH175,1,IF(AI175=misLíneas-2,0,AI175+1)))</f>
        <v/>
      </c>
      <c r="AJ176" s="18" t="str" cm="1">
        <f t="array" aca="1" ref="AJ176" ca="1">IF(OR(AI176=0,AI176=""),"",INDEX(misCriticidades,AH176)&amp;"-"&amp;IFERROR(MATCH(AI176,miOrdenTarjeta,0),0))</f>
        <v/>
      </c>
      <c r="AL176" s="18">
        <f t="shared" ca="1" si="67"/>
        <v>1</v>
      </c>
      <c r="AM176" s="18" t="str">
        <f t="shared" ca="1" si="58"/>
        <v/>
      </c>
      <c r="AN176" s="18" t="str" cm="1">
        <f t="array" aca="1" ref="AN176" ca="1">IF(AM176="","",IF(AM176&lt;&gt;AM175,1,IF(AN175=misLíneas-2,0,AN175+1)))</f>
        <v/>
      </c>
      <c r="AO176" s="18" t="str" cm="1">
        <f t="array" aca="1" ref="AO176" ca="1">IF(OR(AN176=0,AN176=""),"",INDEX(misCriticidades,AM176)&amp;"-"&amp;IFERROR(MATCH(AN176,miOrdenTarjeta,0),0))</f>
        <v/>
      </c>
      <c r="AQ176" s="18">
        <f t="shared" ca="1" si="68"/>
        <v>1</v>
      </c>
      <c r="AR176" s="18" t="str">
        <f t="shared" ca="1" si="59"/>
        <v/>
      </c>
      <c r="AS176" s="18" t="str" cm="1">
        <f t="array" aca="1" ref="AS176" ca="1">IF(AR176="","",IF(AR176&lt;&gt;AR175,1,IF(AS175=misLíneas-2,0,AS175+1)))</f>
        <v/>
      </c>
      <c r="AT176" s="18" t="str" cm="1">
        <f t="array" aca="1" ref="AT176" ca="1">IF(OR(AS176=0,AS176=""),"",INDEX(misCriticidades,AR176)&amp;"-"&amp;IFERROR(MATCH(AS176,miOrdenTarjeta,0),0))</f>
        <v/>
      </c>
      <c r="AV176" s="18">
        <f t="shared" ca="1" si="69"/>
        <v>1</v>
      </c>
      <c r="AW176" s="18" t="str">
        <f t="shared" ca="1" si="60"/>
        <v/>
      </c>
      <c r="AX176" s="18" t="str" cm="1">
        <f t="array" aca="1" ref="AX176" ca="1">IF(AW176="","",IF(AW176&lt;&gt;AW175,1,IF(AX175=misLíneas-2,0,AX175+1)))</f>
        <v/>
      </c>
      <c r="AY176" s="18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18">
        <f t="shared" ca="1" si="70"/>
        <v>1</v>
      </c>
      <c r="D177" s="18" t="str">
        <f t="shared" ca="1" si="71"/>
        <v/>
      </c>
      <c r="E177" s="18" t="str" cm="1">
        <f t="array" aca="1" ref="E177" ca="1">IF(D177="","",IF(D177&lt;&gt;D176,1,IF(E176=misLíneas-2,0,E176+1)))</f>
        <v/>
      </c>
      <c r="F177" s="18" t="str" cm="1">
        <f t="array" aca="1" ref="F177" ca="1">IF(OR(E177=0,E177=""),"",INDEX(misCriticidades,D177)&amp;"-"&amp;IFERROR(MATCH(E177,miOrdenTarjeta,0),0))</f>
        <v/>
      </c>
      <c r="H177" s="18">
        <f t="shared" ca="1" si="61"/>
        <v>1</v>
      </c>
      <c r="I177" s="18" t="str">
        <f t="shared" ca="1" si="72"/>
        <v/>
      </c>
      <c r="J177" s="18" t="str" cm="1">
        <f t="array" aca="1" ref="J177" ca="1">IF(I177="","",IF(I177&lt;&gt;I176,1,IF(J176=misLíneas-2,0,J176+1)))</f>
        <v/>
      </c>
      <c r="K177" s="18" t="str" cm="1">
        <f t="array" aca="1" ref="K177" ca="1">IF(OR(J177=0,J177=""),"",INDEX(misCriticidades,I177)&amp;"-"&amp;IFERROR(MATCH(J177,miOrdenTarjeta,0),0))</f>
        <v/>
      </c>
      <c r="M177" s="18">
        <f t="shared" ca="1" si="62"/>
        <v>1</v>
      </c>
      <c r="N177" s="18" t="str">
        <f t="shared" ca="1" si="73"/>
        <v/>
      </c>
      <c r="O177" s="18" t="str" cm="1">
        <f t="array" aca="1" ref="O177" ca="1">IF(N177="","",IF(N177&lt;&gt;N176,1,IF(O176=misLíneas-2,0,O176+1)))</f>
        <v/>
      </c>
      <c r="P177" s="18" t="str" cm="1">
        <f t="array" aca="1" ref="P177" ca="1">IF(OR(O177=0,O177=""),"",INDEX(misCriticidades,N177)&amp;"-"&amp;IFERROR(MATCH(O177,miOrdenTarjeta,0),0))</f>
        <v/>
      </c>
      <c r="R177" s="18">
        <f t="shared" ca="1" si="63"/>
        <v>20</v>
      </c>
      <c r="S177" s="18">
        <f t="shared" ca="1" si="74"/>
        <v>11</v>
      </c>
      <c r="T177" s="18" cm="1">
        <f t="array" aca="1" ref="T177" ca="1">IF(S177="","",IF(S177&lt;&gt;S176,1,IF(T176=misLíneas-2,0,T176+1)))</f>
        <v>4</v>
      </c>
      <c r="U177" s="18" t="str" cm="1">
        <f t="array" aca="1" ref="U177" ca="1">IF(OR(T177=0,T177=""),"",INDEX(misCriticidades,S177)&amp;"-"&amp;IFERROR(MATCH(T177,miOrdenTarjeta,0),0))</f>
        <v>2-4</v>
      </c>
      <c r="W177" s="18">
        <f t="shared" ca="1" si="64"/>
        <v>1</v>
      </c>
      <c r="X177" s="18" t="str">
        <f t="shared" ca="1" si="75"/>
        <v/>
      </c>
      <c r="Y177" s="18" t="str" cm="1">
        <f t="array" aca="1" ref="Y177" ca="1">IF(X177="","",IF(X177&lt;&gt;X176,1,IF(Y176=misLíneas-2,0,Y176+1)))</f>
        <v/>
      </c>
      <c r="Z177" s="18" t="str" cm="1">
        <f t="array" aca="1" ref="Z177" ca="1">IF(OR(Y177=0,Y177=""),"",INDEX(misCriticidades,X177)&amp;"-"&amp;IFERROR(MATCH(Y177,miOrdenTarjeta,0),0))</f>
        <v/>
      </c>
      <c r="AB177" s="18">
        <f t="shared" ca="1" si="65"/>
        <v>1</v>
      </c>
      <c r="AC177" s="18" t="str">
        <f t="shared" ca="1" si="56"/>
        <v/>
      </c>
      <c r="AD177" s="18" t="str" cm="1">
        <f t="array" aca="1" ref="AD177" ca="1">IF(AC177="","",IF(AC177&lt;&gt;AC176,1,IF(AD176=misLíneas-2,0,AD176+1)))</f>
        <v/>
      </c>
      <c r="AE177" s="18" t="str" cm="1">
        <f t="array" aca="1" ref="AE177" ca="1">IF(OR(AD177=0,AD177=""),"",INDEX(misCriticidades,AC177)&amp;"-"&amp;IFERROR(MATCH(AD177,miOrdenTarjeta,0),0))</f>
        <v/>
      </c>
      <c r="AG177" s="18">
        <f t="shared" ca="1" si="66"/>
        <v>1</v>
      </c>
      <c r="AH177" s="18" t="str">
        <f t="shared" ca="1" si="57"/>
        <v/>
      </c>
      <c r="AI177" s="18" t="str" cm="1">
        <f t="array" aca="1" ref="AI177" ca="1">IF(AH177="","",IF(AH177&lt;&gt;AH176,1,IF(AI176=misLíneas-2,0,AI176+1)))</f>
        <v/>
      </c>
      <c r="AJ177" s="18" t="str" cm="1">
        <f t="array" aca="1" ref="AJ177" ca="1">IF(OR(AI177=0,AI177=""),"",INDEX(misCriticidades,AH177)&amp;"-"&amp;IFERROR(MATCH(AI177,miOrdenTarjeta,0),0))</f>
        <v/>
      </c>
      <c r="AL177" s="18">
        <f t="shared" ca="1" si="67"/>
        <v>1</v>
      </c>
      <c r="AM177" s="18" t="str">
        <f t="shared" ca="1" si="58"/>
        <v/>
      </c>
      <c r="AN177" s="18" t="str" cm="1">
        <f t="array" aca="1" ref="AN177" ca="1">IF(AM177="","",IF(AM177&lt;&gt;AM176,1,IF(AN176=misLíneas-2,0,AN176+1)))</f>
        <v/>
      </c>
      <c r="AO177" s="18" t="str" cm="1">
        <f t="array" aca="1" ref="AO177" ca="1">IF(OR(AN177=0,AN177=""),"",INDEX(misCriticidades,AM177)&amp;"-"&amp;IFERROR(MATCH(AN177,miOrdenTarjeta,0),0))</f>
        <v/>
      </c>
      <c r="AQ177" s="18">
        <f t="shared" ca="1" si="68"/>
        <v>1</v>
      </c>
      <c r="AR177" s="18" t="str">
        <f t="shared" ca="1" si="59"/>
        <v/>
      </c>
      <c r="AS177" s="18" t="str" cm="1">
        <f t="array" aca="1" ref="AS177" ca="1">IF(AR177="","",IF(AR177&lt;&gt;AR176,1,IF(AS176=misLíneas-2,0,AS176+1)))</f>
        <v/>
      </c>
      <c r="AT177" s="18" t="str" cm="1">
        <f t="array" aca="1" ref="AT177" ca="1">IF(OR(AS177=0,AS177=""),"",INDEX(misCriticidades,AR177)&amp;"-"&amp;IFERROR(MATCH(AS177,miOrdenTarjeta,0),0))</f>
        <v/>
      </c>
      <c r="AV177" s="18">
        <f t="shared" ca="1" si="69"/>
        <v>1</v>
      </c>
      <c r="AW177" s="18" t="str">
        <f t="shared" ca="1" si="60"/>
        <v/>
      </c>
      <c r="AX177" s="18" t="str" cm="1">
        <f t="array" aca="1" ref="AX177" ca="1">IF(AW177="","",IF(AW177&lt;&gt;AW176,1,IF(AX176=misLíneas-2,0,AX176+1)))</f>
        <v/>
      </c>
      <c r="AY177" s="18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18">
        <f t="shared" ca="1" si="70"/>
        <v>1</v>
      </c>
      <c r="D178" s="18" t="str">
        <f t="shared" ca="1" si="71"/>
        <v/>
      </c>
      <c r="E178" s="18" t="str" cm="1">
        <f t="array" aca="1" ref="E178" ca="1">IF(D178="","",IF(D178&lt;&gt;D177,1,IF(E177=misLíneas-2,0,E177+1)))</f>
        <v/>
      </c>
      <c r="F178" s="18" t="str" cm="1">
        <f t="array" aca="1" ref="F178" ca="1">IF(OR(E178=0,E178=""),"",INDEX(misCriticidades,D178)&amp;"-"&amp;IFERROR(MATCH(E178,miOrdenTarjeta,0),0))</f>
        <v/>
      </c>
      <c r="H178" s="18">
        <f t="shared" ca="1" si="61"/>
        <v>1</v>
      </c>
      <c r="I178" s="18" t="str">
        <f t="shared" ca="1" si="72"/>
        <v/>
      </c>
      <c r="J178" s="18" t="str" cm="1">
        <f t="array" aca="1" ref="J178" ca="1">IF(I178="","",IF(I178&lt;&gt;I177,1,IF(J177=misLíneas-2,0,J177+1)))</f>
        <v/>
      </c>
      <c r="K178" s="18" t="str" cm="1">
        <f t="array" aca="1" ref="K178" ca="1">IF(OR(J178=0,J178=""),"",INDEX(misCriticidades,I178)&amp;"-"&amp;IFERROR(MATCH(J178,miOrdenTarjeta,0),0))</f>
        <v/>
      </c>
      <c r="M178" s="18">
        <f t="shared" ca="1" si="62"/>
        <v>1</v>
      </c>
      <c r="N178" s="18" t="str">
        <f t="shared" ca="1" si="73"/>
        <v/>
      </c>
      <c r="O178" s="18" t="str" cm="1">
        <f t="array" aca="1" ref="O178" ca="1">IF(N178="","",IF(N178&lt;&gt;N177,1,IF(O177=misLíneas-2,0,O177+1)))</f>
        <v/>
      </c>
      <c r="P178" s="18" t="str" cm="1">
        <f t="array" aca="1" ref="P178" ca="1">IF(OR(O178=0,O178=""),"",INDEX(misCriticidades,N178)&amp;"-"&amp;IFERROR(MATCH(O178,miOrdenTarjeta,0),0))</f>
        <v/>
      </c>
      <c r="R178" s="18">
        <f t="shared" ca="1" si="63"/>
        <v>20</v>
      </c>
      <c r="S178" s="18">
        <f t="shared" ca="1" si="74"/>
        <v>11</v>
      </c>
      <c r="T178" s="18" cm="1">
        <f t="array" aca="1" ref="T178" ca="1">IF(S178="","",IF(S178&lt;&gt;S177,1,IF(T177=misLíneas-2,0,T177+1)))</f>
        <v>5</v>
      </c>
      <c r="U178" s="18" t="str" cm="1">
        <f t="array" aca="1" ref="U178" ca="1">IF(OR(T178=0,T178=""),"",INDEX(misCriticidades,S178)&amp;"-"&amp;IFERROR(MATCH(T178,miOrdenTarjeta,0),0))</f>
        <v>2-5</v>
      </c>
      <c r="W178" s="18">
        <f t="shared" ca="1" si="64"/>
        <v>1</v>
      </c>
      <c r="X178" s="18" t="str">
        <f t="shared" ca="1" si="75"/>
        <v/>
      </c>
      <c r="Y178" s="18" t="str" cm="1">
        <f t="array" aca="1" ref="Y178" ca="1">IF(X178="","",IF(X178&lt;&gt;X177,1,IF(Y177=misLíneas-2,0,Y177+1)))</f>
        <v/>
      </c>
      <c r="Z178" s="18" t="str" cm="1">
        <f t="array" aca="1" ref="Z178" ca="1">IF(OR(Y178=0,Y178=""),"",INDEX(misCriticidades,X178)&amp;"-"&amp;IFERROR(MATCH(Y178,miOrdenTarjeta,0),0))</f>
        <v/>
      </c>
      <c r="AB178" s="18">
        <f t="shared" ca="1" si="65"/>
        <v>1</v>
      </c>
      <c r="AC178" s="18" t="str">
        <f t="shared" ca="1" si="56"/>
        <v/>
      </c>
      <c r="AD178" s="18" t="str" cm="1">
        <f t="array" aca="1" ref="AD178" ca="1">IF(AC178="","",IF(AC178&lt;&gt;AC177,1,IF(AD177=misLíneas-2,0,AD177+1)))</f>
        <v/>
      </c>
      <c r="AE178" s="18" t="str" cm="1">
        <f t="array" aca="1" ref="AE178" ca="1">IF(OR(AD178=0,AD178=""),"",INDEX(misCriticidades,AC178)&amp;"-"&amp;IFERROR(MATCH(AD178,miOrdenTarjeta,0),0))</f>
        <v/>
      </c>
      <c r="AG178" s="18">
        <f t="shared" ca="1" si="66"/>
        <v>1</v>
      </c>
      <c r="AH178" s="18" t="str">
        <f t="shared" ca="1" si="57"/>
        <v/>
      </c>
      <c r="AI178" s="18" t="str" cm="1">
        <f t="array" aca="1" ref="AI178" ca="1">IF(AH178="","",IF(AH178&lt;&gt;AH177,1,IF(AI177=misLíneas-2,0,AI177+1)))</f>
        <v/>
      </c>
      <c r="AJ178" s="18" t="str" cm="1">
        <f t="array" aca="1" ref="AJ178" ca="1">IF(OR(AI178=0,AI178=""),"",INDEX(misCriticidades,AH178)&amp;"-"&amp;IFERROR(MATCH(AI178,miOrdenTarjeta,0),0))</f>
        <v/>
      </c>
      <c r="AL178" s="18">
        <f t="shared" ca="1" si="67"/>
        <v>1</v>
      </c>
      <c r="AM178" s="18" t="str">
        <f t="shared" ca="1" si="58"/>
        <v/>
      </c>
      <c r="AN178" s="18" t="str" cm="1">
        <f t="array" aca="1" ref="AN178" ca="1">IF(AM178="","",IF(AM178&lt;&gt;AM177,1,IF(AN177=misLíneas-2,0,AN177+1)))</f>
        <v/>
      </c>
      <c r="AO178" s="18" t="str" cm="1">
        <f t="array" aca="1" ref="AO178" ca="1">IF(OR(AN178=0,AN178=""),"",INDEX(misCriticidades,AM178)&amp;"-"&amp;IFERROR(MATCH(AN178,miOrdenTarjeta,0),0))</f>
        <v/>
      </c>
      <c r="AQ178" s="18">
        <f t="shared" ca="1" si="68"/>
        <v>1</v>
      </c>
      <c r="AR178" s="18" t="str">
        <f t="shared" ca="1" si="59"/>
        <v/>
      </c>
      <c r="AS178" s="18" t="str" cm="1">
        <f t="array" aca="1" ref="AS178" ca="1">IF(AR178="","",IF(AR178&lt;&gt;AR177,1,IF(AS177=misLíneas-2,0,AS177+1)))</f>
        <v/>
      </c>
      <c r="AT178" s="18" t="str" cm="1">
        <f t="array" aca="1" ref="AT178" ca="1">IF(OR(AS178=0,AS178=""),"",INDEX(misCriticidades,AR178)&amp;"-"&amp;IFERROR(MATCH(AS178,miOrdenTarjeta,0),0))</f>
        <v/>
      </c>
      <c r="AV178" s="18">
        <f t="shared" ca="1" si="69"/>
        <v>1</v>
      </c>
      <c r="AW178" s="18" t="str">
        <f t="shared" ca="1" si="60"/>
        <v/>
      </c>
      <c r="AX178" s="18" t="str" cm="1">
        <f t="array" aca="1" ref="AX178" ca="1">IF(AW178="","",IF(AW178&lt;&gt;AW177,1,IF(AX177=misLíneas-2,0,AX177+1)))</f>
        <v/>
      </c>
      <c r="AY178" s="18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18">
        <f t="shared" ca="1" si="70"/>
        <v>1</v>
      </c>
      <c r="D179" s="18" t="str">
        <f t="shared" ca="1" si="71"/>
        <v/>
      </c>
      <c r="E179" s="18" t="str" cm="1">
        <f t="array" aca="1" ref="E179" ca="1">IF(D179="","",IF(D179&lt;&gt;D178,1,IF(E178=misLíneas-2,0,E178+1)))</f>
        <v/>
      </c>
      <c r="F179" s="18" t="str" cm="1">
        <f t="array" aca="1" ref="F179" ca="1">IF(OR(E179=0,E179=""),"",INDEX(misCriticidades,D179)&amp;"-"&amp;IFERROR(MATCH(E179,miOrdenTarjeta,0),0))</f>
        <v/>
      </c>
      <c r="H179" s="18">
        <f t="shared" ca="1" si="61"/>
        <v>1</v>
      </c>
      <c r="I179" s="18" t="str">
        <f t="shared" ca="1" si="72"/>
        <v/>
      </c>
      <c r="J179" s="18" t="str" cm="1">
        <f t="array" aca="1" ref="J179" ca="1">IF(I179="","",IF(I179&lt;&gt;I178,1,IF(J178=misLíneas-2,0,J178+1)))</f>
        <v/>
      </c>
      <c r="K179" s="18" t="str" cm="1">
        <f t="array" aca="1" ref="K179" ca="1">IF(OR(J179=0,J179=""),"",INDEX(misCriticidades,I179)&amp;"-"&amp;IFERROR(MATCH(J179,miOrdenTarjeta,0),0))</f>
        <v/>
      </c>
      <c r="M179" s="18">
        <f t="shared" ca="1" si="62"/>
        <v>1</v>
      </c>
      <c r="N179" s="18" t="str">
        <f t="shared" ca="1" si="73"/>
        <v/>
      </c>
      <c r="O179" s="18" t="str" cm="1">
        <f t="array" aca="1" ref="O179" ca="1">IF(N179="","",IF(N179&lt;&gt;N178,1,IF(O178=misLíneas-2,0,O178+1)))</f>
        <v/>
      </c>
      <c r="P179" s="18" t="str" cm="1">
        <f t="array" aca="1" ref="P179" ca="1">IF(OR(O179=0,O179=""),"",INDEX(misCriticidades,N179)&amp;"-"&amp;IFERROR(MATCH(O179,miOrdenTarjeta,0),0))</f>
        <v/>
      </c>
      <c r="R179" s="18">
        <f t="shared" ca="1" si="63"/>
        <v>20</v>
      </c>
      <c r="S179" s="18">
        <f t="shared" ca="1" si="74"/>
        <v>11</v>
      </c>
      <c r="T179" s="18" cm="1">
        <f t="array" aca="1" ref="T179" ca="1">IF(S179="","",IF(S179&lt;&gt;S178,1,IF(T178=misLíneas-2,0,T178+1)))</f>
        <v>6</v>
      </c>
      <c r="U179" s="18" t="str" cm="1">
        <f t="array" aca="1" ref="U179" ca="1">IF(OR(T179=0,T179=""),"",INDEX(misCriticidades,S179)&amp;"-"&amp;IFERROR(MATCH(T179,miOrdenTarjeta,0),0))</f>
        <v>2-6</v>
      </c>
      <c r="W179" s="18">
        <f t="shared" ca="1" si="64"/>
        <v>1</v>
      </c>
      <c r="X179" s="18" t="str">
        <f t="shared" ca="1" si="75"/>
        <v/>
      </c>
      <c r="Y179" s="18" t="str" cm="1">
        <f t="array" aca="1" ref="Y179" ca="1">IF(X179="","",IF(X179&lt;&gt;X178,1,IF(Y178=misLíneas-2,0,Y178+1)))</f>
        <v/>
      </c>
      <c r="Z179" s="18" t="str" cm="1">
        <f t="array" aca="1" ref="Z179" ca="1">IF(OR(Y179=0,Y179=""),"",INDEX(misCriticidades,X179)&amp;"-"&amp;IFERROR(MATCH(Y179,miOrdenTarjeta,0),0))</f>
        <v/>
      </c>
      <c r="AB179" s="18">
        <f t="shared" ca="1" si="65"/>
        <v>1</v>
      </c>
      <c r="AC179" s="18" t="str">
        <f t="shared" ca="1" si="56"/>
        <v/>
      </c>
      <c r="AD179" s="18" t="str" cm="1">
        <f t="array" aca="1" ref="AD179" ca="1">IF(AC179="","",IF(AC179&lt;&gt;AC178,1,IF(AD178=misLíneas-2,0,AD178+1)))</f>
        <v/>
      </c>
      <c r="AE179" s="18" t="str" cm="1">
        <f t="array" aca="1" ref="AE179" ca="1">IF(OR(AD179=0,AD179=""),"",INDEX(misCriticidades,AC179)&amp;"-"&amp;IFERROR(MATCH(AD179,miOrdenTarjeta,0),0))</f>
        <v/>
      </c>
      <c r="AG179" s="18">
        <f t="shared" ca="1" si="66"/>
        <v>1</v>
      </c>
      <c r="AH179" s="18" t="str">
        <f t="shared" ca="1" si="57"/>
        <v/>
      </c>
      <c r="AI179" s="18" t="str" cm="1">
        <f t="array" aca="1" ref="AI179" ca="1">IF(AH179="","",IF(AH179&lt;&gt;AH178,1,IF(AI178=misLíneas-2,0,AI178+1)))</f>
        <v/>
      </c>
      <c r="AJ179" s="18" t="str" cm="1">
        <f t="array" aca="1" ref="AJ179" ca="1">IF(OR(AI179=0,AI179=""),"",INDEX(misCriticidades,AH179)&amp;"-"&amp;IFERROR(MATCH(AI179,miOrdenTarjeta,0),0))</f>
        <v/>
      </c>
      <c r="AL179" s="18">
        <f t="shared" ca="1" si="67"/>
        <v>1</v>
      </c>
      <c r="AM179" s="18" t="str">
        <f t="shared" ca="1" si="58"/>
        <v/>
      </c>
      <c r="AN179" s="18" t="str" cm="1">
        <f t="array" aca="1" ref="AN179" ca="1">IF(AM179="","",IF(AM179&lt;&gt;AM178,1,IF(AN178=misLíneas-2,0,AN178+1)))</f>
        <v/>
      </c>
      <c r="AO179" s="18" t="str" cm="1">
        <f t="array" aca="1" ref="AO179" ca="1">IF(OR(AN179=0,AN179=""),"",INDEX(misCriticidades,AM179)&amp;"-"&amp;IFERROR(MATCH(AN179,miOrdenTarjeta,0),0))</f>
        <v/>
      </c>
      <c r="AQ179" s="18">
        <f t="shared" ca="1" si="68"/>
        <v>1</v>
      </c>
      <c r="AR179" s="18" t="str">
        <f t="shared" ca="1" si="59"/>
        <v/>
      </c>
      <c r="AS179" s="18" t="str" cm="1">
        <f t="array" aca="1" ref="AS179" ca="1">IF(AR179="","",IF(AR179&lt;&gt;AR178,1,IF(AS178=misLíneas-2,0,AS178+1)))</f>
        <v/>
      </c>
      <c r="AT179" s="18" t="str" cm="1">
        <f t="array" aca="1" ref="AT179" ca="1">IF(OR(AS179=0,AS179=""),"",INDEX(misCriticidades,AR179)&amp;"-"&amp;IFERROR(MATCH(AS179,miOrdenTarjeta,0),0))</f>
        <v/>
      </c>
      <c r="AV179" s="18">
        <f t="shared" ca="1" si="69"/>
        <v>1</v>
      </c>
      <c r="AW179" s="18" t="str">
        <f t="shared" ca="1" si="60"/>
        <v/>
      </c>
      <c r="AX179" s="18" t="str" cm="1">
        <f t="array" aca="1" ref="AX179" ca="1">IF(AW179="","",IF(AW179&lt;&gt;AW178,1,IF(AX178=misLíneas-2,0,AX178+1)))</f>
        <v/>
      </c>
      <c r="AY179" s="18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18">
        <f t="shared" ca="1" si="70"/>
        <v>1</v>
      </c>
      <c r="D180" s="18" t="str">
        <f t="shared" ca="1" si="71"/>
        <v/>
      </c>
      <c r="E180" s="18" t="str" cm="1">
        <f t="array" aca="1" ref="E180" ca="1">IF(D180="","",IF(D180&lt;&gt;D179,1,IF(E179=misLíneas-2,0,E179+1)))</f>
        <v/>
      </c>
      <c r="F180" s="18" t="str" cm="1">
        <f t="array" aca="1" ref="F180" ca="1">IF(OR(E180=0,E180=""),"",INDEX(misCriticidades,D180)&amp;"-"&amp;IFERROR(MATCH(E180,miOrdenTarjeta,0),0))</f>
        <v/>
      </c>
      <c r="H180" s="18">
        <f t="shared" ca="1" si="61"/>
        <v>1</v>
      </c>
      <c r="I180" s="18" t="str">
        <f t="shared" ca="1" si="72"/>
        <v/>
      </c>
      <c r="J180" s="18" t="str" cm="1">
        <f t="array" aca="1" ref="J180" ca="1">IF(I180="","",IF(I180&lt;&gt;I179,1,IF(J179=misLíneas-2,0,J179+1)))</f>
        <v/>
      </c>
      <c r="K180" s="18" t="str" cm="1">
        <f t="array" aca="1" ref="K180" ca="1">IF(OR(J180=0,J180=""),"",INDEX(misCriticidades,I180)&amp;"-"&amp;IFERROR(MATCH(J180,miOrdenTarjeta,0),0))</f>
        <v/>
      </c>
      <c r="M180" s="18">
        <f t="shared" ca="1" si="62"/>
        <v>1</v>
      </c>
      <c r="N180" s="18" t="str">
        <f t="shared" ca="1" si="73"/>
        <v/>
      </c>
      <c r="O180" s="18" t="str" cm="1">
        <f t="array" aca="1" ref="O180" ca="1">IF(N180="","",IF(N180&lt;&gt;N179,1,IF(O179=misLíneas-2,0,O179+1)))</f>
        <v/>
      </c>
      <c r="P180" s="18" t="str" cm="1">
        <f t="array" aca="1" ref="P180" ca="1">IF(OR(O180=0,O180=""),"",INDEX(misCriticidades,N180)&amp;"-"&amp;IFERROR(MATCH(O180,miOrdenTarjeta,0),0))</f>
        <v/>
      </c>
      <c r="R180" s="18">
        <f t="shared" ca="1" si="63"/>
        <v>20</v>
      </c>
      <c r="S180" s="18">
        <f t="shared" ca="1" si="74"/>
        <v>11</v>
      </c>
      <c r="T180" s="18" cm="1">
        <f t="array" aca="1" ref="T180" ca="1">IF(S180="","",IF(S180&lt;&gt;S179,1,IF(T179=misLíneas-2,0,T179+1)))</f>
        <v>7</v>
      </c>
      <c r="U180" s="18" t="str" cm="1">
        <f t="array" aca="1" ref="U180" ca="1">IF(OR(T180=0,T180=""),"",INDEX(misCriticidades,S180)&amp;"-"&amp;IFERROR(MATCH(T180,miOrdenTarjeta,0),0))</f>
        <v>2-7</v>
      </c>
      <c r="W180" s="18">
        <f t="shared" ca="1" si="64"/>
        <v>1</v>
      </c>
      <c r="X180" s="18" t="str">
        <f t="shared" ca="1" si="75"/>
        <v/>
      </c>
      <c r="Y180" s="18" t="str" cm="1">
        <f t="array" aca="1" ref="Y180" ca="1">IF(X180="","",IF(X180&lt;&gt;X179,1,IF(Y179=misLíneas-2,0,Y179+1)))</f>
        <v/>
      </c>
      <c r="Z180" s="18" t="str" cm="1">
        <f t="array" aca="1" ref="Z180" ca="1">IF(OR(Y180=0,Y180=""),"",INDEX(misCriticidades,X180)&amp;"-"&amp;IFERROR(MATCH(Y180,miOrdenTarjeta,0),0))</f>
        <v/>
      </c>
      <c r="AB180" s="18">
        <f t="shared" ca="1" si="65"/>
        <v>1</v>
      </c>
      <c r="AC180" s="18" t="str">
        <f t="shared" ca="1" si="56"/>
        <v/>
      </c>
      <c r="AD180" s="18" t="str" cm="1">
        <f t="array" aca="1" ref="AD180" ca="1">IF(AC180="","",IF(AC180&lt;&gt;AC179,1,IF(AD179=misLíneas-2,0,AD179+1)))</f>
        <v/>
      </c>
      <c r="AE180" s="18" t="str" cm="1">
        <f t="array" aca="1" ref="AE180" ca="1">IF(OR(AD180=0,AD180=""),"",INDEX(misCriticidades,AC180)&amp;"-"&amp;IFERROR(MATCH(AD180,miOrdenTarjeta,0),0))</f>
        <v/>
      </c>
      <c r="AG180" s="18">
        <f t="shared" ca="1" si="66"/>
        <v>1</v>
      </c>
      <c r="AH180" s="18" t="str">
        <f t="shared" ca="1" si="57"/>
        <v/>
      </c>
      <c r="AI180" s="18" t="str" cm="1">
        <f t="array" aca="1" ref="AI180" ca="1">IF(AH180="","",IF(AH180&lt;&gt;AH179,1,IF(AI179=misLíneas-2,0,AI179+1)))</f>
        <v/>
      </c>
      <c r="AJ180" s="18" t="str" cm="1">
        <f t="array" aca="1" ref="AJ180" ca="1">IF(OR(AI180=0,AI180=""),"",INDEX(misCriticidades,AH180)&amp;"-"&amp;IFERROR(MATCH(AI180,miOrdenTarjeta,0),0))</f>
        <v/>
      </c>
      <c r="AL180" s="18">
        <f t="shared" ca="1" si="67"/>
        <v>1</v>
      </c>
      <c r="AM180" s="18" t="str">
        <f t="shared" ca="1" si="58"/>
        <v/>
      </c>
      <c r="AN180" s="18" t="str" cm="1">
        <f t="array" aca="1" ref="AN180" ca="1">IF(AM180="","",IF(AM180&lt;&gt;AM179,1,IF(AN179=misLíneas-2,0,AN179+1)))</f>
        <v/>
      </c>
      <c r="AO180" s="18" t="str" cm="1">
        <f t="array" aca="1" ref="AO180" ca="1">IF(OR(AN180=0,AN180=""),"",INDEX(misCriticidades,AM180)&amp;"-"&amp;IFERROR(MATCH(AN180,miOrdenTarjeta,0),0))</f>
        <v/>
      </c>
      <c r="AQ180" s="18">
        <f t="shared" ca="1" si="68"/>
        <v>1</v>
      </c>
      <c r="AR180" s="18" t="str">
        <f t="shared" ca="1" si="59"/>
        <v/>
      </c>
      <c r="AS180" s="18" t="str" cm="1">
        <f t="array" aca="1" ref="AS180" ca="1">IF(AR180="","",IF(AR180&lt;&gt;AR179,1,IF(AS179=misLíneas-2,0,AS179+1)))</f>
        <v/>
      </c>
      <c r="AT180" s="18" t="str" cm="1">
        <f t="array" aca="1" ref="AT180" ca="1">IF(OR(AS180=0,AS180=""),"",INDEX(misCriticidades,AR180)&amp;"-"&amp;IFERROR(MATCH(AS180,miOrdenTarjeta,0),0))</f>
        <v/>
      </c>
      <c r="AV180" s="18">
        <f t="shared" ca="1" si="69"/>
        <v>1</v>
      </c>
      <c r="AW180" s="18" t="str">
        <f t="shared" ca="1" si="60"/>
        <v/>
      </c>
      <c r="AX180" s="18" t="str" cm="1">
        <f t="array" aca="1" ref="AX180" ca="1">IF(AW180="","",IF(AW180&lt;&gt;AW179,1,IF(AX179=misLíneas-2,0,AX179+1)))</f>
        <v/>
      </c>
      <c r="AY180" s="18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18">
        <f t="shared" ca="1" si="70"/>
        <v>1</v>
      </c>
      <c r="D181" s="18" t="str">
        <f t="shared" ca="1" si="71"/>
        <v/>
      </c>
      <c r="E181" s="18" t="str" cm="1">
        <f t="array" aca="1" ref="E181" ca="1">IF(D181="","",IF(D181&lt;&gt;D180,1,IF(E180=misLíneas-2,0,E180+1)))</f>
        <v/>
      </c>
      <c r="F181" s="18" t="str" cm="1">
        <f t="array" aca="1" ref="F181" ca="1">IF(OR(E181=0,E181=""),"",INDEX(misCriticidades,D181)&amp;"-"&amp;IFERROR(MATCH(E181,miOrdenTarjeta,0),0))</f>
        <v/>
      </c>
      <c r="H181" s="18">
        <f t="shared" ca="1" si="61"/>
        <v>1</v>
      </c>
      <c r="I181" s="18" t="str">
        <f t="shared" ca="1" si="72"/>
        <v/>
      </c>
      <c r="J181" s="18" t="str" cm="1">
        <f t="array" aca="1" ref="J181" ca="1">IF(I181="","",IF(I181&lt;&gt;I180,1,IF(J180=misLíneas-2,0,J180+1)))</f>
        <v/>
      </c>
      <c r="K181" s="18" t="str" cm="1">
        <f t="array" aca="1" ref="K181" ca="1">IF(OR(J181=0,J181=""),"",INDEX(misCriticidades,I181)&amp;"-"&amp;IFERROR(MATCH(J181,miOrdenTarjeta,0),0))</f>
        <v/>
      </c>
      <c r="M181" s="18">
        <f t="shared" ca="1" si="62"/>
        <v>1</v>
      </c>
      <c r="N181" s="18" t="str">
        <f t="shared" ca="1" si="73"/>
        <v/>
      </c>
      <c r="O181" s="18" t="str" cm="1">
        <f t="array" aca="1" ref="O181" ca="1">IF(N181="","",IF(N181&lt;&gt;N180,1,IF(O180=misLíneas-2,0,O180+1)))</f>
        <v/>
      </c>
      <c r="P181" s="18" t="str" cm="1">
        <f t="array" aca="1" ref="P181" ca="1">IF(OR(O181=0,O181=""),"",INDEX(misCriticidades,N181)&amp;"-"&amp;IFERROR(MATCH(O181,miOrdenTarjeta,0),0))</f>
        <v/>
      </c>
      <c r="R181" s="18">
        <f t="shared" ca="1" si="63"/>
        <v>20</v>
      </c>
      <c r="S181" s="18">
        <f t="shared" ca="1" si="74"/>
        <v>11</v>
      </c>
      <c r="T181" s="18" cm="1">
        <f t="array" aca="1" ref="T181" ca="1">IF(S181="","",IF(S181&lt;&gt;S180,1,IF(T180=misLíneas-2,0,T180+1)))</f>
        <v>8</v>
      </c>
      <c r="U181" s="18" t="str" cm="1">
        <f t="array" aca="1" ref="U181" ca="1">IF(OR(T181=0,T181=""),"",INDEX(misCriticidades,S181)&amp;"-"&amp;IFERROR(MATCH(T181,miOrdenTarjeta,0),0))</f>
        <v>2-8</v>
      </c>
      <c r="W181" s="18">
        <f t="shared" ca="1" si="64"/>
        <v>1</v>
      </c>
      <c r="X181" s="18" t="str">
        <f t="shared" ca="1" si="75"/>
        <v/>
      </c>
      <c r="Y181" s="18" t="str" cm="1">
        <f t="array" aca="1" ref="Y181" ca="1">IF(X181="","",IF(X181&lt;&gt;X180,1,IF(Y180=misLíneas-2,0,Y180+1)))</f>
        <v/>
      </c>
      <c r="Z181" s="18" t="str" cm="1">
        <f t="array" aca="1" ref="Z181" ca="1">IF(OR(Y181=0,Y181=""),"",INDEX(misCriticidades,X181)&amp;"-"&amp;IFERROR(MATCH(Y181,miOrdenTarjeta,0),0))</f>
        <v/>
      </c>
      <c r="AB181" s="18">
        <f t="shared" ca="1" si="65"/>
        <v>1</v>
      </c>
      <c r="AC181" s="18" t="str">
        <f t="shared" ca="1" si="56"/>
        <v/>
      </c>
      <c r="AD181" s="18" t="str" cm="1">
        <f t="array" aca="1" ref="AD181" ca="1">IF(AC181="","",IF(AC181&lt;&gt;AC180,1,IF(AD180=misLíneas-2,0,AD180+1)))</f>
        <v/>
      </c>
      <c r="AE181" s="18" t="str" cm="1">
        <f t="array" aca="1" ref="AE181" ca="1">IF(OR(AD181=0,AD181=""),"",INDEX(misCriticidades,AC181)&amp;"-"&amp;IFERROR(MATCH(AD181,miOrdenTarjeta,0),0))</f>
        <v/>
      </c>
      <c r="AG181" s="18">
        <f t="shared" ca="1" si="66"/>
        <v>1</v>
      </c>
      <c r="AH181" s="18" t="str">
        <f t="shared" ca="1" si="57"/>
        <v/>
      </c>
      <c r="AI181" s="18" t="str" cm="1">
        <f t="array" aca="1" ref="AI181" ca="1">IF(AH181="","",IF(AH181&lt;&gt;AH180,1,IF(AI180=misLíneas-2,0,AI180+1)))</f>
        <v/>
      </c>
      <c r="AJ181" s="18" t="str" cm="1">
        <f t="array" aca="1" ref="AJ181" ca="1">IF(OR(AI181=0,AI181=""),"",INDEX(misCriticidades,AH181)&amp;"-"&amp;IFERROR(MATCH(AI181,miOrdenTarjeta,0),0))</f>
        <v/>
      </c>
      <c r="AL181" s="18">
        <f t="shared" ca="1" si="67"/>
        <v>1</v>
      </c>
      <c r="AM181" s="18" t="str">
        <f t="shared" ca="1" si="58"/>
        <v/>
      </c>
      <c r="AN181" s="18" t="str" cm="1">
        <f t="array" aca="1" ref="AN181" ca="1">IF(AM181="","",IF(AM181&lt;&gt;AM180,1,IF(AN180=misLíneas-2,0,AN180+1)))</f>
        <v/>
      </c>
      <c r="AO181" s="18" t="str" cm="1">
        <f t="array" aca="1" ref="AO181" ca="1">IF(OR(AN181=0,AN181=""),"",INDEX(misCriticidades,AM181)&amp;"-"&amp;IFERROR(MATCH(AN181,miOrdenTarjeta,0),0))</f>
        <v/>
      </c>
      <c r="AQ181" s="18">
        <f t="shared" ca="1" si="68"/>
        <v>1</v>
      </c>
      <c r="AR181" s="18" t="str">
        <f t="shared" ca="1" si="59"/>
        <v/>
      </c>
      <c r="AS181" s="18" t="str" cm="1">
        <f t="array" aca="1" ref="AS181" ca="1">IF(AR181="","",IF(AR181&lt;&gt;AR180,1,IF(AS180=misLíneas-2,0,AS180+1)))</f>
        <v/>
      </c>
      <c r="AT181" s="18" t="str" cm="1">
        <f t="array" aca="1" ref="AT181" ca="1">IF(OR(AS181=0,AS181=""),"",INDEX(misCriticidades,AR181)&amp;"-"&amp;IFERROR(MATCH(AS181,miOrdenTarjeta,0),0))</f>
        <v/>
      </c>
      <c r="AV181" s="18">
        <f t="shared" ca="1" si="69"/>
        <v>1</v>
      </c>
      <c r="AW181" s="18" t="str">
        <f t="shared" ca="1" si="60"/>
        <v/>
      </c>
      <c r="AX181" s="18" t="str" cm="1">
        <f t="array" aca="1" ref="AX181" ca="1">IF(AW181="","",IF(AW181&lt;&gt;AW180,1,IF(AX180=misLíneas-2,0,AX180+1)))</f>
        <v/>
      </c>
      <c r="AY181" s="18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18">
        <f t="shared" ca="1" si="70"/>
        <v>1</v>
      </c>
      <c r="D182" s="18" t="str">
        <f t="shared" ca="1" si="71"/>
        <v/>
      </c>
      <c r="E182" s="18" t="str" cm="1">
        <f t="array" aca="1" ref="E182" ca="1">IF(D182="","",IF(D182&lt;&gt;D181,1,IF(E181=misLíneas-2,0,E181+1)))</f>
        <v/>
      </c>
      <c r="F182" s="18" t="str" cm="1">
        <f t="array" aca="1" ref="F182" ca="1">IF(OR(E182=0,E182=""),"",INDEX(misCriticidades,D182)&amp;"-"&amp;IFERROR(MATCH(E182,miOrdenTarjeta,0),0))</f>
        <v/>
      </c>
      <c r="H182" s="18">
        <f t="shared" ca="1" si="61"/>
        <v>1</v>
      </c>
      <c r="I182" s="18" t="str">
        <f t="shared" ca="1" si="72"/>
        <v/>
      </c>
      <c r="J182" s="18" t="str" cm="1">
        <f t="array" aca="1" ref="J182" ca="1">IF(I182="","",IF(I182&lt;&gt;I181,1,IF(J181=misLíneas-2,0,J181+1)))</f>
        <v/>
      </c>
      <c r="K182" s="18" t="str" cm="1">
        <f t="array" aca="1" ref="K182" ca="1">IF(OR(J182=0,J182=""),"",INDEX(misCriticidades,I182)&amp;"-"&amp;IFERROR(MATCH(J182,miOrdenTarjeta,0),0))</f>
        <v/>
      </c>
      <c r="M182" s="18">
        <f t="shared" ca="1" si="62"/>
        <v>1</v>
      </c>
      <c r="N182" s="18" t="str">
        <f t="shared" ca="1" si="73"/>
        <v/>
      </c>
      <c r="O182" s="18" t="str" cm="1">
        <f t="array" aca="1" ref="O182" ca="1">IF(N182="","",IF(N182&lt;&gt;N181,1,IF(O181=misLíneas-2,0,O181+1)))</f>
        <v/>
      </c>
      <c r="P182" s="18" t="str" cm="1">
        <f t="array" aca="1" ref="P182" ca="1">IF(OR(O182=0,O182=""),"",INDEX(misCriticidades,N182)&amp;"-"&amp;IFERROR(MATCH(O182,miOrdenTarjeta,0),0))</f>
        <v/>
      </c>
      <c r="R182" s="18">
        <f t="shared" ca="1" si="63"/>
        <v>20</v>
      </c>
      <c r="S182" s="18">
        <f t="shared" ca="1" si="74"/>
        <v>11</v>
      </c>
      <c r="T182" s="18" cm="1">
        <f t="array" aca="1" ref="T182" ca="1">IF(S182="","",IF(S182&lt;&gt;S181,1,IF(T181=misLíneas-2,0,T181+1)))</f>
        <v>0</v>
      </c>
      <c r="U182" s="18" t="str" cm="1">
        <f t="array" aca="1" ref="U182" ca="1">IF(OR(T182=0,T182=""),"",INDEX(misCriticidades,S182)&amp;"-"&amp;IFERROR(MATCH(T182,miOrdenTarjeta,0),0))</f>
        <v/>
      </c>
      <c r="W182" s="18">
        <f t="shared" ca="1" si="64"/>
        <v>1</v>
      </c>
      <c r="X182" s="18" t="str">
        <f t="shared" ca="1" si="75"/>
        <v/>
      </c>
      <c r="Y182" s="18" t="str" cm="1">
        <f t="array" aca="1" ref="Y182" ca="1">IF(X182="","",IF(X182&lt;&gt;X181,1,IF(Y181=misLíneas-2,0,Y181+1)))</f>
        <v/>
      </c>
      <c r="Z182" s="18" t="str" cm="1">
        <f t="array" aca="1" ref="Z182" ca="1">IF(OR(Y182=0,Y182=""),"",INDEX(misCriticidades,X182)&amp;"-"&amp;IFERROR(MATCH(Y182,miOrdenTarjeta,0),0))</f>
        <v/>
      </c>
      <c r="AB182" s="18">
        <f t="shared" ca="1" si="65"/>
        <v>1</v>
      </c>
      <c r="AC182" s="18" t="str">
        <f t="shared" ca="1" si="56"/>
        <v/>
      </c>
      <c r="AD182" s="18" t="str" cm="1">
        <f t="array" aca="1" ref="AD182" ca="1">IF(AC182="","",IF(AC182&lt;&gt;AC181,1,IF(AD181=misLíneas-2,0,AD181+1)))</f>
        <v/>
      </c>
      <c r="AE182" s="18" t="str" cm="1">
        <f t="array" aca="1" ref="AE182" ca="1">IF(OR(AD182=0,AD182=""),"",INDEX(misCriticidades,AC182)&amp;"-"&amp;IFERROR(MATCH(AD182,miOrdenTarjeta,0),0))</f>
        <v/>
      </c>
      <c r="AG182" s="18">
        <f t="shared" ca="1" si="66"/>
        <v>1</v>
      </c>
      <c r="AH182" s="18" t="str">
        <f t="shared" ca="1" si="57"/>
        <v/>
      </c>
      <c r="AI182" s="18" t="str" cm="1">
        <f t="array" aca="1" ref="AI182" ca="1">IF(AH182="","",IF(AH182&lt;&gt;AH181,1,IF(AI181=misLíneas-2,0,AI181+1)))</f>
        <v/>
      </c>
      <c r="AJ182" s="18" t="str" cm="1">
        <f t="array" aca="1" ref="AJ182" ca="1">IF(OR(AI182=0,AI182=""),"",INDEX(misCriticidades,AH182)&amp;"-"&amp;IFERROR(MATCH(AI182,miOrdenTarjeta,0),0))</f>
        <v/>
      </c>
      <c r="AL182" s="18">
        <f t="shared" ca="1" si="67"/>
        <v>1</v>
      </c>
      <c r="AM182" s="18" t="str">
        <f t="shared" ca="1" si="58"/>
        <v/>
      </c>
      <c r="AN182" s="18" t="str" cm="1">
        <f t="array" aca="1" ref="AN182" ca="1">IF(AM182="","",IF(AM182&lt;&gt;AM181,1,IF(AN181=misLíneas-2,0,AN181+1)))</f>
        <v/>
      </c>
      <c r="AO182" s="18" t="str" cm="1">
        <f t="array" aca="1" ref="AO182" ca="1">IF(OR(AN182=0,AN182=""),"",INDEX(misCriticidades,AM182)&amp;"-"&amp;IFERROR(MATCH(AN182,miOrdenTarjeta,0),0))</f>
        <v/>
      </c>
      <c r="AQ182" s="18">
        <f t="shared" ca="1" si="68"/>
        <v>1</v>
      </c>
      <c r="AR182" s="18" t="str">
        <f t="shared" ca="1" si="59"/>
        <v/>
      </c>
      <c r="AS182" s="18" t="str" cm="1">
        <f t="array" aca="1" ref="AS182" ca="1">IF(AR182="","",IF(AR182&lt;&gt;AR181,1,IF(AS181=misLíneas-2,0,AS181+1)))</f>
        <v/>
      </c>
      <c r="AT182" s="18" t="str" cm="1">
        <f t="array" aca="1" ref="AT182" ca="1">IF(OR(AS182=0,AS182=""),"",INDEX(misCriticidades,AR182)&amp;"-"&amp;IFERROR(MATCH(AS182,miOrdenTarjeta,0),0))</f>
        <v/>
      </c>
      <c r="AV182" s="18">
        <f t="shared" ca="1" si="69"/>
        <v>1</v>
      </c>
      <c r="AW182" s="18" t="str">
        <f t="shared" ca="1" si="60"/>
        <v/>
      </c>
      <c r="AX182" s="18" t="str" cm="1">
        <f t="array" aca="1" ref="AX182" ca="1">IF(AW182="","",IF(AW182&lt;&gt;AW181,1,IF(AX181=misLíneas-2,0,AX181+1)))</f>
        <v/>
      </c>
      <c r="AY182" s="18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18">
        <f t="shared" ca="1" si="70"/>
        <v>1</v>
      </c>
      <c r="D183" s="18" t="str">
        <f t="shared" ca="1" si="71"/>
        <v/>
      </c>
      <c r="E183" s="18" t="str" cm="1">
        <f t="array" aca="1" ref="E183" ca="1">IF(D183="","",IF(D183&lt;&gt;D182,1,IF(E182=misLíneas-2,0,E182+1)))</f>
        <v/>
      </c>
      <c r="F183" s="18" t="str" cm="1">
        <f t="array" aca="1" ref="F183" ca="1">IF(OR(E183=0,E183=""),"",INDEX(misCriticidades,D183)&amp;"-"&amp;IFERROR(MATCH(E183,miOrdenTarjeta,0),0))</f>
        <v/>
      </c>
      <c r="H183" s="18">
        <f t="shared" ca="1" si="61"/>
        <v>1</v>
      </c>
      <c r="I183" s="18" t="str">
        <f t="shared" ca="1" si="72"/>
        <v/>
      </c>
      <c r="J183" s="18" t="str" cm="1">
        <f t="array" aca="1" ref="J183" ca="1">IF(I183="","",IF(I183&lt;&gt;I182,1,IF(J182=misLíneas-2,0,J182+1)))</f>
        <v/>
      </c>
      <c r="K183" s="18" t="str" cm="1">
        <f t="array" aca="1" ref="K183" ca="1">IF(OR(J183=0,J183=""),"",INDEX(misCriticidades,I183)&amp;"-"&amp;IFERROR(MATCH(J183,miOrdenTarjeta,0),0))</f>
        <v/>
      </c>
      <c r="M183" s="18">
        <f t="shared" ca="1" si="62"/>
        <v>1</v>
      </c>
      <c r="N183" s="18" t="str">
        <f t="shared" ca="1" si="73"/>
        <v/>
      </c>
      <c r="O183" s="18" t="str" cm="1">
        <f t="array" aca="1" ref="O183" ca="1">IF(N183="","",IF(N183&lt;&gt;N182,1,IF(O182=misLíneas-2,0,O182+1)))</f>
        <v/>
      </c>
      <c r="P183" s="18" t="str" cm="1">
        <f t="array" aca="1" ref="P183" ca="1">IF(OR(O183=0,O183=""),"",INDEX(misCriticidades,N183)&amp;"-"&amp;IFERROR(MATCH(O183,miOrdenTarjeta,0),0))</f>
        <v/>
      </c>
      <c r="R183" s="18">
        <f t="shared" ca="1" si="63"/>
        <v>21</v>
      </c>
      <c r="S183" s="18">
        <f t="shared" ca="1" si="74"/>
        <v>10</v>
      </c>
      <c r="T183" s="18" cm="1">
        <f t="array" aca="1" ref="T183" ca="1">IF(S183="","",IF(S183&lt;&gt;S182,1,IF(T182=misLíneas-2,0,T182+1)))</f>
        <v>1</v>
      </c>
      <c r="U183" s="18" t="str" cm="1">
        <f t="array" aca="1" ref="U183" ca="1">IF(OR(T183=0,T183=""),"",INDEX(misCriticidades,S183)&amp;"-"&amp;IFERROR(MATCH(T183,miOrdenTarjeta,0),0))</f>
        <v>3-1</v>
      </c>
      <c r="W183" s="18">
        <f t="shared" ca="1" si="64"/>
        <v>1</v>
      </c>
      <c r="X183" s="18" t="str">
        <f t="shared" ca="1" si="75"/>
        <v/>
      </c>
      <c r="Y183" s="18" t="str" cm="1">
        <f t="array" aca="1" ref="Y183" ca="1">IF(X183="","",IF(X183&lt;&gt;X182,1,IF(Y182=misLíneas-2,0,Y182+1)))</f>
        <v/>
      </c>
      <c r="Z183" s="18" t="str" cm="1">
        <f t="array" aca="1" ref="Z183" ca="1">IF(OR(Y183=0,Y183=""),"",INDEX(misCriticidades,X183)&amp;"-"&amp;IFERROR(MATCH(Y183,miOrdenTarjeta,0),0))</f>
        <v/>
      </c>
      <c r="AB183" s="18">
        <f t="shared" ca="1" si="65"/>
        <v>1</v>
      </c>
      <c r="AC183" s="18" t="str">
        <f t="shared" ca="1" si="56"/>
        <v/>
      </c>
      <c r="AD183" s="18" t="str" cm="1">
        <f t="array" aca="1" ref="AD183" ca="1">IF(AC183="","",IF(AC183&lt;&gt;AC182,1,IF(AD182=misLíneas-2,0,AD182+1)))</f>
        <v/>
      </c>
      <c r="AE183" s="18" t="str" cm="1">
        <f t="array" aca="1" ref="AE183" ca="1">IF(OR(AD183=0,AD183=""),"",INDEX(misCriticidades,AC183)&amp;"-"&amp;IFERROR(MATCH(AD183,miOrdenTarjeta,0),0))</f>
        <v/>
      </c>
      <c r="AG183" s="18">
        <f t="shared" ca="1" si="66"/>
        <v>1</v>
      </c>
      <c r="AH183" s="18" t="str">
        <f t="shared" ca="1" si="57"/>
        <v/>
      </c>
      <c r="AI183" s="18" t="str" cm="1">
        <f t="array" aca="1" ref="AI183" ca="1">IF(AH183="","",IF(AH183&lt;&gt;AH182,1,IF(AI182=misLíneas-2,0,AI182+1)))</f>
        <v/>
      </c>
      <c r="AJ183" s="18" t="str" cm="1">
        <f t="array" aca="1" ref="AJ183" ca="1">IF(OR(AI183=0,AI183=""),"",INDEX(misCriticidades,AH183)&amp;"-"&amp;IFERROR(MATCH(AI183,miOrdenTarjeta,0),0))</f>
        <v/>
      </c>
      <c r="AL183" s="18">
        <f t="shared" ca="1" si="67"/>
        <v>1</v>
      </c>
      <c r="AM183" s="18" t="str">
        <f t="shared" ca="1" si="58"/>
        <v/>
      </c>
      <c r="AN183" s="18" t="str" cm="1">
        <f t="array" aca="1" ref="AN183" ca="1">IF(AM183="","",IF(AM183&lt;&gt;AM182,1,IF(AN182=misLíneas-2,0,AN182+1)))</f>
        <v/>
      </c>
      <c r="AO183" s="18" t="str" cm="1">
        <f t="array" aca="1" ref="AO183" ca="1">IF(OR(AN183=0,AN183=""),"",INDEX(misCriticidades,AM183)&amp;"-"&amp;IFERROR(MATCH(AN183,miOrdenTarjeta,0),0))</f>
        <v/>
      </c>
      <c r="AQ183" s="18">
        <f t="shared" ca="1" si="68"/>
        <v>1</v>
      </c>
      <c r="AR183" s="18" t="str">
        <f t="shared" ca="1" si="59"/>
        <v/>
      </c>
      <c r="AS183" s="18" t="str" cm="1">
        <f t="array" aca="1" ref="AS183" ca="1">IF(AR183="","",IF(AR183&lt;&gt;AR182,1,IF(AS182=misLíneas-2,0,AS182+1)))</f>
        <v/>
      </c>
      <c r="AT183" s="18" t="str" cm="1">
        <f t="array" aca="1" ref="AT183" ca="1">IF(OR(AS183=0,AS183=""),"",INDEX(misCriticidades,AR183)&amp;"-"&amp;IFERROR(MATCH(AS183,miOrdenTarjeta,0),0))</f>
        <v/>
      </c>
      <c r="AV183" s="18">
        <f t="shared" ca="1" si="69"/>
        <v>1</v>
      </c>
      <c r="AW183" s="18" t="str">
        <f t="shared" ca="1" si="60"/>
        <v/>
      </c>
      <c r="AX183" s="18" t="str" cm="1">
        <f t="array" aca="1" ref="AX183" ca="1">IF(AW183="","",IF(AW183&lt;&gt;AW182,1,IF(AX182=misLíneas-2,0,AX182+1)))</f>
        <v/>
      </c>
      <c r="AY183" s="18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18">
        <f t="shared" ca="1" si="70"/>
        <v>1</v>
      </c>
      <c r="D184" s="18" t="str">
        <f t="shared" ca="1" si="71"/>
        <v/>
      </c>
      <c r="E184" s="18" t="str" cm="1">
        <f t="array" aca="1" ref="E184" ca="1">IF(D184="","",IF(D184&lt;&gt;D183,1,IF(E183=misLíneas-2,0,E183+1)))</f>
        <v/>
      </c>
      <c r="F184" s="18" t="str" cm="1">
        <f t="array" aca="1" ref="F184" ca="1">IF(OR(E184=0,E184=""),"",INDEX(misCriticidades,D184)&amp;"-"&amp;IFERROR(MATCH(E184,miOrdenTarjeta,0),0))</f>
        <v/>
      </c>
      <c r="H184" s="18">
        <f t="shared" ca="1" si="61"/>
        <v>1</v>
      </c>
      <c r="I184" s="18" t="str">
        <f t="shared" ca="1" si="72"/>
        <v/>
      </c>
      <c r="J184" s="18" t="str" cm="1">
        <f t="array" aca="1" ref="J184" ca="1">IF(I184="","",IF(I184&lt;&gt;I183,1,IF(J183=misLíneas-2,0,J183+1)))</f>
        <v/>
      </c>
      <c r="K184" s="18" t="str" cm="1">
        <f t="array" aca="1" ref="K184" ca="1">IF(OR(J184=0,J184=""),"",INDEX(misCriticidades,I184)&amp;"-"&amp;IFERROR(MATCH(J184,miOrdenTarjeta,0),0))</f>
        <v/>
      </c>
      <c r="M184" s="18">
        <f t="shared" ca="1" si="62"/>
        <v>1</v>
      </c>
      <c r="N184" s="18" t="str">
        <f t="shared" ca="1" si="73"/>
        <v/>
      </c>
      <c r="O184" s="18" t="str" cm="1">
        <f t="array" aca="1" ref="O184" ca="1">IF(N184="","",IF(N184&lt;&gt;N183,1,IF(O183=misLíneas-2,0,O183+1)))</f>
        <v/>
      </c>
      <c r="P184" s="18" t="str" cm="1">
        <f t="array" aca="1" ref="P184" ca="1">IF(OR(O184=0,O184=""),"",INDEX(misCriticidades,N184)&amp;"-"&amp;IFERROR(MATCH(O184,miOrdenTarjeta,0),0))</f>
        <v/>
      </c>
      <c r="R184" s="18">
        <f t="shared" ca="1" si="63"/>
        <v>21</v>
      </c>
      <c r="S184" s="18">
        <f t="shared" ca="1" si="74"/>
        <v>10</v>
      </c>
      <c r="T184" s="18" cm="1">
        <f t="array" aca="1" ref="T184" ca="1">IF(S184="","",IF(S184&lt;&gt;S183,1,IF(T183=misLíneas-2,0,T183+1)))</f>
        <v>2</v>
      </c>
      <c r="U184" s="18" t="str" cm="1">
        <f t="array" aca="1" ref="U184" ca="1">IF(OR(T184=0,T184=""),"",INDEX(misCriticidades,S184)&amp;"-"&amp;IFERROR(MATCH(T184,miOrdenTarjeta,0),0))</f>
        <v>3-2</v>
      </c>
      <c r="W184" s="18">
        <f t="shared" ca="1" si="64"/>
        <v>1</v>
      </c>
      <c r="X184" s="18" t="str">
        <f t="shared" ca="1" si="75"/>
        <v/>
      </c>
      <c r="Y184" s="18" t="str" cm="1">
        <f t="array" aca="1" ref="Y184" ca="1">IF(X184="","",IF(X184&lt;&gt;X183,1,IF(Y183=misLíneas-2,0,Y183+1)))</f>
        <v/>
      </c>
      <c r="Z184" s="18" t="str" cm="1">
        <f t="array" aca="1" ref="Z184" ca="1">IF(OR(Y184=0,Y184=""),"",INDEX(misCriticidades,X184)&amp;"-"&amp;IFERROR(MATCH(Y184,miOrdenTarjeta,0),0))</f>
        <v/>
      </c>
      <c r="AB184" s="18">
        <f t="shared" ca="1" si="65"/>
        <v>1</v>
      </c>
      <c r="AC184" s="18" t="str">
        <f t="shared" ca="1" si="56"/>
        <v/>
      </c>
      <c r="AD184" s="18" t="str" cm="1">
        <f t="array" aca="1" ref="AD184" ca="1">IF(AC184="","",IF(AC184&lt;&gt;AC183,1,IF(AD183=misLíneas-2,0,AD183+1)))</f>
        <v/>
      </c>
      <c r="AE184" s="18" t="str" cm="1">
        <f t="array" aca="1" ref="AE184" ca="1">IF(OR(AD184=0,AD184=""),"",INDEX(misCriticidades,AC184)&amp;"-"&amp;IFERROR(MATCH(AD184,miOrdenTarjeta,0),0))</f>
        <v/>
      </c>
      <c r="AG184" s="18">
        <f t="shared" ca="1" si="66"/>
        <v>1</v>
      </c>
      <c r="AH184" s="18" t="str">
        <f t="shared" ca="1" si="57"/>
        <v/>
      </c>
      <c r="AI184" s="18" t="str" cm="1">
        <f t="array" aca="1" ref="AI184" ca="1">IF(AH184="","",IF(AH184&lt;&gt;AH183,1,IF(AI183=misLíneas-2,0,AI183+1)))</f>
        <v/>
      </c>
      <c r="AJ184" s="18" t="str" cm="1">
        <f t="array" aca="1" ref="AJ184" ca="1">IF(OR(AI184=0,AI184=""),"",INDEX(misCriticidades,AH184)&amp;"-"&amp;IFERROR(MATCH(AI184,miOrdenTarjeta,0),0))</f>
        <v/>
      </c>
      <c r="AL184" s="18">
        <f t="shared" ca="1" si="67"/>
        <v>1</v>
      </c>
      <c r="AM184" s="18" t="str">
        <f t="shared" ca="1" si="58"/>
        <v/>
      </c>
      <c r="AN184" s="18" t="str" cm="1">
        <f t="array" aca="1" ref="AN184" ca="1">IF(AM184="","",IF(AM184&lt;&gt;AM183,1,IF(AN183=misLíneas-2,0,AN183+1)))</f>
        <v/>
      </c>
      <c r="AO184" s="18" t="str" cm="1">
        <f t="array" aca="1" ref="AO184" ca="1">IF(OR(AN184=0,AN184=""),"",INDEX(misCriticidades,AM184)&amp;"-"&amp;IFERROR(MATCH(AN184,miOrdenTarjeta,0),0))</f>
        <v/>
      </c>
      <c r="AQ184" s="18">
        <f t="shared" ca="1" si="68"/>
        <v>1</v>
      </c>
      <c r="AR184" s="18" t="str">
        <f t="shared" ca="1" si="59"/>
        <v/>
      </c>
      <c r="AS184" s="18" t="str" cm="1">
        <f t="array" aca="1" ref="AS184" ca="1">IF(AR184="","",IF(AR184&lt;&gt;AR183,1,IF(AS183=misLíneas-2,0,AS183+1)))</f>
        <v/>
      </c>
      <c r="AT184" s="18" t="str" cm="1">
        <f t="array" aca="1" ref="AT184" ca="1">IF(OR(AS184=0,AS184=""),"",INDEX(misCriticidades,AR184)&amp;"-"&amp;IFERROR(MATCH(AS184,miOrdenTarjeta,0),0))</f>
        <v/>
      </c>
      <c r="AV184" s="18">
        <f t="shared" ca="1" si="69"/>
        <v>1</v>
      </c>
      <c r="AW184" s="18" t="str">
        <f t="shared" ca="1" si="60"/>
        <v/>
      </c>
      <c r="AX184" s="18" t="str" cm="1">
        <f t="array" aca="1" ref="AX184" ca="1">IF(AW184="","",IF(AW184&lt;&gt;AW183,1,IF(AX183=misLíneas-2,0,AX183+1)))</f>
        <v/>
      </c>
      <c r="AY184" s="18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18">
        <f t="shared" ca="1" si="70"/>
        <v>1</v>
      </c>
      <c r="D185" s="18" t="str">
        <f t="shared" ca="1" si="71"/>
        <v/>
      </c>
      <c r="E185" s="18" t="str" cm="1">
        <f t="array" aca="1" ref="E185" ca="1">IF(D185="","",IF(D185&lt;&gt;D184,1,IF(E184=misLíneas-2,0,E184+1)))</f>
        <v/>
      </c>
      <c r="F185" s="18" t="str" cm="1">
        <f t="array" aca="1" ref="F185" ca="1">IF(OR(E185=0,E185=""),"",INDEX(misCriticidades,D185)&amp;"-"&amp;IFERROR(MATCH(E185,miOrdenTarjeta,0),0))</f>
        <v/>
      </c>
      <c r="H185" s="18">
        <f t="shared" ca="1" si="61"/>
        <v>1</v>
      </c>
      <c r="I185" s="18" t="str">
        <f t="shared" ca="1" si="72"/>
        <v/>
      </c>
      <c r="J185" s="18" t="str" cm="1">
        <f t="array" aca="1" ref="J185" ca="1">IF(I185="","",IF(I185&lt;&gt;I184,1,IF(J184=misLíneas-2,0,J184+1)))</f>
        <v/>
      </c>
      <c r="K185" s="18" t="str" cm="1">
        <f t="array" aca="1" ref="K185" ca="1">IF(OR(J185=0,J185=""),"",INDEX(misCriticidades,I185)&amp;"-"&amp;IFERROR(MATCH(J185,miOrdenTarjeta,0),0))</f>
        <v/>
      </c>
      <c r="M185" s="18">
        <f t="shared" ca="1" si="62"/>
        <v>1</v>
      </c>
      <c r="N185" s="18" t="str">
        <f t="shared" ca="1" si="73"/>
        <v/>
      </c>
      <c r="O185" s="18" t="str" cm="1">
        <f t="array" aca="1" ref="O185" ca="1">IF(N185="","",IF(N185&lt;&gt;N184,1,IF(O184=misLíneas-2,0,O184+1)))</f>
        <v/>
      </c>
      <c r="P185" s="18" t="str" cm="1">
        <f t="array" aca="1" ref="P185" ca="1">IF(OR(O185=0,O185=""),"",INDEX(misCriticidades,N185)&amp;"-"&amp;IFERROR(MATCH(O185,miOrdenTarjeta,0),0))</f>
        <v/>
      </c>
      <c r="R185" s="18">
        <f t="shared" ca="1" si="63"/>
        <v>21</v>
      </c>
      <c r="S185" s="18">
        <f t="shared" ca="1" si="74"/>
        <v>10</v>
      </c>
      <c r="T185" s="18" cm="1">
        <f t="array" aca="1" ref="T185" ca="1">IF(S185="","",IF(S185&lt;&gt;S184,1,IF(T184=misLíneas-2,0,T184+1)))</f>
        <v>3</v>
      </c>
      <c r="U185" s="18" t="str" cm="1">
        <f t="array" aca="1" ref="U185" ca="1">IF(OR(T185=0,T185=""),"",INDEX(misCriticidades,S185)&amp;"-"&amp;IFERROR(MATCH(T185,miOrdenTarjeta,0),0))</f>
        <v>3-3</v>
      </c>
      <c r="W185" s="18">
        <f t="shared" ca="1" si="64"/>
        <v>1</v>
      </c>
      <c r="X185" s="18" t="str">
        <f t="shared" ca="1" si="75"/>
        <v/>
      </c>
      <c r="Y185" s="18" t="str" cm="1">
        <f t="array" aca="1" ref="Y185" ca="1">IF(X185="","",IF(X185&lt;&gt;X184,1,IF(Y184=misLíneas-2,0,Y184+1)))</f>
        <v/>
      </c>
      <c r="Z185" s="18" t="str" cm="1">
        <f t="array" aca="1" ref="Z185" ca="1">IF(OR(Y185=0,Y185=""),"",INDEX(misCriticidades,X185)&amp;"-"&amp;IFERROR(MATCH(Y185,miOrdenTarjeta,0),0))</f>
        <v/>
      </c>
      <c r="AB185" s="18">
        <f t="shared" ca="1" si="65"/>
        <v>1</v>
      </c>
      <c r="AC185" s="18" t="str">
        <f t="shared" ca="1" si="56"/>
        <v/>
      </c>
      <c r="AD185" s="18" t="str" cm="1">
        <f t="array" aca="1" ref="AD185" ca="1">IF(AC185="","",IF(AC185&lt;&gt;AC184,1,IF(AD184=misLíneas-2,0,AD184+1)))</f>
        <v/>
      </c>
      <c r="AE185" s="18" t="str" cm="1">
        <f t="array" aca="1" ref="AE185" ca="1">IF(OR(AD185=0,AD185=""),"",INDEX(misCriticidades,AC185)&amp;"-"&amp;IFERROR(MATCH(AD185,miOrdenTarjeta,0),0))</f>
        <v/>
      </c>
      <c r="AG185" s="18">
        <f t="shared" ca="1" si="66"/>
        <v>1</v>
      </c>
      <c r="AH185" s="18" t="str">
        <f t="shared" ca="1" si="57"/>
        <v/>
      </c>
      <c r="AI185" s="18" t="str" cm="1">
        <f t="array" aca="1" ref="AI185" ca="1">IF(AH185="","",IF(AH185&lt;&gt;AH184,1,IF(AI184=misLíneas-2,0,AI184+1)))</f>
        <v/>
      </c>
      <c r="AJ185" s="18" t="str" cm="1">
        <f t="array" aca="1" ref="AJ185" ca="1">IF(OR(AI185=0,AI185=""),"",INDEX(misCriticidades,AH185)&amp;"-"&amp;IFERROR(MATCH(AI185,miOrdenTarjeta,0),0))</f>
        <v/>
      </c>
      <c r="AL185" s="18">
        <f t="shared" ca="1" si="67"/>
        <v>1</v>
      </c>
      <c r="AM185" s="18" t="str">
        <f t="shared" ca="1" si="58"/>
        <v/>
      </c>
      <c r="AN185" s="18" t="str" cm="1">
        <f t="array" aca="1" ref="AN185" ca="1">IF(AM185="","",IF(AM185&lt;&gt;AM184,1,IF(AN184=misLíneas-2,0,AN184+1)))</f>
        <v/>
      </c>
      <c r="AO185" s="18" t="str" cm="1">
        <f t="array" aca="1" ref="AO185" ca="1">IF(OR(AN185=0,AN185=""),"",INDEX(misCriticidades,AM185)&amp;"-"&amp;IFERROR(MATCH(AN185,miOrdenTarjeta,0),0))</f>
        <v/>
      </c>
      <c r="AQ185" s="18">
        <f t="shared" ca="1" si="68"/>
        <v>1</v>
      </c>
      <c r="AR185" s="18" t="str">
        <f t="shared" ca="1" si="59"/>
        <v/>
      </c>
      <c r="AS185" s="18" t="str" cm="1">
        <f t="array" aca="1" ref="AS185" ca="1">IF(AR185="","",IF(AR185&lt;&gt;AR184,1,IF(AS184=misLíneas-2,0,AS184+1)))</f>
        <v/>
      </c>
      <c r="AT185" s="18" t="str" cm="1">
        <f t="array" aca="1" ref="AT185" ca="1">IF(OR(AS185=0,AS185=""),"",INDEX(misCriticidades,AR185)&amp;"-"&amp;IFERROR(MATCH(AS185,miOrdenTarjeta,0),0))</f>
        <v/>
      </c>
      <c r="AV185" s="18">
        <f t="shared" ca="1" si="69"/>
        <v>1</v>
      </c>
      <c r="AW185" s="18" t="str">
        <f t="shared" ca="1" si="60"/>
        <v/>
      </c>
      <c r="AX185" s="18" t="str" cm="1">
        <f t="array" aca="1" ref="AX185" ca="1">IF(AW185="","",IF(AW185&lt;&gt;AW184,1,IF(AX184=misLíneas-2,0,AX184+1)))</f>
        <v/>
      </c>
      <c r="AY185" s="18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18">
        <f t="shared" ca="1" si="70"/>
        <v>1</v>
      </c>
      <c r="D186" s="18" t="str">
        <f t="shared" ca="1" si="71"/>
        <v/>
      </c>
      <c r="E186" s="18" t="str" cm="1">
        <f t="array" aca="1" ref="E186" ca="1">IF(D186="","",IF(D186&lt;&gt;D185,1,IF(E185=misLíneas-2,0,E185+1)))</f>
        <v/>
      </c>
      <c r="F186" s="18" t="str" cm="1">
        <f t="array" aca="1" ref="F186" ca="1">IF(OR(E186=0,E186=""),"",INDEX(misCriticidades,D186)&amp;"-"&amp;IFERROR(MATCH(E186,miOrdenTarjeta,0),0))</f>
        <v/>
      </c>
      <c r="H186" s="18">
        <f t="shared" ca="1" si="61"/>
        <v>1</v>
      </c>
      <c r="I186" s="18" t="str">
        <f t="shared" ca="1" si="72"/>
        <v/>
      </c>
      <c r="J186" s="18" t="str" cm="1">
        <f t="array" aca="1" ref="J186" ca="1">IF(I186="","",IF(I186&lt;&gt;I185,1,IF(J185=misLíneas-2,0,J185+1)))</f>
        <v/>
      </c>
      <c r="K186" s="18" t="str" cm="1">
        <f t="array" aca="1" ref="K186" ca="1">IF(OR(J186=0,J186=""),"",INDEX(misCriticidades,I186)&amp;"-"&amp;IFERROR(MATCH(J186,miOrdenTarjeta,0),0))</f>
        <v/>
      </c>
      <c r="M186" s="18">
        <f t="shared" ca="1" si="62"/>
        <v>1</v>
      </c>
      <c r="N186" s="18" t="str">
        <f t="shared" ca="1" si="73"/>
        <v/>
      </c>
      <c r="O186" s="18" t="str" cm="1">
        <f t="array" aca="1" ref="O186" ca="1">IF(N186="","",IF(N186&lt;&gt;N185,1,IF(O185=misLíneas-2,0,O185+1)))</f>
        <v/>
      </c>
      <c r="P186" s="18" t="str" cm="1">
        <f t="array" aca="1" ref="P186" ca="1">IF(OR(O186=0,O186=""),"",INDEX(misCriticidades,N186)&amp;"-"&amp;IFERROR(MATCH(O186,miOrdenTarjeta,0),0))</f>
        <v/>
      </c>
      <c r="R186" s="18">
        <f t="shared" ca="1" si="63"/>
        <v>21</v>
      </c>
      <c r="S186" s="18">
        <f t="shared" ca="1" si="74"/>
        <v>10</v>
      </c>
      <c r="T186" s="18" cm="1">
        <f t="array" aca="1" ref="T186" ca="1">IF(S186="","",IF(S186&lt;&gt;S185,1,IF(T185=misLíneas-2,0,T185+1)))</f>
        <v>4</v>
      </c>
      <c r="U186" s="18" t="str" cm="1">
        <f t="array" aca="1" ref="U186" ca="1">IF(OR(T186=0,T186=""),"",INDEX(misCriticidades,S186)&amp;"-"&amp;IFERROR(MATCH(T186,miOrdenTarjeta,0),0))</f>
        <v>3-4</v>
      </c>
      <c r="W186" s="18">
        <f t="shared" ca="1" si="64"/>
        <v>1</v>
      </c>
      <c r="X186" s="18" t="str">
        <f t="shared" ca="1" si="75"/>
        <v/>
      </c>
      <c r="Y186" s="18" t="str" cm="1">
        <f t="array" aca="1" ref="Y186" ca="1">IF(X186="","",IF(X186&lt;&gt;X185,1,IF(Y185=misLíneas-2,0,Y185+1)))</f>
        <v/>
      </c>
      <c r="Z186" s="18" t="str" cm="1">
        <f t="array" aca="1" ref="Z186" ca="1">IF(OR(Y186=0,Y186=""),"",INDEX(misCriticidades,X186)&amp;"-"&amp;IFERROR(MATCH(Y186,miOrdenTarjeta,0),0))</f>
        <v/>
      </c>
      <c r="AB186" s="18">
        <f t="shared" ca="1" si="65"/>
        <v>1</v>
      </c>
      <c r="AC186" s="18" t="str">
        <f t="shared" ca="1" si="56"/>
        <v/>
      </c>
      <c r="AD186" s="18" t="str" cm="1">
        <f t="array" aca="1" ref="AD186" ca="1">IF(AC186="","",IF(AC186&lt;&gt;AC185,1,IF(AD185=misLíneas-2,0,AD185+1)))</f>
        <v/>
      </c>
      <c r="AE186" s="18" t="str" cm="1">
        <f t="array" aca="1" ref="AE186" ca="1">IF(OR(AD186=0,AD186=""),"",INDEX(misCriticidades,AC186)&amp;"-"&amp;IFERROR(MATCH(AD186,miOrdenTarjeta,0),0))</f>
        <v/>
      </c>
      <c r="AG186" s="18">
        <f t="shared" ca="1" si="66"/>
        <v>1</v>
      </c>
      <c r="AH186" s="18" t="str">
        <f t="shared" ca="1" si="57"/>
        <v/>
      </c>
      <c r="AI186" s="18" t="str" cm="1">
        <f t="array" aca="1" ref="AI186" ca="1">IF(AH186="","",IF(AH186&lt;&gt;AH185,1,IF(AI185=misLíneas-2,0,AI185+1)))</f>
        <v/>
      </c>
      <c r="AJ186" s="18" t="str" cm="1">
        <f t="array" aca="1" ref="AJ186" ca="1">IF(OR(AI186=0,AI186=""),"",INDEX(misCriticidades,AH186)&amp;"-"&amp;IFERROR(MATCH(AI186,miOrdenTarjeta,0),0))</f>
        <v/>
      </c>
      <c r="AL186" s="18">
        <f t="shared" ca="1" si="67"/>
        <v>1</v>
      </c>
      <c r="AM186" s="18" t="str">
        <f t="shared" ca="1" si="58"/>
        <v/>
      </c>
      <c r="AN186" s="18" t="str" cm="1">
        <f t="array" aca="1" ref="AN186" ca="1">IF(AM186="","",IF(AM186&lt;&gt;AM185,1,IF(AN185=misLíneas-2,0,AN185+1)))</f>
        <v/>
      </c>
      <c r="AO186" s="18" t="str" cm="1">
        <f t="array" aca="1" ref="AO186" ca="1">IF(OR(AN186=0,AN186=""),"",INDEX(misCriticidades,AM186)&amp;"-"&amp;IFERROR(MATCH(AN186,miOrdenTarjeta,0),0))</f>
        <v/>
      </c>
      <c r="AQ186" s="18">
        <f t="shared" ca="1" si="68"/>
        <v>1</v>
      </c>
      <c r="AR186" s="18" t="str">
        <f t="shared" ca="1" si="59"/>
        <v/>
      </c>
      <c r="AS186" s="18" t="str" cm="1">
        <f t="array" aca="1" ref="AS186" ca="1">IF(AR186="","",IF(AR186&lt;&gt;AR185,1,IF(AS185=misLíneas-2,0,AS185+1)))</f>
        <v/>
      </c>
      <c r="AT186" s="18" t="str" cm="1">
        <f t="array" aca="1" ref="AT186" ca="1">IF(OR(AS186=0,AS186=""),"",INDEX(misCriticidades,AR186)&amp;"-"&amp;IFERROR(MATCH(AS186,miOrdenTarjeta,0),0))</f>
        <v/>
      </c>
      <c r="AV186" s="18">
        <f t="shared" ca="1" si="69"/>
        <v>1</v>
      </c>
      <c r="AW186" s="18" t="str">
        <f t="shared" ca="1" si="60"/>
        <v/>
      </c>
      <c r="AX186" s="18" t="str" cm="1">
        <f t="array" aca="1" ref="AX186" ca="1">IF(AW186="","",IF(AW186&lt;&gt;AW185,1,IF(AX185=misLíneas-2,0,AX185+1)))</f>
        <v/>
      </c>
      <c r="AY186" s="18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18">
        <f t="shared" ca="1" si="70"/>
        <v>1</v>
      </c>
      <c r="D187" s="18" t="str">
        <f t="shared" ca="1" si="71"/>
        <v/>
      </c>
      <c r="E187" s="18" t="str" cm="1">
        <f t="array" aca="1" ref="E187" ca="1">IF(D187="","",IF(D187&lt;&gt;D186,1,IF(E186=misLíneas-2,0,E186+1)))</f>
        <v/>
      </c>
      <c r="F187" s="18" t="str" cm="1">
        <f t="array" aca="1" ref="F187" ca="1">IF(OR(E187=0,E187=""),"",INDEX(misCriticidades,D187)&amp;"-"&amp;IFERROR(MATCH(E187,miOrdenTarjeta,0),0))</f>
        <v/>
      </c>
      <c r="H187" s="18">
        <f t="shared" ca="1" si="61"/>
        <v>1</v>
      </c>
      <c r="I187" s="18" t="str">
        <f t="shared" ca="1" si="72"/>
        <v/>
      </c>
      <c r="J187" s="18" t="str" cm="1">
        <f t="array" aca="1" ref="J187" ca="1">IF(I187="","",IF(I187&lt;&gt;I186,1,IF(J186=misLíneas-2,0,J186+1)))</f>
        <v/>
      </c>
      <c r="K187" s="18" t="str" cm="1">
        <f t="array" aca="1" ref="K187" ca="1">IF(OR(J187=0,J187=""),"",INDEX(misCriticidades,I187)&amp;"-"&amp;IFERROR(MATCH(J187,miOrdenTarjeta,0),0))</f>
        <v/>
      </c>
      <c r="M187" s="18">
        <f t="shared" ca="1" si="62"/>
        <v>1</v>
      </c>
      <c r="N187" s="18" t="str">
        <f t="shared" ca="1" si="73"/>
        <v/>
      </c>
      <c r="O187" s="18" t="str" cm="1">
        <f t="array" aca="1" ref="O187" ca="1">IF(N187="","",IF(N187&lt;&gt;N186,1,IF(O186=misLíneas-2,0,O186+1)))</f>
        <v/>
      </c>
      <c r="P187" s="18" t="str" cm="1">
        <f t="array" aca="1" ref="P187" ca="1">IF(OR(O187=0,O187=""),"",INDEX(misCriticidades,N187)&amp;"-"&amp;IFERROR(MATCH(O187,miOrdenTarjeta,0),0))</f>
        <v/>
      </c>
      <c r="R187" s="18">
        <f t="shared" ca="1" si="63"/>
        <v>21</v>
      </c>
      <c r="S187" s="18">
        <f t="shared" ca="1" si="74"/>
        <v>10</v>
      </c>
      <c r="T187" s="18" cm="1">
        <f t="array" aca="1" ref="T187" ca="1">IF(S187="","",IF(S187&lt;&gt;S186,1,IF(T186=misLíneas-2,0,T186+1)))</f>
        <v>5</v>
      </c>
      <c r="U187" s="18" t="str" cm="1">
        <f t="array" aca="1" ref="U187" ca="1">IF(OR(T187=0,T187=""),"",INDEX(misCriticidades,S187)&amp;"-"&amp;IFERROR(MATCH(T187,miOrdenTarjeta,0),0))</f>
        <v>3-5</v>
      </c>
      <c r="W187" s="18">
        <f t="shared" ca="1" si="64"/>
        <v>1</v>
      </c>
      <c r="X187" s="18" t="str">
        <f t="shared" ca="1" si="75"/>
        <v/>
      </c>
      <c r="Y187" s="18" t="str" cm="1">
        <f t="array" aca="1" ref="Y187" ca="1">IF(X187="","",IF(X187&lt;&gt;X186,1,IF(Y186=misLíneas-2,0,Y186+1)))</f>
        <v/>
      </c>
      <c r="Z187" s="18" t="str" cm="1">
        <f t="array" aca="1" ref="Z187" ca="1">IF(OR(Y187=0,Y187=""),"",INDEX(misCriticidades,X187)&amp;"-"&amp;IFERROR(MATCH(Y187,miOrdenTarjeta,0),0))</f>
        <v/>
      </c>
      <c r="AB187" s="18">
        <f t="shared" ca="1" si="65"/>
        <v>1</v>
      </c>
      <c r="AC187" s="18" t="str">
        <f t="shared" ca="1" si="56"/>
        <v/>
      </c>
      <c r="AD187" s="18" t="str" cm="1">
        <f t="array" aca="1" ref="AD187" ca="1">IF(AC187="","",IF(AC187&lt;&gt;AC186,1,IF(AD186=misLíneas-2,0,AD186+1)))</f>
        <v/>
      </c>
      <c r="AE187" s="18" t="str" cm="1">
        <f t="array" aca="1" ref="AE187" ca="1">IF(OR(AD187=0,AD187=""),"",INDEX(misCriticidades,AC187)&amp;"-"&amp;IFERROR(MATCH(AD187,miOrdenTarjeta,0),0))</f>
        <v/>
      </c>
      <c r="AG187" s="18">
        <f t="shared" ca="1" si="66"/>
        <v>1</v>
      </c>
      <c r="AH187" s="18" t="str">
        <f t="shared" ca="1" si="57"/>
        <v/>
      </c>
      <c r="AI187" s="18" t="str" cm="1">
        <f t="array" aca="1" ref="AI187" ca="1">IF(AH187="","",IF(AH187&lt;&gt;AH186,1,IF(AI186=misLíneas-2,0,AI186+1)))</f>
        <v/>
      </c>
      <c r="AJ187" s="18" t="str" cm="1">
        <f t="array" aca="1" ref="AJ187" ca="1">IF(OR(AI187=0,AI187=""),"",INDEX(misCriticidades,AH187)&amp;"-"&amp;IFERROR(MATCH(AI187,miOrdenTarjeta,0),0))</f>
        <v/>
      </c>
      <c r="AL187" s="18">
        <f t="shared" ca="1" si="67"/>
        <v>1</v>
      </c>
      <c r="AM187" s="18" t="str">
        <f t="shared" ca="1" si="58"/>
        <v/>
      </c>
      <c r="AN187" s="18" t="str" cm="1">
        <f t="array" aca="1" ref="AN187" ca="1">IF(AM187="","",IF(AM187&lt;&gt;AM186,1,IF(AN186=misLíneas-2,0,AN186+1)))</f>
        <v/>
      </c>
      <c r="AO187" s="18" t="str" cm="1">
        <f t="array" aca="1" ref="AO187" ca="1">IF(OR(AN187=0,AN187=""),"",INDEX(misCriticidades,AM187)&amp;"-"&amp;IFERROR(MATCH(AN187,miOrdenTarjeta,0),0))</f>
        <v/>
      </c>
      <c r="AQ187" s="18">
        <f t="shared" ca="1" si="68"/>
        <v>1</v>
      </c>
      <c r="AR187" s="18" t="str">
        <f t="shared" ca="1" si="59"/>
        <v/>
      </c>
      <c r="AS187" s="18" t="str" cm="1">
        <f t="array" aca="1" ref="AS187" ca="1">IF(AR187="","",IF(AR187&lt;&gt;AR186,1,IF(AS186=misLíneas-2,0,AS186+1)))</f>
        <v/>
      </c>
      <c r="AT187" s="18" t="str" cm="1">
        <f t="array" aca="1" ref="AT187" ca="1">IF(OR(AS187=0,AS187=""),"",INDEX(misCriticidades,AR187)&amp;"-"&amp;IFERROR(MATCH(AS187,miOrdenTarjeta,0),0))</f>
        <v/>
      </c>
      <c r="AV187" s="18">
        <f t="shared" ca="1" si="69"/>
        <v>1</v>
      </c>
      <c r="AW187" s="18" t="str">
        <f t="shared" ca="1" si="60"/>
        <v/>
      </c>
      <c r="AX187" s="18" t="str" cm="1">
        <f t="array" aca="1" ref="AX187" ca="1">IF(AW187="","",IF(AW187&lt;&gt;AW186,1,IF(AX186=misLíneas-2,0,AX186+1)))</f>
        <v/>
      </c>
      <c r="AY187" s="18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18">
        <f t="shared" ca="1" si="70"/>
        <v>1</v>
      </c>
      <c r="D188" s="18" t="str">
        <f t="shared" ca="1" si="71"/>
        <v/>
      </c>
      <c r="E188" s="18" t="str" cm="1">
        <f t="array" aca="1" ref="E188" ca="1">IF(D188="","",IF(D188&lt;&gt;D187,1,IF(E187=misLíneas-2,0,E187+1)))</f>
        <v/>
      </c>
      <c r="F188" s="18" t="str" cm="1">
        <f t="array" aca="1" ref="F188" ca="1">IF(OR(E188=0,E188=""),"",INDEX(misCriticidades,D188)&amp;"-"&amp;IFERROR(MATCH(E188,miOrdenTarjeta,0),0))</f>
        <v/>
      </c>
      <c r="H188" s="18">
        <f t="shared" ca="1" si="61"/>
        <v>1</v>
      </c>
      <c r="I188" s="18" t="str">
        <f t="shared" ca="1" si="72"/>
        <v/>
      </c>
      <c r="J188" s="18" t="str" cm="1">
        <f t="array" aca="1" ref="J188" ca="1">IF(I188="","",IF(I188&lt;&gt;I187,1,IF(J187=misLíneas-2,0,J187+1)))</f>
        <v/>
      </c>
      <c r="K188" s="18" t="str" cm="1">
        <f t="array" aca="1" ref="K188" ca="1">IF(OR(J188=0,J188=""),"",INDEX(misCriticidades,I188)&amp;"-"&amp;IFERROR(MATCH(J188,miOrdenTarjeta,0),0))</f>
        <v/>
      </c>
      <c r="M188" s="18">
        <f t="shared" ca="1" si="62"/>
        <v>1</v>
      </c>
      <c r="N188" s="18" t="str">
        <f t="shared" ca="1" si="73"/>
        <v/>
      </c>
      <c r="O188" s="18" t="str" cm="1">
        <f t="array" aca="1" ref="O188" ca="1">IF(N188="","",IF(N188&lt;&gt;N187,1,IF(O187=misLíneas-2,0,O187+1)))</f>
        <v/>
      </c>
      <c r="P188" s="18" t="str" cm="1">
        <f t="array" aca="1" ref="P188" ca="1">IF(OR(O188=0,O188=""),"",INDEX(misCriticidades,N188)&amp;"-"&amp;IFERROR(MATCH(O188,miOrdenTarjeta,0),0))</f>
        <v/>
      </c>
      <c r="R188" s="18">
        <f t="shared" ca="1" si="63"/>
        <v>21</v>
      </c>
      <c r="S188" s="18">
        <f t="shared" ca="1" si="74"/>
        <v>10</v>
      </c>
      <c r="T188" s="18" cm="1">
        <f t="array" aca="1" ref="T188" ca="1">IF(S188="","",IF(S188&lt;&gt;S187,1,IF(T187=misLíneas-2,0,T187+1)))</f>
        <v>6</v>
      </c>
      <c r="U188" s="18" t="str" cm="1">
        <f t="array" aca="1" ref="U188" ca="1">IF(OR(T188=0,T188=""),"",INDEX(misCriticidades,S188)&amp;"-"&amp;IFERROR(MATCH(T188,miOrdenTarjeta,0),0))</f>
        <v>3-6</v>
      </c>
      <c r="W188" s="18">
        <f t="shared" ca="1" si="64"/>
        <v>1</v>
      </c>
      <c r="X188" s="18" t="str">
        <f t="shared" ca="1" si="75"/>
        <v/>
      </c>
      <c r="Y188" s="18" t="str" cm="1">
        <f t="array" aca="1" ref="Y188" ca="1">IF(X188="","",IF(X188&lt;&gt;X187,1,IF(Y187=misLíneas-2,0,Y187+1)))</f>
        <v/>
      </c>
      <c r="Z188" s="18" t="str" cm="1">
        <f t="array" aca="1" ref="Z188" ca="1">IF(OR(Y188=0,Y188=""),"",INDEX(misCriticidades,X188)&amp;"-"&amp;IFERROR(MATCH(Y188,miOrdenTarjeta,0),0))</f>
        <v/>
      </c>
      <c r="AB188" s="18">
        <f t="shared" ca="1" si="65"/>
        <v>1</v>
      </c>
      <c r="AC188" s="18" t="str">
        <f t="shared" ca="1" si="56"/>
        <v/>
      </c>
      <c r="AD188" s="18" t="str" cm="1">
        <f t="array" aca="1" ref="AD188" ca="1">IF(AC188="","",IF(AC188&lt;&gt;AC187,1,IF(AD187=misLíneas-2,0,AD187+1)))</f>
        <v/>
      </c>
      <c r="AE188" s="18" t="str" cm="1">
        <f t="array" aca="1" ref="AE188" ca="1">IF(OR(AD188=0,AD188=""),"",INDEX(misCriticidades,AC188)&amp;"-"&amp;IFERROR(MATCH(AD188,miOrdenTarjeta,0),0))</f>
        <v/>
      </c>
      <c r="AG188" s="18">
        <f t="shared" ca="1" si="66"/>
        <v>1</v>
      </c>
      <c r="AH188" s="18" t="str">
        <f t="shared" ca="1" si="57"/>
        <v/>
      </c>
      <c r="AI188" s="18" t="str" cm="1">
        <f t="array" aca="1" ref="AI188" ca="1">IF(AH188="","",IF(AH188&lt;&gt;AH187,1,IF(AI187=misLíneas-2,0,AI187+1)))</f>
        <v/>
      </c>
      <c r="AJ188" s="18" t="str" cm="1">
        <f t="array" aca="1" ref="AJ188" ca="1">IF(OR(AI188=0,AI188=""),"",INDEX(misCriticidades,AH188)&amp;"-"&amp;IFERROR(MATCH(AI188,miOrdenTarjeta,0),0))</f>
        <v/>
      </c>
      <c r="AL188" s="18">
        <f t="shared" ca="1" si="67"/>
        <v>1</v>
      </c>
      <c r="AM188" s="18" t="str">
        <f t="shared" ca="1" si="58"/>
        <v/>
      </c>
      <c r="AN188" s="18" t="str" cm="1">
        <f t="array" aca="1" ref="AN188" ca="1">IF(AM188="","",IF(AM188&lt;&gt;AM187,1,IF(AN187=misLíneas-2,0,AN187+1)))</f>
        <v/>
      </c>
      <c r="AO188" s="18" t="str" cm="1">
        <f t="array" aca="1" ref="AO188" ca="1">IF(OR(AN188=0,AN188=""),"",INDEX(misCriticidades,AM188)&amp;"-"&amp;IFERROR(MATCH(AN188,miOrdenTarjeta,0),0))</f>
        <v/>
      </c>
      <c r="AQ188" s="18">
        <f t="shared" ca="1" si="68"/>
        <v>1</v>
      </c>
      <c r="AR188" s="18" t="str">
        <f t="shared" ca="1" si="59"/>
        <v/>
      </c>
      <c r="AS188" s="18" t="str" cm="1">
        <f t="array" aca="1" ref="AS188" ca="1">IF(AR188="","",IF(AR188&lt;&gt;AR187,1,IF(AS187=misLíneas-2,0,AS187+1)))</f>
        <v/>
      </c>
      <c r="AT188" s="18" t="str" cm="1">
        <f t="array" aca="1" ref="AT188" ca="1">IF(OR(AS188=0,AS188=""),"",INDEX(misCriticidades,AR188)&amp;"-"&amp;IFERROR(MATCH(AS188,miOrdenTarjeta,0),0))</f>
        <v/>
      </c>
      <c r="AV188" s="18">
        <f t="shared" ca="1" si="69"/>
        <v>1</v>
      </c>
      <c r="AW188" s="18" t="str">
        <f t="shared" ca="1" si="60"/>
        <v/>
      </c>
      <c r="AX188" s="18" t="str" cm="1">
        <f t="array" aca="1" ref="AX188" ca="1">IF(AW188="","",IF(AW188&lt;&gt;AW187,1,IF(AX187=misLíneas-2,0,AX187+1)))</f>
        <v/>
      </c>
      <c r="AY188" s="18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18">
        <f t="shared" ca="1" si="70"/>
        <v>1</v>
      </c>
      <c r="D189" s="18" t="str">
        <f t="shared" ca="1" si="71"/>
        <v/>
      </c>
      <c r="E189" s="18" t="str" cm="1">
        <f t="array" aca="1" ref="E189" ca="1">IF(D189="","",IF(D189&lt;&gt;D188,1,IF(E188=misLíneas-2,0,E188+1)))</f>
        <v/>
      </c>
      <c r="F189" s="18" t="str" cm="1">
        <f t="array" aca="1" ref="F189" ca="1">IF(OR(E189=0,E189=""),"",INDEX(misCriticidades,D189)&amp;"-"&amp;IFERROR(MATCH(E189,miOrdenTarjeta,0),0))</f>
        <v/>
      </c>
      <c r="H189" s="18">
        <f t="shared" ca="1" si="61"/>
        <v>1</v>
      </c>
      <c r="I189" s="18" t="str">
        <f t="shared" ca="1" si="72"/>
        <v/>
      </c>
      <c r="J189" s="18" t="str" cm="1">
        <f t="array" aca="1" ref="J189" ca="1">IF(I189="","",IF(I189&lt;&gt;I188,1,IF(J188=misLíneas-2,0,J188+1)))</f>
        <v/>
      </c>
      <c r="K189" s="18" t="str" cm="1">
        <f t="array" aca="1" ref="K189" ca="1">IF(OR(J189=0,J189=""),"",INDEX(misCriticidades,I189)&amp;"-"&amp;IFERROR(MATCH(J189,miOrdenTarjeta,0),0))</f>
        <v/>
      </c>
      <c r="M189" s="18">
        <f t="shared" ca="1" si="62"/>
        <v>1</v>
      </c>
      <c r="N189" s="18" t="str">
        <f t="shared" ca="1" si="73"/>
        <v/>
      </c>
      <c r="O189" s="18" t="str" cm="1">
        <f t="array" aca="1" ref="O189" ca="1">IF(N189="","",IF(N189&lt;&gt;N188,1,IF(O188=misLíneas-2,0,O188+1)))</f>
        <v/>
      </c>
      <c r="P189" s="18" t="str" cm="1">
        <f t="array" aca="1" ref="P189" ca="1">IF(OR(O189=0,O189=""),"",INDEX(misCriticidades,N189)&amp;"-"&amp;IFERROR(MATCH(O189,miOrdenTarjeta,0),0))</f>
        <v/>
      </c>
      <c r="R189" s="18">
        <f t="shared" ca="1" si="63"/>
        <v>21</v>
      </c>
      <c r="S189" s="18">
        <f t="shared" ca="1" si="74"/>
        <v>10</v>
      </c>
      <c r="T189" s="18" cm="1">
        <f t="array" aca="1" ref="T189" ca="1">IF(S189="","",IF(S189&lt;&gt;S188,1,IF(T188=misLíneas-2,0,T188+1)))</f>
        <v>7</v>
      </c>
      <c r="U189" s="18" t="str" cm="1">
        <f t="array" aca="1" ref="U189" ca="1">IF(OR(T189=0,T189=""),"",INDEX(misCriticidades,S189)&amp;"-"&amp;IFERROR(MATCH(T189,miOrdenTarjeta,0),0))</f>
        <v>3-7</v>
      </c>
      <c r="W189" s="18">
        <f t="shared" ca="1" si="64"/>
        <v>1</v>
      </c>
      <c r="X189" s="18" t="str">
        <f t="shared" ca="1" si="75"/>
        <v/>
      </c>
      <c r="Y189" s="18" t="str" cm="1">
        <f t="array" aca="1" ref="Y189" ca="1">IF(X189="","",IF(X189&lt;&gt;X188,1,IF(Y188=misLíneas-2,0,Y188+1)))</f>
        <v/>
      </c>
      <c r="Z189" s="18" t="str" cm="1">
        <f t="array" aca="1" ref="Z189" ca="1">IF(OR(Y189=0,Y189=""),"",INDEX(misCriticidades,X189)&amp;"-"&amp;IFERROR(MATCH(Y189,miOrdenTarjeta,0),0))</f>
        <v/>
      </c>
      <c r="AB189" s="18">
        <f t="shared" ca="1" si="65"/>
        <v>1</v>
      </c>
      <c r="AC189" s="18" t="str">
        <f t="shared" ca="1" si="56"/>
        <v/>
      </c>
      <c r="AD189" s="18" t="str" cm="1">
        <f t="array" aca="1" ref="AD189" ca="1">IF(AC189="","",IF(AC189&lt;&gt;AC188,1,IF(AD188=misLíneas-2,0,AD188+1)))</f>
        <v/>
      </c>
      <c r="AE189" s="18" t="str" cm="1">
        <f t="array" aca="1" ref="AE189" ca="1">IF(OR(AD189=0,AD189=""),"",INDEX(misCriticidades,AC189)&amp;"-"&amp;IFERROR(MATCH(AD189,miOrdenTarjeta,0),0))</f>
        <v/>
      </c>
      <c r="AG189" s="18">
        <f t="shared" ca="1" si="66"/>
        <v>1</v>
      </c>
      <c r="AH189" s="18" t="str">
        <f t="shared" ca="1" si="57"/>
        <v/>
      </c>
      <c r="AI189" s="18" t="str" cm="1">
        <f t="array" aca="1" ref="AI189" ca="1">IF(AH189="","",IF(AH189&lt;&gt;AH188,1,IF(AI188=misLíneas-2,0,AI188+1)))</f>
        <v/>
      </c>
      <c r="AJ189" s="18" t="str" cm="1">
        <f t="array" aca="1" ref="AJ189" ca="1">IF(OR(AI189=0,AI189=""),"",INDEX(misCriticidades,AH189)&amp;"-"&amp;IFERROR(MATCH(AI189,miOrdenTarjeta,0),0))</f>
        <v/>
      </c>
      <c r="AL189" s="18">
        <f t="shared" ca="1" si="67"/>
        <v>1</v>
      </c>
      <c r="AM189" s="18" t="str">
        <f t="shared" ca="1" si="58"/>
        <v/>
      </c>
      <c r="AN189" s="18" t="str" cm="1">
        <f t="array" aca="1" ref="AN189" ca="1">IF(AM189="","",IF(AM189&lt;&gt;AM188,1,IF(AN188=misLíneas-2,0,AN188+1)))</f>
        <v/>
      </c>
      <c r="AO189" s="18" t="str" cm="1">
        <f t="array" aca="1" ref="AO189" ca="1">IF(OR(AN189=0,AN189=""),"",INDEX(misCriticidades,AM189)&amp;"-"&amp;IFERROR(MATCH(AN189,miOrdenTarjeta,0),0))</f>
        <v/>
      </c>
      <c r="AQ189" s="18">
        <f t="shared" ca="1" si="68"/>
        <v>1</v>
      </c>
      <c r="AR189" s="18" t="str">
        <f t="shared" ca="1" si="59"/>
        <v/>
      </c>
      <c r="AS189" s="18" t="str" cm="1">
        <f t="array" aca="1" ref="AS189" ca="1">IF(AR189="","",IF(AR189&lt;&gt;AR188,1,IF(AS188=misLíneas-2,0,AS188+1)))</f>
        <v/>
      </c>
      <c r="AT189" s="18" t="str" cm="1">
        <f t="array" aca="1" ref="AT189" ca="1">IF(OR(AS189=0,AS189=""),"",INDEX(misCriticidades,AR189)&amp;"-"&amp;IFERROR(MATCH(AS189,miOrdenTarjeta,0),0))</f>
        <v/>
      </c>
      <c r="AV189" s="18">
        <f t="shared" ca="1" si="69"/>
        <v>1</v>
      </c>
      <c r="AW189" s="18" t="str">
        <f t="shared" ca="1" si="60"/>
        <v/>
      </c>
      <c r="AX189" s="18" t="str" cm="1">
        <f t="array" aca="1" ref="AX189" ca="1">IF(AW189="","",IF(AW189&lt;&gt;AW188,1,IF(AX188=misLíneas-2,0,AX188+1)))</f>
        <v/>
      </c>
      <c r="AY189" s="18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18">
        <f t="shared" ca="1" si="70"/>
        <v>1</v>
      </c>
      <c r="D190" s="18" t="str">
        <f t="shared" ca="1" si="71"/>
        <v/>
      </c>
      <c r="E190" s="18" t="str" cm="1">
        <f t="array" aca="1" ref="E190" ca="1">IF(D190="","",IF(D190&lt;&gt;D189,1,IF(E189=misLíneas-2,0,E189+1)))</f>
        <v/>
      </c>
      <c r="F190" s="18" t="str" cm="1">
        <f t="array" aca="1" ref="F190" ca="1">IF(OR(E190=0,E190=""),"",INDEX(misCriticidades,D190)&amp;"-"&amp;IFERROR(MATCH(E190,miOrdenTarjeta,0),0))</f>
        <v/>
      </c>
      <c r="H190" s="18">
        <f t="shared" ca="1" si="61"/>
        <v>1</v>
      </c>
      <c r="I190" s="18" t="str">
        <f t="shared" ca="1" si="72"/>
        <v/>
      </c>
      <c r="J190" s="18" t="str" cm="1">
        <f t="array" aca="1" ref="J190" ca="1">IF(I190="","",IF(I190&lt;&gt;I189,1,IF(J189=misLíneas-2,0,J189+1)))</f>
        <v/>
      </c>
      <c r="K190" s="18" t="str" cm="1">
        <f t="array" aca="1" ref="K190" ca="1">IF(OR(J190=0,J190=""),"",INDEX(misCriticidades,I190)&amp;"-"&amp;IFERROR(MATCH(J190,miOrdenTarjeta,0),0))</f>
        <v/>
      </c>
      <c r="M190" s="18">
        <f t="shared" ca="1" si="62"/>
        <v>1</v>
      </c>
      <c r="N190" s="18" t="str">
        <f t="shared" ca="1" si="73"/>
        <v/>
      </c>
      <c r="O190" s="18" t="str" cm="1">
        <f t="array" aca="1" ref="O190" ca="1">IF(N190="","",IF(N190&lt;&gt;N189,1,IF(O189=misLíneas-2,0,O189+1)))</f>
        <v/>
      </c>
      <c r="P190" s="18" t="str" cm="1">
        <f t="array" aca="1" ref="P190" ca="1">IF(OR(O190=0,O190=""),"",INDEX(misCriticidades,N190)&amp;"-"&amp;IFERROR(MATCH(O190,miOrdenTarjeta,0),0))</f>
        <v/>
      </c>
      <c r="R190" s="18">
        <f t="shared" ca="1" si="63"/>
        <v>21</v>
      </c>
      <c r="S190" s="18">
        <f t="shared" ca="1" si="74"/>
        <v>10</v>
      </c>
      <c r="T190" s="18" cm="1">
        <f t="array" aca="1" ref="T190" ca="1">IF(S190="","",IF(S190&lt;&gt;S189,1,IF(T189=misLíneas-2,0,T189+1)))</f>
        <v>8</v>
      </c>
      <c r="U190" s="18" t="str" cm="1">
        <f t="array" aca="1" ref="U190" ca="1">IF(OR(T190=0,T190=""),"",INDEX(misCriticidades,S190)&amp;"-"&amp;IFERROR(MATCH(T190,miOrdenTarjeta,0),0))</f>
        <v>3-8</v>
      </c>
      <c r="W190" s="18">
        <f t="shared" ca="1" si="64"/>
        <v>1</v>
      </c>
      <c r="X190" s="18" t="str">
        <f t="shared" ca="1" si="75"/>
        <v/>
      </c>
      <c r="Y190" s="18" t="str" cm="1">
        <f t="array" aca="1" ref="Y190" ca="1">IF(X190="","",IF(X190&lt;&gt;X189,1,IF(Y189=misLíneas-2,0,Y189+1)))</f>
        <v/>
      </c>
      <c r="Z190" s="18" t="str" cm="1">
        <f t="array" aca="1" ref="Z190" ca="1">IF(OR(Y190=0,Y190=""),"",INDEX(misCriticidades,X190)&amp;"-"&amp;IFERROR(MATCH(Y190,miOrdenTarjeta,0),0))</f>
        <v/>
      </c>
      <c r="AB190" s="18">
        <f t="shared" ca="1" si="65"/>
        <v>1</v>
      </c>
      <c r="AC190" s="18" t="str">
        <f t="shared" ca="1" si="56"/>
        <v/>
      </c>
      <c r="AD190" s="18" t="str" cm="1">
        <f t="array" aca="1" ref="AD190" ca="1">IF(AC190="","",IF(AC190&lt;&gt;AC189,1,IF(AD189=misLíneas-2,0,AD189+1)))</f>
        <v/>
      </c>
      <c r="AE190" s="18" t="str" cm="1">
        <f t="array" aca="1" ref="AE190" ca="1">IF(OR(AD190=0,AD190=""),"",INDEX(misCriticidades,AC190)&amp;"-"&amp;IFERROR(MATCH(AD190,miOrdenTarjeta,0),0))</f>
        <v/>
      </c>
      <c r="AG190" s="18">
        <f t="shared" ca="1" si="66"/>
        <v>1</v>
      </c>
      <c r="AH190" s="18" t="str">
        <f t="shared" ca="1" si="57"/>
        <v/>
      </c>
      <c r="AI190" s="18" t="str" cm="1">
        <f t="array" aca="1" ref="AI190" ca="1">IF(AH190="","",IF(AH190&lt;&gt;AH189,1,IF(AI189=misLíneas-2,0,AI189+1)))</f>
        <v/>
      </c>
      <c r="AJ190" s="18" t="str" cm="1">
        <f t="array" aca="1" ref="AJ190" ca="1">IF(OR(AI190=0,AI190=""),"",INDEX(misCriticidades,AH190)&amp;"-"&amp;IFERROR(MATCH(AI190,miOrdenTarjeta,0),0))</f>
        <v/>
      </c>
      <c r="AL190" s="18">
        <f t="shared" ca="1" si="67"/>
        <v>1</v>
      </c>
      <c r="AM190" s="18" t="str">
        <f t="shared" ca="1" si="58"/>
        <v/>
      </c>
      <c r="AN190" s="18" t="str" cm="1">
        <f t="array" aca="1" ref="AN190" ca="1">IF(AM190="","",IF(AM190&lt;&gt;AM189,1,IF(AN189=misLíneas-2,0,AN189+1)))</f>
        <v/>
      </c>
      <c r="AO190" s="18" t="str" cm="1">
        <f t="array" aca="1" ref="AO190" ca="1">IF(OR(AN190=0,AN190=""),"",INDEX(misCriticidades,AM190)&amp;"-"&amp;IFERROR(MATCH(AN190,miOrdenTarjeta,0),0))</f>
        <v/>
      </c>
      <c r="AQ190" s="18">
        <f t="shared" ca="1" si="68"/>
        <v>1</v>
      </c>
      <c r="AR190" s="18" t="str">
        <f t="shared" ca="1" si="59"/>
        <v/>
      </c>
      <c r="AS190" s="18" t="str" cm="1">
        <f t="array" aca="1" ref="AS190" ca="1">IF(AR190="","",IF(AR190&lt;&gt;AR189,1,IF(AS189=misLíneas-2,0,AS189+1)))</f>
        <v/>
      </c>
      <c r="AT190" s="18" t="str" cm="1">
        <f t="array" aca="1" ref="AT190" ca="1">IF(OR(AS190=0,AS190=""),"",INDEX(misCriticidades,AR190)&amp;"-"&amp;IFERROR(MATCH(AS190,miOrdenTarjeta,0),0))</f>
        <v/>
      </c>
      <c r="AV190" s="18">
        <f t="shared" ca="1" si="69"/>
        <v>1</v>
      </c>
      <c r="AW190" s="18" t="str">
        <f t="shared" ca="1" si="60"/>
        <v/>
      </c>
      <c r="AX190" s="18" t="str" cm="1">
        <f t="array" aca="1" ref="AX190" ca="1">IF(AW190="","",IF(AW190&lt;&gt;AW189,1,IF(AX189=misLíneas-2,0,AX189+1)))</f>
        <v/>
      </c>
      <c r="AY190" s="18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18">
        <f t="shared" ca="1" si="70"/>
        <v>1</v>
      </c>
      <c r="D191" s="18" t="str">
        <f t="shared" ca="1" si="71"/>
        <v/>
      </c>
      <c r="E191" s="18" t="str" cm="1">
        <f t="array" aca="1" ref="E191" ca="1">IF(D191="","",IF(D191&lt;&gt;D190,1,IF(E190=misLíneas-2,0,E190+1)))</f>
        <v/>
      </c>
      <c r="F191" s="18" t="str" cm="1">
        <f t="array" aca="1" ref="F191" ca="1">IF(OR(E191=0,E191=""),"",INDEX(misCriticidades,D191)&amp;"-"&amp;IFERROR(MATCH(E191,miOrdenTarjeta,0),0))</f>
        <v/>
      </c>
      <c r="H191" s="18">
        <f t="shared" ca="1" si="61"/>
        <v>1</v>
      </c>
      <c r="I191" s="18" t="str">
        <f t="shared" ca="1" si="72"/>
        <v/>
      </c>
      <c r="J191" s="18" t="str" cm="1">
        <f t="array" aca="1" ref="J191" ca="1">IF(I191="","",IF(I191&lt;&gt;I190,1,IF(J190=misLíneas-2,0,J190+1)))</f>
        <v/>
      </c>
      <c r="K191" s="18" t="str" cm="1">
        <f t="array" aca="1" ref="K191" ca="1">IF(OR(J191=0,J191=""),"",INDEX(misCriticidades,I191)&amp;"-"&amp;IFERROR(MATCH(J191,miOrdenTarjeta,0),0))</f>
        <v/>
      </c>
      <c r="M191" s="18">
        <f t="shared" ca="1" si="62"/>
        <v>1</v>
      </c>
      <c r="N191" s="18" t="str">
        <f t="shared" ca="1" si="73"/>
        <v/>
      </c>
      <c r="O191" s="18" t="str" cm="1">
        <f t="array" aca="1" ref="O191" ca="1">IF(N191="","",IF(N191&lt;&gt;N190,1,IF(O190=misLíneas-2,0,O190+1)))</f>
        <v/>
      </c>
      <c r="P191" s="18" t="str" cm="1">
        <f t="array" aca="1" ref="P191" ca="1">IF(OR(O191=0,O191=""),"",INDEX(misCriticidades,N191)&amp;"-"&amp;IFERROR(MATCH(O191,miOrdenTarjeta,0),0))</f>
        <v/>
      </c>
      <c r="R191" s="18">
        <f t="shared" ca="1" si="63"/>
        <v>21</v>
      </c>
      <c r="S191" s="18">
        <f t="shared" ca="1" si="74"/>
        <v>10</v>
      </c>
      <c r="T191" s="18" cm="1">
        <f t="array" aca="1" ref="T191" ca="1">IF(S191="","",IF(S191&lt;&gt;S190,1,IF(T190=misLíneas-2,0,T190+1)))</f>
        <v>0</v>
      </c>
      <c r="U191" s="18" t="str" cm="1">
        <f t="array" aca="1" ref="U191" ca="1">IF(OR(T191=0,T191=""),"",INDEX(misCriticidades,S191)&amp;"-"&amp;IFERROR(MATCH(T191,miOrdenTarjeta,0),0))</f>
        <v/>
      </c>
      <c r="W191" s="18">
        <f t="shared" ca="1" si="64"/>
        <v>1</v>
      </c>
      <c r="X191" s="18" t="str">
        <f t="shared" ca="1" si="75"/>
        <v/>
      </c>
      <c r="Y191" s="18" t="str" cm="1">
        <f t="array" aca="1" ref="Y191" ca="1">IF(X191="","",IF(X191&lt;&gt;X190,1,IF(Y190=misLíneas-2,0,Y190+1)))</f>
        <v/>
      </c>
      <c r="Z191" s="18" t="str" cm="1">
        <f t="array" aca="1" ref="Z191" ca="1">IF(OR(Y191=0,Y191=""),"",INDEX(misCriticidades,X191)&amp;"-"&amp;IFERROR(MATCH(Y191,miOrdenTarjeta,0),0))</f>
        <v/>
      </c>
      <c r="AB191" s="18">
        <f t="shared" ca="1" si="65"/>
        <v>1</v>
      </c>
      <c r="AC191" s="18" t="str">
        <f t="shared" ca="1" si="56"/>
        <v/>
      </c>
      <c r="AD191" s="18" t="str" cm="1">
        <f t="array" aca="1" ref="AD191" ca="1">IF(AC191="","",IF(AC191&lt;&gt;AC190,1,IF(AD190=misLíneas-2,0,AD190+1)))</f>
        <v/>
      </c>
      <c r="AE191" s="18" t="str" cm="1">
        <f t="array" aca="1" ref="AE191" ca="1">IF(OR(AD191=0,AD191=""),"",INDEX(misCriticidades,AC191)&amp;"-"&amp;IFERROR(MATCH(AD191,miOrdenTarjeta,0),0))</f>
        <v/>
      </c>
      <c r="AG191" s="18">
        <f t="shared" ca="1" si="66"/>
        <v>1</v>
      </c>
      <c r="AH191" s="18" t="str">
        <f t="shared" ca="1" si="57"/>
        <v/>
      </c>
      <c r="AI191" s="18" t="str" cm="1">
        <f t="array" aca="1" ref="AI191" ca="1">IF(AH191="","",IF(AH191&lt;&gt;AH190,1,IF(AI190=misLíneas-2,0,AI190+1)))</f>
        <v/>
      </c>
      <c r="AJ191" s="18" t="str" cm="1">
        <f t="array" aca="1" ref="AJ191" ca="1">IF(OR(AI191=0,AI191=""),"",INDEX(misCriticidades,AH191)&amp;"-"&amp;IFERROR(MATCH(AI191,miOrdenTarjeta,0),0))</f>
        <v/>
      </c>
      <c r="AL191" s="18">
        <f t="shared" ca="1" si="67"/>
        <v>1</v>
      </c>
      <c r="AM191" s="18" t="str">
        <f t="shared" ca="1" si="58"/>
        <v/>
      </c>
      <c r="AN191" s="18" t="str" cm="1">
        <f t="array" aca="1" ref="AN191" ca="1">IF(AM191="","",IF(AM191&lt;&gt;AM190,1,IF(AN190=misLíneas-2,0,AN190+1)))</f>
        <v/>
      </c>
      <c r="AO191" s="18" t="str" cm="1">
        <f t="array" aca="1" ref="AO191" ca="1">IF(OR(AN191=0,AN191=""),"",INDEX(misCriticidades,AM191)&amp;"-"&amp;IFERROR(MATCH(AN191,miOrdenTarjeta,0),0))</f>
        <v/>
      </c>
      <c r="AQ191" s="18">
        <f t="shared" ca="1" si="68"/>
        <v>1</v>
      </c>
      <c r="AR191" s="18" t="str">
        <f t="shared" ca="1" si="59"/>
        <v/>
      </c>
      <c r="AS191" s="18" t="str" cm="1">
        <f t="array" aca="1" ref="AS191" ca="1">IF(AR191="","",IF(AR191&lt;&gt;AR190,1,IF(AS190=misLíneas-2,0,AS190+1)))</f>
        <v/>
      </c>
      <c r="AT191" s="18" t="str" cm="1">
        <f t="array" aca="1" ref="AT191" ca="1">IF(OR(AS191=0,AS191=""),"",INDEX(misCriticidades,AR191)&amp;"-"&amp;IFERROR(MATCH(AS191,miOrdenTarjeta,0),0))</f>
        <v/>
      </c>
      <c r="AV191" s="18">
        <f t="shared" ca="1" si="69"/>
        <v>1</v>
      </c>
      <c r="AW191" s="18" t="str">
        <f t="shared" ca="1" si="60"/>
        <v/>
      </c>
      <c r="AX191" s="18" t="str" cm="1">
        <f t="array" aca="1" ref="AX191" ca="1">IF(AW191="","",IF(AW191&lt;&gt;AW190,1,IF(AX190=misLíneas-2,0,AX190+1)))</f>
        <v/>
      </c>
      <c r="AY191" s="18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18">
        <f t="shared" ca="1" si="70"/>
        <v>1</v>
      </c>
      <c r="D192" s="18" t="str">
        <f t="shared" ca="1" si="71"/>
        <v/>
      </c>
      <c r="E192" s="18" t="str" cm="1">
        <f t="array" aca="1" ref="E192" ca="1">IF(D192="","",IF(D192&lt;&gt;D191,1,IF(E191=misLíneas-2,0,E191+1)))</f>
        <v/>
      </c>
      <c r="F192" s="18" t="str" cm="1">
        <f t="array" aca="1" ref="F192" ca="1">IF(OR(E192=0,E192=""),"",INDEX(misCriticidades,D192)&amp;"-"&amp;IFERROR(MATCH(E192,miOrdenTarjeta,0),0))</f>
        <v/>
      </c>
      <c r="H192" s="18">
        <f t="shared" ca="1" si="61"/>
        <v>1</v>
      </c>
      <c r="I192" s="18" t="str">
        <f t="shared" ca="1" si="72"/>
        <v/>
      </c>
      <c r="J192" s="18" t="str" cm="1">
        <f t="array" aca="1" ref="J192" ca="1">IF(I192="","",IF(I192&lt;&gt;I191,1,IF(J191=misLíneas-2,0,J191+1)))</f>
        <v/>
      </c>
      <c r="K192" s="18" t="str" cm="1">
        <f t="array" aca="1" ref="K192" ca="1">IF(OR(J192=0,J192=""),"",INDEX(misCriticidades,I192)&amp;"-"&amp;IFERROR(MATCH(J192,miOrdenTarjeta,0),0))</f>
        <v/>
      </c>
      <c r="M192" s="18">
        <f t="shared" ca="1" si="62"/>
        <v>1</v>
      </c>
      <c r="N192" s="18" t="str">
        <f t="shared" ca="1" si="73"/>
        <v/>
      </c>
      <c r="O192" s="18" t="str" cm="1">
        <f t="array" aca="1" ref="O192" ca="1">IF(N192="","",IF(N192&lt;&gt;N191,1,IF(O191=misLíneas-2,0,O191+1)))</f>
        <v/>
      </c>
      <c r="P192" s="18" t="str" cm="1">
        <f t="array" aca="1" ref="P192" ca="1">IF(OR(O192=0,O192=""),"",INDEX(misCriticidades,N192)&amp;"-"&amp;IFERROR(MATCH(O192,miOrdenTarjeta,0),0))</f>
        <v/>
      </c>
      <c r="R192" s="18">
        <f t="shared" ca="1" si="63"/>
        <v>22</v>
      </c>
      <c r="S192" s="18">
        <f t="shared" ca="1" si="74"/>
        <v>9</v>
      </c>
      <c r="T192" s="18" cm="1">
        <f t="array" aca="1" ref="T192" ca="1">IF(S192="","",IF(S192&lt;&gt;S191,1,IF(T191=misLíneas-2,0,T191+1)))</f>
        <v>1</v>
      </c>
      <c r="U192" s="18" t="str" cm="1">
        <f t="array" aca="1" ref="U192" ca="1">IF(OR(T192=0,T192=""),"",INDEX(misCriticidades,S192)&amp;"-"&amp;IFERROR(MATCH(T192,miOrdenTarjeta,0),0))</f>
        <v>2-1</v>
      </c>
      <c r="W192" s="18">
        <f t="shared" ca="1" si="64"/>
        <v>1</v>
      </c>
      <c r="X192" s="18" t="str">
        <f t="shared" ca="1" si="75"/>
        <v/>
      </c>
      <c r="Y192" s="18" t="str" cm="1">
        <f t="array" aca="1" ref="Y192" ca="1">IF(X192="","",IF(X192&lt;&gt;X191,1,IF(Y191=misLíneas-2,0,Y191+1)))</f>
        <v/>
      </c>
      <c r="Z192" s="18" t="str" cm="1">
        <f t="array" aca="1" ref="Z192" ca="1">IF(OR(Y192=0,Y192=""),"",INDEX(misCriticidades,X192)&amp;"-"&amp;IFERROR(MATCH(Y192,miOrdenTarjeta,0),0))</f>
        <v/>
      </c>
      <c r="AB192" s="18">
        <f t="shared" ca="1" si="65"/>
        <v>1</v>
      </c>
      <c r="AC192" s="18" t="str">
        <f t="shared" ca="1" si="56"/>
        <v/>
      </c>
      <c r="AD192" s="18" t="str" cm="1">
        <f t="array" aca="1" ref="AD192" ca="1">IF(AC192="","",IF(AC192&lt;&gt;AC191,1,IF(AD191=misLíneas-2,0,AD191+1)))</f>
        <v/>
      </c>
      <c r="AE192" s="18" t="str" cm="1">
        <f t="array" aca="1" ref="AE192" ca="1">IF(OR(AD192=0,AD192=""),"",INDEX(misCriticidades,AC192)&amp;"-"&amp;IFERROR(MATCH(AD192,miOrdenTarjeta,0),0))</f>
        <v/>
      </c>
      <c r="AG192" s="18">
        <f t="shared" ca="1" si="66"/>
        <v>1</v>
      </c>
      <c r="AH192" s="18" t="str">
        <f t="shared" ca="1" si="57"/>
        <v/>
      </c>
      <c r="AI192" s="18" t="str" cm="1">
        <f t="array" aca="1" ref="AI192" ca="1">IF(AH192="","",IF(AH192&lt;&gt;AH191,1,IF(AI191=misLíneas-2,0,AI191+1)))</f>
        <v/>
      </c>
      <c r="AJ192" s="18" t="str" cm="1">
        <f t="array" aca="1" ref="AJ192" ca="1">IF(OR(AI192=0,AI192=""),"",INDEX(misCriticidades,AH192)&amp;"-"&amp;IFERROR(MATCH(AI192,miOrdenTarjeta,0),0))</f>
        <v/>
      </c>
      <c r="AL192" s="18">
        <f t="shared" ca="1" si="67"/>
        <v>1</v>
      </c>
      <c r="AM192" s="18" t="str">
        <f t="shared" ca="1" si="58"/>
        <v/>
      </c>
      <c r="AN192" s="18" t="str" cm="1">
        <f t="array" aca="1" ref="AN192" ca="1">IF(AM192="","",IF(AM192&lt;&gt;AM191,1,IF(AN191=misLíneas-2,0,AN191+1)))</f>
        <v/>
      </c>
      <c r="AO192" s="18" t="str" cm="1">
        <f t="array" aca="1" ref="AO192" ca="1">IF(OR(AN192=0,AN192=""),"",INDEX(misCriticidades,AM192)&amp;"-"&amp;IFERROR(MATCH(AN192,miOrdenTarjeta,0),0))</f>
        <v/>
      </c>
      <c r="AQ192" s="18">
        <f t="shared" ca="1" si="68"/>
        <v>1</v>
      </c>
      <c r="AR192" s="18" t="str">
        <f t="shared" ca="1" si="59"/>
        <v/>
      </c>
      <c r="AS192" s="18" t="str" cm="1">
        <f t="array" aca="1" ref="AS192" ca="1">IF(AR192="","",IF(AR192&lt;&gt;AR191,1,IF(AS191=misLíneas-2,0,AS191+1)))</f>
        <v/>
      </c>
      <c r="AT192" s="18" t="str" cm="1">
        <f t="array" aca="1" ref="AT192" ca="1">IF(OR(AS192=0,AS192=""),"",INDEX(misCriticidades,AR192)&amp;"-"&amp;IFERROR(MATCH(AS192,miOrdenTarjeta,0),0))</f>
        <v/>
      </c>
      <c r="AV192" s="18">
        <f t="shared" ca="1" si="69"/>
        <v>1</v>
      </c>
      <c r="AW192" s="18" t="str">
        <f t="shared" ca="1" si="60"/>
        <v/>
      </c>
      <c r="AX192" s="18" t="str" cm="1">
        <f t="array" aca="1" ref="AX192" ca="1">IF(AW192="","",IF(AW192&lt;&gt;AW191,1,IF(AX191=misLíneas-2,0,AX191+1)))</f>
        <v/>
      </c>
      <c r="AY192" s="18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18">
        <f t="shared" ca="1" si="70"/>
        <v>1</v>
      </c>
      <c r="D193" s="18" t="str">
        <f t="shared" ca="1" si="71"/>
        <v/>
      </c>
      <c r="E193" s="18" t="str" cm="1">
        <f t="array" aca="1" ref="E193" ca="1">IF(D193="","",IF(D193&lt;&gt;D192,1,IF(E192=misLíneas-2,0,E192+1)))</f>
        <v/>
      </c>
      <c r="F193" s="18" t="str" cm="1">
        <f t="array" aca="1" ref="F193" ca="1">IF(OR(E193=0,E193=""),"",INDEX(misCriticidades,D193)&amp;"-"&amp;IFERROR(MATCH(E193,miOrdenTarjeta,0),0))</f>
        <v/>
      </c>
      <c r="H193" s="18">
        <f t="shared" ca="1" si="61"/>
        <v>1</v>
      </c>
      <c r="I193" s="18" t="str">
        <f t="shared" ca="1" si="72"/>
        <v/>
      </c>
      <c r="J193" s="18" t="str" cm="1">
        <f t="array" aca="1" ref="J193" ca="1">IF(I193="","",IF(I193&lt;&gt;I192,1,IF(J192=misLíneas-2,0,J192+1)))</f>
        <v/>
      </c>
      <c r="K193" s="18" t="str" cm="1">
        <f t="array" aca="1" ref="K193" ca="1">IF(OR(J193=0,J193=""),"",INDEX(misCriticidades,I193)&amp;"-"&amp;IFERROR(MATCH(J193,miOrdenTarjeta,0),0))</f>
        <v/>
      </c>
      <c r="M193" s="18">
        <f t="shared" ca="1" si="62"/>
        <v>1</v>
      </c>
      <c r="N193" s="18" t="str">
        <f t="shared" ca="1" si="73"/>
        <v/>
      </c>
      <c r="O193" s="18" t="str" cm="1">
        <f t="array" aca="1" ref="O193" ca="1">IF(N193="","",IF(N193&lt;&gt;N192,1,IF(O192=misLíneas-2,0,O192+1)))</f>
        <v/>
      </c>
      <c r="P193" s="18" t="str" cm="1">
        <f t="array" aca="1" ref="P193" ca="1">IF(OR(O193=0,O193=""),"",INDEX(misCriticidades,N193)&amp;"-"&amp;IFERROR(MATCH(O193,miOrdenTarjeta,0),0))</f>
        <v/>
      </c>
      <c r="R193" s="18">
        <f t="shared" ca="1" si="63"/>
        <v>22</v>
      </c>
      <c r="S193" s="18">
        <f t="shared" ca="1" si="74"/>
        <v>9</v>
      </c>
      <c r="T193" s="18" cm="1">
        <f t="array" aca="1" ref="T193" ca="1">IF(S193="","",IF(S193&lt;&gt;S192,1,IF(T192=misLíneas-2,0,T192+1)))</f>
        <v>2</v>
      </c>
      <c r="U193" s="18" t="str" cm="1">
        <f t="array" aca="1" ref="U193" ca="1">IF(OR(T193=0,T193=""),"",INDEX(misCriticidades,S193)&amp;"-"&amp;IFERROR(MATCH(T193,miOrdenTarjeta,0),0))</f>
        <v>2-2</v>
      </c>
      <c r="W193" s="18">
        <f t="shared" ca="1" si="64"/>
        <v>1</v>
      </c>
      <c r="X193" s="18" t="str">
        <f t="shared" ca="1" si="75"/>
        <v/>
      </c>
      <c r="Y193" s="18" t="str" cm="1">
        <f t="array" aca="1" ref="Y193" ca="1">IF(X193="","",IF(X193&lt;&gt;X192,1,IF(Y192=misLíneas-2,0,Y192+1)))</f>
        <v/>
      </c>
      <c r="Z193" s="18" t="str" cm="1">
        <f t="array" aca="1" ref="Z193" ca="1">IF(OR(Y193=0,Y193=""),"",INDEX(misCriticidades,X193)&amp;"-"&amp;IFERROR(MATCH(Y193,miOrdenTarjeta,0),0))</f>
        <v/>
      </c>
      <c r="AB193" s="18">
        <f t="shared" ca="1" si="65"/>
        <v>1</v>
      </c>
      <c r="AC193" s="18" t="str">
        <f t="shared" ca="1" si="56"/>
        <v/>
      </c>
      <c r="AD193" s="18" t="str" cm="1">
        <f t="array" aca="1" ref="AD193" ca="1">IF(AC193="","",IF(AC193&lt;&gt;AC192,1,IF(AD192=misLíneas-2,0,AD192+1)))</f>
        <v/>
      </c>
      <c r="AE193" s="18" t="str" cm="1">
        <f t="array" aca="1" ref="AE193" ca="1">IF(OR(AD193=0,AD193=""),"",INDEX(misCriticidades,AC193)&amp;"-"&amp;IFERROR(MATCH(AD193,miOrdenTarjeta,0),0))</f>
        <v/>
      </c>
      <c r="AG193" s="18">
        <f t="shared" ca="1" si="66"/>
        <v>1</v>
      </c>
      <c r="AH193" s="18" t="str">
        <f t="shared" ca="1" si="57"/>
        <v/>
      </c>
      <c r="AI193" s="18" t="str" cm="1">
        <f t="array" aca="1" ref="AI193" ca="1">IF(AH193="","",IF(AH193&lt;&gt;AH192,1,IF(AI192=misLíneas-2,0,AI192+1)))</f>
        <v/>
      </c>
      <c r="AJ193" s="18" t="str" cm="1">
        <f t="array" aca="1" ref="AJ193" ca="1">IF(OR(AI193=0,AI193=""),"",INDEX(misCriticidades,AH193)&amp;"-"&amp;IFERROR(MATCH(AI193,miOrdenTarjeta,0),0))</f>
        <v/>
      </c>
      <c r="AL193" s="18">
        <f t="shared" ca="1" si="67"/>
        <v>1</v>
      </c>
      <c r="AM193" s="18" t="str">
        <f t="shared" ca="1" si="58"/>
        <v/>
      </c>
      <c r="AN193" s="18" t="str" cm="1">
        <f t="array" aca="1" ref="AN193" ca="1">IF(AM193="","",IF(AM193&lt;&gt;AM192,1,IF(AN192=misLíneas-2,0,AN192+1)))</f>
        <v/>
      </c>
      <c r="AO193" s="18" t="str" cm="1">
        <f t="array" aca="1" ref="AO193" ca="1">IF(OR(AN193=0,AN193=""),"",INDEX(misCriticidades,AM193)&amp;"-"&amp;IFERROR(MATCH(AN193,miOrdenTarjeta,0),0))</f>
        <v/>
      </c>
      <c r="AQ193" s="18">
        <f t="shared" ca="1" si="68"/>
        <v>1</v>
      </c>
      <c r="AR193" s="18" t="str">
        <f t="shared" ca="1" si="59"/>
        <v/>
      </c>
      <c r="AS193" s="18" t="str" cm="1">
        <f t="array" aca="1" ref="AS193" ca="1">IF(AR193="","",IF(AR193&lt;&gt;AR192,1,IF(AS192=misLíneas-2,0,AS192+1)))</f>
        <v/>
      </c>
      <c r="AT193" s="18" t="str" cm="1">
        <f t="array" aca="1" ref="AT193" ca="1">IF(OR(AS193=0,AS193=""),"",INDEX(misCriticidades,AR193)&amp;"-"&amp;IFERROR(MATCH(AS193,miOrdenTarjeta,0),0))</f>
        <v/>
      </c>
      <c r="AV193" s="18">
        <f t="shared" ca="1" si="69"/>
        <v>1</v>
      </c>
      <c r="AW193" s="18" t="str">
        <f t="shared" ca="1" si="60"/>
        <v/>
      </c>
      <c r="AX193" s="18" t="str" cm="1">
        <f t="array" aca="1" ref="AX193" ca="1">IF(AW193="","",IF(AW193&lt;&gt;AW192,1,IF(AX192=misLíneas-2,0,AX192+1)))</f>
        <v/>
      </c>
      <c r="AY193" s="18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18">
        <f t="shared" ca="1" si="70"/>
        <v>1</v>
      </c>
      <c r="D194" s="18" t="str">
        <f t="shared" ca="1" si="71"/>
        <v/>
      </c>
      <c r="E194" s="18" t="str" cm="1">
        <f t="array" aca="1" ref="E194" ca="1">IF(D194="","",IF(D194&lt;&gt;D193,1,IF(E193=misLíneas-2,0,E193+1)))</f>
        <v/>
      </c>
      <c r="F194" s="18" t="str" cm="1">
        <f t="array" aca="1" ref="F194" ca="1">IF(OR(E194=0,E194=""),"",INDEX(misCriticidades,D194)&amp;"-"&amp;IFERROR(MATCH(E194,miOrdenTarjeta,0),0))</f>
        <v/>
      </c>
      <c r="H194" s="18">
        <f t="shared" ca="1" si="61"/>
        <v>1</v>
      </c>
      <c r="I194" s="18" t="str">
        <f t="shared" ca="1" si="72"/>
        <v/>
      </c>
      <c r="J194" s="18" t="str" cm="1">
        <f t="array" aca="1" ref="J194" ca="1">IF(I194="","",IF(I194&lt;&gt;I193,1,IF(J193=misLíneas-2,0,J193+1)))</f>
        <v/>
      </c>
      <c r="K194" s="18" t="str" cm="1">
        <f t="array" aca="1" ref="K194" ca="1">IF(OR(J194=0,J194=""),"",INDEX(misCriticidades,I194)&amp;"-"&amp;IFERROR(MATCH(J194,miOrdenTarjeta,0),0))</f>
        <v/>
      </c>
      <c r="M194" s="18">
        <f t="shared" ca="1" si="62"/>
        <v>1</v>
      </c>
      <c r="N194" s="18" t="str">
        <f t="shared" ca="1" si="73"/>
        <v/>
      </c>
      <c r="O194" s="18" t="str" cm="1">
        <f t="array" aca="1" ref="O194" ca="1">IF(N194="","",IF(N194&lt;&gt;N193,1,IF(O193=misLíneas-2,0,O193+1)))</f>
        <v/>
      </c>
      <c r="P194" s="18" t="str" cm="1">
        <f t="array" aca="1" ref="P194" ca="1">IF(OR(O194=0,O194=""),"",INDEX(misCriticidades,N194)&amp;"-"&amp;IFERROR(MATCH(O194,miOrdenTarjeta,0),0))</f>
        <v/>
      </c>
      <c r="R194" s="18">
        <f t="shared" ca="1" si="63"/>
        <v>22</v>
      </c>
      <c r="S194" s="18">
        <f t="shared" ca="1" si="74"/>
        <v>9</v>
      </c>
      <c r="T194" s="18" cm="1">
        <f t="array" aca="1" ref="T194" ca="1">IF(S194="","",IF(S194&lt;&gt;S193,1,IF(T193=misLíneas-2,0,T193+1)))</f>
        <v>3</v>
      </c>
      <c r="U194" s="18" t="str" cm="1">
        <f t="array" aca="1" ref="U194" ca="1">IF(OR(T194=0,T194=""),"",INDEX(misCriticidades,S194)&amp;"-"&amp;IFERROR(MATCH(T194,miOrdenTarjeta,0),0))</f>
        <v>2-3</v>
      </c>
      <c r="W194" s="18">
        <f t="shared" ca="1" si="64"/>
        <v>1</v>
      </c>
      <c r="X194" s="18" t="str">
        <f t="shared" ca="1" si="75"/>
        <v/>
      </c>
      <c r="Y194" s="18" t="str" cm="1">
        <f t="array" aca="1" ref="Y194" ca="1">IF(X194="","",IF(X194&lt;&gt;X193,1,IF(Y193=misLíneas-2,0,Y193+1)))</f>
        <v/>
      </c>
      <c r="Z194" s="18" t="str" cm="1">
        <f t="array" aca="1" ref="Z194" ca="1">IF(OR(Y194=0,Y194=""),"",INDEX(misCriticidades,X194)&amp;"-"&amp;IFERROR(MATCH(Y194,miOrdenTarjeta,0),0))</f>
        <v/>
      </c>
      <c r="AB194" s="18">
        <f t="shared" ca="1" si="65"/>
        <v>1</v>
      </c>
      <c r="AC194" s="18" t="str">
        <f t="shared" ca="1" si="56"/>
        <v/>
      </c>
      <c r="AD194" s="18" t="str" cm="1">
        <f t="array" aca="1" ref="AD194" ca="1">IF(AC194="","",IF(AC194&lt;&gt;AC193,1,IF(AD193=misLíneas-2,0,AD193+1)))</f>
        <v/>
      </c>
      <c r="AE194" s="18" t="str" cm="1">
        <f t="array" aca="1" ref="AE194" ca="1">IF(OR(AD194=0,AD194=""),"",INDEX(misCriticidades,AC194)&amp;"-"&amp;IFERROR(MATCH(AD194,miOrdenTarjeta,0),0))</f>
        <v/>
      </c>
      <c r="AG194" s="18">
        <f t="shared" ca="1" si="66"/>
        <v>1</v>
      </c>
      <c r="AH194" s="18" t="str">
        <f t="shared" ca="1" si="57"/>
        <v/>
      </c>
      <c r="AI194" s="18" t="str" cm="1">
        <f t="array" aca="1" ref="AI194" ca="1">IF(AH194="","",IF(AH194&lt;&gt;AH193,1,IF(AI193=misLíneas-2,0,AI193+1)))</f>
        <v/>
      </c>
      <c r="AJ194" s="18" t="str" cm="1">
        <f t="array" aca="1" ref="AJ194" ca="1">IF(OR(AI194=0,AI194=""),"",INDEX(misCriticidades,AH194)&amp;"-"&amp;IFERROR(MATCH(AI194,miOrdenTarjeta,0),0))</f>
        <v/>
      </c>
      <c r="AL194" s="18">
        <f t="shared" ca="1" si="67"/>
        <v>1</v>
      </c>
      <c r="AM194" s="18" t="str">
        <f t="shared" ca="1" si="58"/>
        <v/>
      </c>
      <c r="AN194" s="18" t="str" cm="1">
        <f t="array" aca="1" ref="AN194" ca="1">IF(AM194="","",IF(AM194&lt;&gt;AM193,1,IF(AN193=misLíneas-2,0,AN193+1)))</f>
        <v/>
      </c>
      <c r="AO194" s="18" t="str" cm="1">
        <f t="array" aca="1" ref="AO194" ca="1">IF(OR(AN194=0,AN194=""),"",INDEX(misCriticidades,AM194)&amp;"-"&amp;IFERROR(MATCH(AN194,miOrdenTarjeta,0),0))</f>
        <v/>
      </c>
      <c r="AQ194" s="18">
        <f t="shared" ca="1" si="68"/>
        <v>1</v>
      </c>
      <c r="AR194" s="18" t="str">
        <f t="shared" ca="1" si="59"/>
        <v/>
      </c>
      <c r="AS194" s="18" t="str" cm="1">
        <f t="array" aca="1" ref="AS194" ca="1">IF(AR194="","",IF(AR194&lt;&gt;AR193,1,IF(AS193=misLíneas-2,0,AS193+1)))</f>
        <v/>
      </c>
      <c r="AT194" s="18" t="str" cm="1">
        <f t="array" aca="1" ref="AT194" ca="1">IF(OR(AS194=0,AS194=""),"",INDEX(misCriticidades,AR194)&amp;"-"&amp;IFERROR(MATCH(AS194,miOrdenTarjeta,0),0))</f>
        <v/>
      </c>
      <c r="AV194" s="18">
        <f t="shared" ca="1" si="69"/>
        <v>1</v>
      </c>
      <c r="AW194" s="18" t="str">
        <f t="shared" ca="1" si="60"/>
        <v/>
      </c>
      <c r="AX194" s="18" t="str" cm="1">
        <f t="array" aca="1" ref="AX194" ca="1">IF(AW194="","",IF(AW194&lt;&gt;AW193,1,IF(AX193=misLíneas-2,0,AX193+1)))</f>
        <v/>
      </c>
      <c r="AY194" s="18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18">
        <f t="shared" ca="1" si="70"/>
        <v>1</v>
      </c>
      <c r="D195" s="18" t="str">
        <f t="shared" ref="D195:D198" ca="1" si="76">IF(C195&gt;C194,IFERROR(IF(F$1="v",SMALL(B$2:B$101,C195),LARGE(B$2:B$101,C195)),""),D194)</f>
        <v/>
      </c>
      <c r="E195" s="18" t="str" cm="1">
        <f t="array" aca="1" ref="E195" ca="1">IF(D195="","",IF(D195&lt;&gt;D194,1,IF(E194=misLíneas-2,0,E194+1)))</f>
        <v/>
      </c>
      <c r="F195" s="18" t="str" cm="1">
        <f t="array" aca="1" ref="F195" ca="1">IF(OR(E195=0,E195=""),"",INDEX(misCriticidades,D195)&amp;"-"&amp;IFERROR(MATCH(E195,miOrdenTarjeta,0),0))</f>
        <v/>
      </c>
      <c r="H195" s="18">
        <f t="shared" ca="1" si="61"/>
        <v>1</v>
      </c>
      <c r="I195" s="18" t="str">
        <f t="shared" ref="I195:I198" ca="1" si="77">IF(H195&gt;H194,IFERROR(IF(K$1="v",SMALL(G$2:G$101,H195),LARGE(G$2:G$101,H195)),""),I194)</f>
        <v/>
      </c>
      <c r="J195" s="18" t="str" cm="1">
        <f t="array" aca="1" ref="J195" ca="1">IF(I195="","",IF(I195&lt;&gt;I194,1,IF(J194=misLíneas-2,0,J194+1)))</f>
        <v/>
      </c>
      <c r="K195" s="18" t="str" cm="1">
        <f t="array" aca="1" ref="K195" ca="1">IF(OR(J195=0,J195=""),"",INDEX(misCriticidades,I195)&amp;"-"&amp;IFERROR(MATCH(J195,miOrdenTarjeta,0),0))</f>
        <v/>
      </c>
      <c r="M195" s="18">
        <f t="shared" ca="1" si="62"/>
        <v>1</v>
      </c>
      <c r="N195" s="18" t="str">
        <f t="shared" ref="N195:N198" ca="1" si="78">IF(M195&gt;M194,IFERROR(IF(P$1="v",SMALL(L$2:L$101,M195),LARGE(L$2:L$101,M195)),""),N194)</f>
        <v/>
      </c>
      <c r="O195" s="18" t="str" cm="1">
        <f t="array" aca="1" ref="O195" ca="1">IF(N195="","",IF(N195&lt;&gt;N194,1,IF(O194=misLíneas-2,0,O194+1)))</f>
        <v/>
      </c>
      <c r="P195" s="18" t="str" cm="1">
        <f t="array" aca="1" ref="P195" ca="1">IF(OR(O195=0,O195=""),"",INDEX(misCriticidades,N195)&amp;"-"&amp;IFERROR(MATCH(O195,miOrdenTarjeta,0),0))</f>
        <v/>
      </c>
      <c r="R195" s="18">
        <f t="shared" ca="1" si="63"/>
        <v>22</v>
      </c>
      <c r="S195" s="18">
        <f t="shared" ref="S195:S198" ca="1" si="79">IF(R195&gt;R194,IFERROR(IF(U$1="v",SMALL(Q$2:Q$101,R195),LARGE(Q$2:Q$101,R195)),""),S194)</f>
        <v>9</v>
      </c>
      <c r="T195" s="18" cm="1">
        <f t="array" aca="1" ref="T195" ca="1">IF(S195="","",IF(S195&lt;&gt;S194,1,IF(T194=misLíneas-2,0,T194+1)))</f>
        <v>4</v>
      </c>
      <c r="U195" s="18" t="str" cm="1">
        <f t="array" aca="1" ref="U195" ca="1">IF(OR(T195=0,T195=""),"",INDEX(misCriticidades,S195)&amp;"-"&amp;IFERROR(MATCH(T195,miOrdenTarjeta,0),0))</f>
        <v>2-4</v>
      </c>
      <c r="W195" s="18">
        <f t="shared" ca="1" si="64"/>
        <v>1</v>
      </c>
      <c r="X195" s="18" t="str">
        <f t="shared" ref="X195:X198" ca="1" si="80">IF(W195&gt;W194,IFERROR(IF(Z$1="v",SMALL(V$2:V$101,W195),LARGE(V$2:V$101,W195)),""),X194)</f>
        <v/>
      </c>
      <c r="Y195" s="18" t="str" cm="1">
        <f t="array" aca="1" ref="Y195" ca="1">IF(X195="","",IF(X195&lt;&gt;X194,1,IF(Y194=misLíneas-2,0,Y194+1)))</f>
        <v/>
      </c>
      <c r="Z195" s="18" t="str" cm="1">
        <f t="array" aca="1" ref="Z195" ca="1">IF(OR(Y195=0,Y195=""),"",INDEX(misCriticidades,X195)&amp;"-"&amp;IFERROR(MATCH(Y195,miOrdenTarjeta,0),0))</f>
        <v/>
      </c>
      <c r="AB195" s="18">
        <f t="shared" ca="1" si="65"/>
        <v>1</v>
      </c>
      <c r="AC195" s="18" t="str">
        <f t="shared" ref="AC195:AC198" ca="1" si="81">IF(AB195&gt;AB194,IFERROR(IF(AE$1="v",SMALL(AA$2:AA$101,AB195),LARGE(AA$2:AA$101,AB195)),""),AC194)</f>
        <v/>
      </c>
      <c r="AD195" s="18" t="str" cm="1">
        <f t="array" aca="1" ref="AD195" ca="1">IF(AC195="","",IF(AC195&lt;&gt;AC194,1,IF(AD194=misLíneas-2,0,AD194+1)))</f>
        <v/>
      </c>
      <c r="AE195" s="18" t="str" cm="1">
        <f t="array" aca="1" ref="AE195" ca="1">IF(OR(AD195=0,AD195=""),"",INDEX(misCriticidades,AC195)&amp;"-"&amp;IFERROR(MATCH(AD195,miOrdenTarjeta,0),0))</f>
        <v/>
      </c>
      <c r="AG195" s="18">
        <f t="shared" ca="1" si="66"/>
        <v>1</v>
      </c>
      <c r="AH195" s="18" t="str">
        <f t="shared" ref="AH195:AH198" ca="1" si="82">IF(AG195&gt;AG194,IFERROR(IF(AJ$1="v",SMALL(AF$2:AF$101,AG195),LARGE(AF$2:AF$101,AG195)),""),AH194)</f>
        <v/>
      </c>
      <c r="AI195" s="18" t="str" cm="1">
        <f t="array" aca="1" ref="AI195" ca="1">IF(AH195="","",IF(AH195&lt;&gt;AH194,1,IF(AI194=misLíneas-2,0,AI194+1)))</f>
        <v/>
      </c>
      <c r="AJ195" s="18" t="str" cm="1">
        <f t="array" aca="1" ref="AJ195" ca="1">IF(OR(AI195=0,AI195=""),"",INDEX(misCriticidades,AH195)&amp;"-"&amp;IFERROR(MATCH(AI195,miOrdenTarjeta,0),0))</f>
        <v/>
      </c>
      <c r="AL195" s="18">
        <f t="shared" ca="1" si="67"/>
        <v>1</v>
      </c>
      <c r="AM195" s="18" t="str">
        <f t="shared" ref="AM195:AM198" ca="1" si="83">IF(AL195&gt;AL194,IFERROR(IF(AO$1="v",SMALL(AK$2:AK$101,AL195),LARGE(AK$2:AK$101,AL195)),""),AM194)</f>
        <v/>
      </c>
      <c r="AN195" s="18" t="str" cm="1">
        <f t="array" aca="1" ref="AN195" ca="1">IF(AM195="","",IF(AM195&lt;&gt;AM194,1,IF(AN194=misLíneas-2,0,AN194+1)))</f>
        <v/>
      </c>
      <c r="AO195" s="18" t="str" cm="1">
        <f t="array" aca="1" ref="AO195" ca="1">IF(OR(AN195=0,AN195=""),"",INDEX(misCriticidades,AM195)&amp;"-"&amp;IFERROR(MATCH(AN195,miOrdenTarjeta,0),0))</f>
        <v/>
      </c>
      <c r="AQ195" s="18">
        <f t="shared" ca="1" si="68"/>
        <v>1</v>
      </c>
      <c r="AR195" s="18" t="str">
        <f t="shared" ref="AR195:AR198" ca="1" si="84">IF(AQ195&gt;AQ194,IFERROR(IF(AT$1="v",SMALL(AP$2:AP$101,AQ195),LARGE(AP$2:AP$101,AQ195)),""),AR194)</f>
        <v/>
      </c>
      <c r="AS195" s="18" t="str" cm="1">
        <f t="array" aca="1" ref="AS195" ca="1">IF(AR195="","",IF(AR195&lt;&gt;AR194,1,IF(AS194=misLíneas-2,0,AS194+1)))</f>
        <v/>
      </c>
      <c r="AT195" s="18" t="str" cm="1">
        <f t="array" aca="1" ref="AT195" ca="1">IF(OR(AS195=0,AS195=""),"",INDEX(misCriticidades,AR195)&amp;"-"&amp;IFERROR(MATCH(AS195,miOrdenTarjeta,0),0))</f>
        <v/>
      </c>
      <c r="AV195" s="18">
        <f t="shared" ca="1" si="69"/>
        <v>1</v>
      </c>
      <c r="AW195" s="18" t="str">
        <f t="shared" ref="AW195:AW198" ca="1" si="85">IF(AV195&gt;AV194,IFERROR(IF(AY$1="v",SMALL(AU$2:AU$101,AV195),LARGE(AU$2:AU$101,AV195)),""),AW194)</f>
        <v/>
      </c>
      <c r="AX195" s="18" t="str" cm="1">
        <f t="array" aca="1" ref="AX195" ca="1">IF(AW195="","",IF(AW195&lt;&gt;AW194,1,IF(AX194=misLíneas-2,0,AX194+1)))</f>
        <v/>
      </c>
      <c r="AY195" s="18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18">
        <f t="shared" ca="1" si="70"/>
        <v>1</v>
      </c>
      <c r="D196" s="18" t="str">
        <f t="shared" ca="1" si="76"/>
        <v/>
      </c>
      <c r="E196" s="18" t="str" cm="1">
        <f t="array" aca="1" ref="E196" ca="1">IF(D196="","",IF(D196&lt;&gt;D195,1,IF(E195=misLíneas-2,0,E195+1)))</f>
        <v/>
      </c>
      <c r="F196" s="18" t="str" cm="1">
        <f t="array" aca="1" ref="F196" ca="1">IF(OR(E196=0,E196=""),"",INDEX(misCriticidades,D196)&amp;"-"&amp;IFERROR(MATCH(E196,miOrdenTarjeta,0),0))</f>
        <v/>
      </c>
      <c r="H196" s="18">
        <f t="shared" ref="H196:H198" ca="1" si="86">H195--(J195=0)</f>
        <v>1</v>
      </c>
      <c r="I196" s="18" t="str">
        <f t="shared" ca="1" si="77"/>
        <v/>
      </c>
      <c r="J196" s="18" t="str" cm="1">
        <f t="array" aca="1" ref="J196" ca="1">IF(I196="","",IF(I196&lt;&gt;I195,1,IF(J195=misLíneas-2,0,J195+1)))</f>
        <v/>
      </c>
      <c r="K196" s="18" t="str" cm="1">
        <f t="array" aca="1" ref="K196" ca="1">IF(OR(J196=0,J196=""),"",INDEX(misCriticidades,I196)&amp;"-"&amp;IFERROR(MATCH(J196,miOrdenTarjeta,0),0))</f>
        <v/>
      </c>
      <c r="M196" s="18">
        <f t="shared" ref="M196:M198" ca="1" si="87">M195--(O195=0)</f>
        <v>1</v>
      </c>
      <c r="N196" s="18" t="str">
        <f t="shared" ca="1" si="78"/>
        <v/>
      </c>
      <c r="O196" s="18" t="str" cm="1">
        <f t="array" aca="1" ref="O196" ca="1">IF(N196="","",IF(N196&lt;&gt;N195,1,IF(O195=misLíneas-2,0,O195+1)))</f>
        <v/>
      </c>
      <c r="P196" s="18" t="str" cm="1">
        <f t="array" aca="1" ref="P196" ca="1">IF(OR(O196=0,O196=""),"",INDEX(misCriticidades,N196)&amp;"-"&amp;IFERROR(MATCH(O196,miOrdenTarjeta,0),0))</f>
        <v/>
      </c>
      <c r="R196" s="18">
        <f t="shared" ref="R196:R198" ca="1" si="88">R195--(T195=0)</f>
        <v>22</v>
      </c>
      <c r="S196" s="18">
        <f t="shared" ca="1" si="79"/>
        <v>9</v>
      </c>
      <c r="T196" s="18" cm="1">
        <f t="array" aca="1" ref="T196" ca="1">IF(S196="","",IF(S196&lt;&gt;S195,1,IF(T195=misLíneas-2,0,T195+1)))</f>
        <v>5</v>
      </c>
      <c r="U196" s="18" t="str" cm="1">
        <f t="array" aca="1" ref="U196" ca="1">IF(OR(T196=0,T196=""),"",INDEX(misCriticidades,S196)&amp;"-"&amp;IFERROR(MATCH(T196,miOrdenTarjeta,0),0))</f>
        <v>2-5</v>
      </c>
      <c r="W196" s="18">
        <f t="shared" ref="W196:W198" ca="1" si="89">W195--(Y195=0)</f>
        <v>1</v>
      </c>
      <c r="X196" s="18" t="str">
        <f t="shared" ca="1" si="80"/>
        <v/>
      </c>
      <c r="Y196" s="18" t="str" cm="1">
        <f t="array" aca="1" ref="Y196" ca="1">IF(X196="","",IF(X196&lt;&gt;X195,1,IF(Y195=misLíneas-2,0,Y195+1)))</f>
        <v/>
      </c>
      <c r="Z196" s="18" t="str" cm="1">
        <f t="array" aca="1" ref="Z196" ca="1">IF(OR(Y196=0,Y196=""),"",INDEX(misCriticidades,X196)&amp;"-"&amp;IFERROR(MATCH(Y196,miOrdenTarjeta,0),0))</f>
        <v/>
      </c>
      <c r="AB196" s="18">
        <f t="shared" ref="AB196:AB198" ca="1" si="90">AB195--(AD195=0)</f>
        <v>1</v>
      </c>
      <c r="AC196" s="18" t="str">
        <f t="shared" ca="1" si="81"/>
        <v/>
      </c>
      <c r="AD196" s="18" t="str" cm="1">
        <f t="array" aca="1" ref="AD196" ca="1">IF(AC196="","",IF(AC196&lt;&gt;AC195,1,IF(AD195=misLíneas-2,0,AD195+1)))</f>
        <v/>
      </c>
      <c r="AE196" s="18" t="str" cm="1">
        <f t="array" aca="1" ref="AE196" ca="1">IF(OR(AD196=0,AD196=""),"",INDEX(misCriticidades,AC196)&amp;"-"&amp;IFERROR(MATCH(AD196,miOrdenTarjeta,0),0))</f>
        <v/>
      </c>
      <c r="AG196" s="18">
        <f t="shared" ref="AG196:AG198" ca="1" si="91">AG195--(AI195=0)</f>
        <v>1</v>
      </c>
      <c r="AH196" s="18" t="str">
        <f t="shared" ca="1" si="82"/>
        <v/>
      </c>
      <c r="AI196" s="18" t="str" cm="1">
        <f t="array" aca="1" ref="AI196" ca="1">IF(AH196="","",IF(AH196&lt;&gt;AH195,1,IF(AI195=misLíneas-2,0,AI195+1)))</f>
        <v/>
      </c>
      <c r="AJ196" s="18" t="str" cm="1">
        <f t="array" aca="1" ref="AJ196" ca="1">IF(OR(AI196=0,AI196=""),"",INDEX(misCriticidades,AH196)&amp;"-"&amp;IFERROR(MATCH(AI196,miOrdenTarjeta,0),0))</f>
        <v/>
      </c>
      <c r="AL196" s="18">
        <f t="shared" ref="AL196:AL198" ca="1" si="92">AL195--(AN195=0)</f>
        <v>1</v>
      </c>
      <c r="AM196" s="18" t="str">
        <f t="shared" ca="1" si="83"/>
        <v/>
      </c>
      <c r="AN196" s="18" t="str" cm="1">
        <f t="array" aca="1" ref="AN196" ca="1">IF(AM196="","",IF(AM196&lt;&gt;AM195,1,IF(AN195=misLíneas-2,0,AN195+1)))</f>
        <v/>
      </c>
      <c r="AO196" s="18" t="str" cm="1">
        <f t="array" aca="1" ref="AO196" ca="1">IF(OR(AN196=0,AN196=""),"",INDEX(misCriticidades,AM196)&amp;"-"&amp;IFERROR(MATCH(AN196,miOrdenTarjeta,0),0))</f>
        <v/>
      </c>
      <c r="AQ196" s="18">
        <f t="shared" ref="AQ196:AQ198" ca="1" si="93">AQ195--(AS195=0)</f>
        <v>1</v>
      </c>
      <c r="AR196" s="18" t="str">
        <f t="shared" ca="1" si="84"/>
        <v/>
      </c>
      <c r="AS196" s="18" t="str" cm="1">
        <f t="array" aca="1" ref="AS196" ca="1">IF(AR196="","",IF(AR196&lt;&gt;AR195,1,IF(AS195=misLíneas-2,0,AS195+1)))</f>
        <v/>
      </c>
      <c r="AT196" s="18" t="str" cm="1">
        <f t="array" aca="1" ref="AT196" ca="1">IF(OR(AS196=0,AS196=""),"",INDEX(misCriticidades,AR196)&amp;"-"&amp;IFERROR(MATCH(AS196,miOrdenTarjeta,0),0))</f>
        <v/>
      </c>
      <c r="AV196" s="18">
        <f t="shared" ref="AV196:AV198" ca="1" si="94">AV195--(AX195=0)</f>
        <v>1</v>
      </c>
      <c r="AW196" s="18" t="str">
        <f t="shared" ca="1" si="85"/>
        <v/>
      </c>
      <c r="AX196" s="18" t="str" cm="1">
        <f t="array" aca="1" ref="AX196" ca="1">IF(AW196="","",IF(AW196&lt;&gt;AW195,1,IF(AX195=misLíneas-2,0,AX195+1)))</f>
        <v/>
      </c>
      <c r="AY196" s="18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18">
        <f t="shared" ca="1" si="70"/>
        <v>1</v>
      </c>
      <c r="D197" s="18" t="str">
        <f t="shared" ca="1" si="76"/>
        <v/>
      </c>
      <c r="E197" s="18" t="str" cm="1">
        <f t="array" aca="1" ref="E197" ca="1">IF(D197="","",IF(D197&lt;&gt;D196,1,IF(E196=misLíneas-2,0,E196+1)))</f>
        <v/>
      </c>
      <c r="F197" s="18" t="str" cm="1">
        <f t="array" aca="1" ref="F197" ca="1">IF(OR(E197=0,E197=""),"",INDEX(misCriticidades,D197)&amp;"-"&amp;IFERROR(MATCH(E197,miOrdenTarjeta,0),0))</f>
        <v/>
      </c>
      <c r="H197" s="18">
        <f t="shared" ca="1" si="86"/>
        <v>1</v>
      </c>
      <c r="I197" s="18" t="str">
        <f t="shared" ca="1" si="77"/>
        <v/>
      </c>
      <c r="J197" s="18" t="str" cm="1">
        <f t="array" aca="1" ref="J197" ca="1">IF(I197="","",IF(I197&lt;&gt;I196,1,IF(J196=misLíneas-2,0,J196+1)))</f>
        <v/>
      </c>
      <c r="K197" s="18" t="str" cm="1">
        <f t="array" aca="1" ref="K197" ca="1">IF(OR(J197=0,J197=""),"",INDEX(misCriticidades,I197)&amp;"-"&amp;IFERROR(MATCH(J197,miOrdenTarjeta,0),0))</f>
        <v/>
      </c>
      <c r="M197" s="18">
        <f t="shared" ca="1" si="87"/>
        <v>1</v>
      </c>
      <c r="N197" s="18" t="str">
        <f t="shared" ca="1" si="78"/>
        <v/>
      </c>
      <c r="O197" s="18" t="str" cm="1">
        <f t="array" aca="1" ref="O197" ca="1">IF(N197="","",IF(N197&lt;&gt;N196,1,IF(O196=misLíneas-2,0,O196+1)))</f>
        <v/>
      </c>
      <c r="P197" s="18" t="str" cm="1">
        <f t="array" aca="1" ref="P197" ca="1">IF(OR(O197=0,O197=""),"",INDEX(misCriticidades,N197)&amp;"-"&amp;IFERROR(MATCH(O197,miOrdenTarjeta,0),0))</f>
        <v/>
      </c>
      <c r="R197" s="18">
        <f t="shared" ca="1" si="88"/>
        <v>22</v>
      </c>
      <c r="S197" s="18">
        <f t="shared" ca="1" si="79"/>
        <v>9</v>
      </c>
      <c r="T197" s="18" cm="1">
        <f t="array" aca="1" ref="T197" ca="1">IF(S197="","",IF(S197&lt;&gt;S196,1,IF(T196=misLíneas-2,0,T196+1)))</f>
        <v>6</v>
      </c>
      <c r="U197" s="18" t="str" cm="1">
        <f t="array" aca="1" ref="U197" ca="1">IF(OR(T197=0,T197=""),"",INDEX(misCriticidades,S197)&amp;"-"&amp;IFERROR(MATCH(T197,miOrdenTarjeta,0),0))</f>
        <v>2-6</v>
      </c>
      <c r="W197" s="18">
        <f t="shared" ca="1" si="89"/>
        <v>1</v>
      </c>
      <c r="X197" s="18" t="str">
        <f t="shared" ca="1" si="80"/>
        <v/>
      </c>
      <c r="Y197" s="18" t="str" cm="1">
        <f t="array" aca="1" ref="Y197" ca="1">IF(X197="","",IF(X197&lt;&gt;X196,1,IF(Y196=misLíneas-2,0,Y196+1)))</f>
        <v/>
      </c>
      <c r="Z197" s="18" t="str" cm="1">
        <f t="array" aca="1" ref="Z197" ca="1">IF(OR(Y197=0,Y197=""),"",INDEX(misCriticidades,X197)&amp;"-"&amp;IFERROR(MATCH(Y197,miOrdenTarjeta,0),0))</f>
        <v/>
      </c>
      <c r="AB197" s="18">
        <f t="shared" ca="1" si="90"/>
        <v>1</v>
      </c>
      <c r="AC197" s="18" t="str">
        <f t="shared" ca="1" si="81"/>
        <v/>
      </c>
      <c r="AD197" s="18" t="str" cm="1">
        <f t="array" aca="1" ref="AD197" ca="1">IF(AC197="","",IF(AC197&lt;&gt;AC196,1,IF(AD196=misLíneas-2,0,AD196+1)))</f>
        <v/>
      </c>
      <c r="AE197" s="18" t="str" cm="1">
        <f t="array" aca="1" ref="AE197" ca="1">IF(OR(AD197=0,AD197=""),"",INDEX(misCriticidades,AC197)&amp;"-"&amp;IFERROR(MATCH(AD197,miOrdenTarjeta,0),0))</f>
        <v/>
      </c>
      <c r="AG197" s="18">
        <f t="shared" ca="1" si="91"/>
        <v>1</v>
      </c>
      <c r="AH197" s="18" t="str">
        <f t="shared" ca="1" si="82"/>
        <v/>
      </c>
      <c r="AI197" s="18" t="str" cm="1">
        <f t="array" aca="1" ref="AI197" ca="1">IF(AH197="","",IF(AH197&lt;&gt;AH196,1,IF(AI196=misLíneas-2,0,AI196+1)))</f>
        <v/>
      </c>
      <c r="AJ197" s="18" t="str" cm="1">
        <f t="array" aca="1" ref="AJ197" ca="1">IF(OR(AI197=0,AI197=""),"",INDEX(misCriticidades,AH197)&amp;"-"&amp;IFERROR(MATCH(AI197,miOrdenTarjeta,0),0))</f>
        <v/>
      </c>
      <c r="AL197" s="18">
        <f t="shared" ca="1" si="92"/>
        <v>1</v>
      </c>
      <c r="AM197" s="18" t="str">
        <f t="shared" ca="1" si="83"/>
        <v/>
      </c>
      <c r="AN197" s="18" t="str" cm="1">
        <f t="array" aca="1" ref="AN197" ca="1">IF(AM197="","",IF(AM197&lt;&gt;AM196,1,IF(AN196=misLíneas-2,0,AN196+1)))</f>
        <v/>
      </c>
      <c r="AO197" s="18" t="str" cm="1">
        <f t="array" aca="1" ref="AO197" ca="1">IF(OR(AN197=0,AN197=""),"",INDEX(misCriticidades,AM197)&amp;"-"&amp;IFERROR(MATCH(AN197,miOrdenTarjeta,0),0))</f>
        <v/>
      </c>
      <c r="AQ197" s="18">
        <f t="shared" ca="1" si="93"/>
        <v>1</v>
      </c>
      <c r="AR197" s="18" t="str">
        <f t="shared" ca="1" si="84"/>
        <v/>
      </c>
      <c r="AS197" s="18" t="str" cm="1">
        <f t="array" aca="1" ref="AS197" ca="1">IF(AR197="","",IF(AR197&lt;&gt;AR196,1,IF(AS196=misLíneas-2,0,AS196+1)))</f>
        <v/>
      </c>
      <c r="AT197" s="18" t="str" cm="1">
        <f t="array" aca="1" ref="AT197" ca="1">IF(OR(AS197=0,AS197=""),"",INDEX(misCriticidades,AR197)&amp;"-"&amp;IFERROR(MATCH(AS197,miOrdenTarjeta,0),0))</f>
        <v/>
      </c>
      <c r="AV197" s="18">
        <f t="shared" ca="1" si="94"/>
        <v>1</v>
      </c>
      <c r="AW197" s="18" t="str">
        <f t="shared" ca="1" si="85"/>
        <v/>
      </c>
      <c r="AX197" s="18" t="str" cm="1">
        <f t="array" aca="1" ref="AX197" ca="1">IF(AW197="","",IF(AW197&lt;&gt;AW196,1,IF(AX196=misLíneas-2,0,AX196+1)))</f>
        <v/>
      </c>
      <c r="AY197" s="18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18">
        <f t="shared" ca="1" si="70"/>
        <v>1</v>
      </c>
      <c r="D198" s="18" t="str">
        <f t="shared" ca="1" si="76"/>
        <v/>
      </c>
      <c r="E198" s="18" t="str" cm="1">
        <f t="array" aca="1" ref="E198" ca="1">IF(D198="","",IF(D198&lt;&gt;D197,1,IF(E197=misLíneas-2,0,E197+1)))</f>
        <v/>
      </c>
      <c r="F198" s="18" t="str" cm="1">
        <f t="array" aca="1" ref="F198" ca="1">IF(OR(E198=0,E198=""),"",INDEX(misCriticidades,D198)&amp;"-"&amp;IFERROR(MATCH(E198,miOrdenTarjeta,0),0))</f>
        <v/>
      </c>
      <c r="H198" s="18">
        <f t="shared" ca="1" si="86"/>
        <v>1</v>
      </c>
      <c r="I198" s="18" t="str">
        <f t="shared" ca="1" si="77"/>
        <v/>
      </c>
      <c r="J198" s="18" t="str" cm="1">
        <f t="array" aca="1" ref="J198" ca="1">IF(I198="","",IF(I198&lt;&gt;I197,1,IF(J197=misLíneas-2,0,J197+1)))</f>
        <v/>
      </c>
      <c r="K198" s="18" t="str" cm="1">
        <f t="array" aca="1" ref="K198" ca="1">IF(OR(J198=0,J198=""),"",INDEX(misCriticidades,I198)&amp;"-"&amp;IFERROR(MATCH(J198,miOrdenTarjeta,0),0))</f>
        <v/>
      </c>
      <c r="M198" s="18">
        <f t="shared" ca="1" si="87"/>
        <v>1</v>
      </c>
      <c r="N198" s="18" t="str">
        <f t="shared" ca="1" si="78"/>
        <v/>
      </c>
      <c r="O198" s="18" t="str" cm="1">
        <f t="array" aca="1" ref="O198" ca="1">IF(N198="","",IF(N198&lt;&gt;N197,1,IF(O197=misLíneas-2,0,O197+1)))</f>
        <v/>
      </c>
      <c r="P198" s="18" t="str" cm="1">
        <f t="array" aca="1" ref="P198" ca="1">IF(OR(O198=0,O198=""),"",INDEX(misCriticidades,N198)&amp;"-"&amp;IFERROR(MATCH(O198,miOrdenTarjeta,0),0))</f>
        <v/>
      </c>
      <c r="R198" s="18">
        <f t="shared" ca="1" si="88"/>
        <v>22</v>
      </c>
      <c r="S198" s="18">
        <f t="shared" ca="1" si="79"/>
        <v>9</v>
      </c>
      <c r="T198" s="18" cm="1">
        <f t="array" aca="1" ref="T198" ca="1">IF(S198="","",IF(S198&lt;&gt;S197,1,IF(T197=misLíneas-2,0,T197+1)))</f>
        <v>7</v>
      </c>
      <c r="U198" s="18" t="str" cm="1">
        <f t="array" aca="1" ref="U198" ca="1">IF(OR(T198=0,T198=""),"",INDEX(misCriticidades,S198)&amp;"-"&amp;IFERROR(MATCH(T198,miOrdenTarjeta,0),0))</f>
        <v>2-7</v>
      </c>
      <c r="W198" s="18">
        <f t="shared" ca="1" si="89"/>
        <v>1</v>
      </c>
      <c r="X198" s="18" t="str">
        <f t="shared" ca="1" si="80"/>
        <v/>
      </c>
      <c r="Y198" s="18" t="str" cm="1">
        <f t="array" aca="1" ref="Y198" ca="1">IF(X198="","",IF(X198&lt;&gt;X197,1,IF(Y197=misLíneas-2,0,Y197+1)))</f>
        <v/>
      </c>
      <c r="Z198" s="18" t="str" cm="1">
        <f t="array" aca="1" ref="Z198" ca="1">IF(OR(Y198=0,Y198=""),"",INDEX(misCriticidades,X198)&amp;"-"&amp;IFERROR(MATCH(Y198,miOrdenTarjeta,0),0))</f>
        <v/>
      </c>
      <c r="AB198" s="18">
        <f t="shared" ca="1" si="90"/>
        <v>1</v>
      </c>
      <c r="AC198" s="18" t="str">
        <f t="shared" ca="1" si="81"/>
        <v/>
      </c>
      <c r="AD198" s="18" t="str" cm="1">
        <f t="array" aca="1" ref="AD198" ca="1">IF(AC198="","",IF(AC198&lt;&gt;AC197,1,IF(AD197=misLíneas-2,0,AD197+1)))</f>
        <v/>
      </c>
      <c r="AE198" s="18" t="str" cm="1">
        <f t="array" aca="1" ref="AE198" ca="1">IF(OR(AD198=0,AD198=""),"",INDEX(misCriticidades,AC198)&amp;"-"&amp;IFERROR(MATCH(AD198,miOrdenTarjeta,0),0))</f>
        <v/>
      </c>
      <c r="AG198" s="18">
        <f t="shared" ca="1" si="91"/>
        <v>1</v>
      </c>
      <c r="AH198" s="18" t="str">
        <f t="shared" ca="1" si="82"/>
        <v/>
      </c>
      <c r="AI198" s="18" t="str" cm="1">
        <f t="array" aca="1" ref="AI198" ca="1">IF(AH198="","",IF(AH198&lt;&gt;AH197,1,IF(AI197=misLíneas-2,0,AI197+1)))</f>
        <v/>
      </c>
      <c r="AJ198" s="18" t="str" cm="1">
        <f t="array" aca="1" ref="AJ198" ca="1">IF(OR(AI198=0,AI198=""),"",INDEX(misCriticidades,AH198)&amp;"-"&amp;IFERROR(MATCH(AI198,miOrdenTarjeta,0),0))</f>
        <v/>
      </c>
      <c r="AL198" s="18">
        <f t="shared" ca="1" si="92"/>
        <v>1</v>
      </c>
      <c r="AM198" s="18" t="str">
        <f t="shared" ca="1" si="83"/>
        <v/>
      </c>
      <c r="AN198" s="18" t="str" cm="1">
        <f t="array" aca="1" ref="AN198" ca="1">IF(AM198="","",IF(AM198&lt;&gt;AM197,1,IF(AN197=misLíneas-2,0,AN197+1)))</f>
        <v/>
      </c>
      <c r="AO198" s="18" t="str" cm="1">
        <f t="array" aca="1" ref="AO198" ca="1">IF(OR(AN198=0,AN198=""),"",INDEX(misCriticidades,AM198)&amp;"-"&amp;IFERROR(MATCH(AN198,miOrdenTarjeta,0),0))</f>
        <v/>
      </c>
      <c r="AQ198" s="18">
        <f t="shared" ca="1" si="93"/>
        <v>1</v>
      </c>
      <c r="AR198" s="18" t="str">
        <f t="shared" ca="1" si="84"/>
        <v/>
      </c>
      <c r="AS198" s="18" t="str" cm="1">
        <f t="array" aca="1" ref="AS198" ca="1">IF(AR198="","",IF(AR198&lt;&gt;AR197,1,IF(AS197=misLíneas-2,0,AS197+1)))</f>
        <v/>
      </c>
      <c r="AT198" s="18" t="str" cm="1">
        <f t="array" aca="1" ref="AT198" ca="1">IF(OR(AS198=0,AS198=""),"",INDEX(misCriticidades,AR198)&amp;"-"&amp;IFERROR(MATCH(AS198,miOrdenTarjeta,0),0))</f>
        <v/>
      </c>
      <c r="AV198" s="18">
        <f t="shared" ca="1" si="94"/>
        <v>1</v>
      </c>
      <c r="AW198" s="18" t="str">
        <f t="shared" ca="1" si="85"/>
        <v/>
      </c>
      <c r="AX198" s="18" t="str" cm="1">
        <f t="array" aca="1" ref="AX198" ca="1">IF(AW198="","",IF(AW198&lt;&gt;AW197,1,IF(AX197=misLíneas-2,0,AX197+1)))</f>
        <v/>
      </c>
      <c r="AY198" s="18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5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0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4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0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4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0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4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0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4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0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4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0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4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0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4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0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4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0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4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0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4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0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4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0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4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0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4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0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4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0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4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0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4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Miguel Verdezoto</cp:lastModifiedBy>
  <cp:revision>0</cp:revision>
  <dcterms:created xsi:type="dcterms:W3CDTF">2022-12-26T11:27:14Z</dcterms:created>
  <dcterms:modified xsi:type="dcterms:W3CDTF">2026-07-15T04:42:26Z</dcterms:modified>
  <cp:category/>
  <cp:contentStatus/>
</cp:coreProperties>
</file>