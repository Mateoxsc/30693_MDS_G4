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ESPE\PERIODO 5\METODOLOGÍA_DE_DESAROLLO_DE_SFT\Proyecto\KANVAN\"/>
    </mc:Choice>
  </mc:AlternateContent>
  <xr:revisionPtr revIDLastSave="0" documentId="13_ncr:1_{D24874C6-D058-4B0A-896D-F6DD6A5BB3CF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B2" i="3" s="1"/>
  <c r="B2" i="1" s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F2" i="3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60" i="5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<sst xmlns="http://schemas.openxmlformats.org/spreadsheetml/2006/main" count="339" uniqueCount="261">
  <si>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</si>
  <si>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</si>
  <si>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</si>
  <si>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</si>
  <si>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</si>
  <si>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</si>
  <si>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</si>
  <si>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</si>
  <si>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</si>
  <si>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</si>
  <si>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</si>
  <si>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</si>
  <si>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</si>
  <si>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</si>
  <si>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</si>
  <si>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</si>
  <si>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</si>
  <si>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</si>
  <si>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</si>
  <si>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</si>
  <si>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</si>
  <si>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</si>
  <si>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</si>
  <si>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</si>
  <si>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</si>
  <si>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</si>
  <si>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</si>
  <si>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</si>
  <si>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</si>
  <si>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</si>
  <si>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</si>
  <si>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</si>
  <si>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</si>
  <si>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</si>
  <si>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</si>
  <si>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</si>
  <si>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</si>
  <si>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</si>
  <si>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</si>
  <si>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</si>
  <si>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</si>
  <si>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</si>
  <si>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</si>
  <si>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</si>
  <si>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</si>
  <si>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</si>
  <si>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</si>
  <si>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</si>
  <si>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</si>
  <si>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</si>
  <si>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</si>
  <si>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</si>
  <si>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</si>
  <si>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</si>
  <si>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</si>
  <si>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</si>
  <si>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</si>
  <si>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</si>
  <si>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</si>
  <si>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</si>
  <si>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</si>
  <si>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</si>
  <si>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</si>
  <si>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</si>
  <si>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</si>
  <si>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</si>
  <si>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</si>
  <si>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</si>
  <si>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</si>
  <si>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</si>
  <si>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</si>
  <si>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</si>
  <si>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</si>
  <si>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</si>
  <si>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</si>
  <si>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</si>
  <si>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</si>
  <si>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</si>
  <si>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</si>
  <si>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</si>
  <si>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</si>
  <si>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</si>
  <si>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</si>
  <si>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</si>
  <si>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</si>
  <si>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</si>
  <si>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</si>
  <si>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</si>
  <si>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</si>
  <si>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</si>
  <si>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</si>
  <si>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</si>
  <si>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</si>
  <si>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</si>
  <si>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</si>
  <si>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</si>
  <si>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</si>
  <si>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</si>
  <si>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</si>
  <si>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</si>
  <si>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</si>
  <si>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</si>
  <si>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</si>
  <si>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</si>
  <si>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</si>
  <si>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</si>
  <si>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</si>
  <si>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</si>
  <si>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</si>
  <si>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</si>
  <si>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</si>
  <si>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</si>
  <si>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</si>
  <si>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</si>
  <si>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</si>
  <si>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</si>
  <si>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</si>
  <si>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</si>
  <si>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</si>
  <si>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</si>
  <si>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</si>
  <si>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</si>
  <si>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</si>
  <si>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</si>
  <si>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</si>
  <si>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</si>
  <si>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</si>
  <si>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</si>
  <si>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</si>
  <si>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</si>
  <si>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</si>
  <si>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</si>
  <si>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</si>
  <si>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</si>
  <si>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</si>
  <si>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</si>
  <si>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</si>
  <si>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</si>
  <si>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</si>
  <si>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</si>
  <si>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</si>
  <si>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</si>
  <si>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</si>
  <si>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</si>
  <si>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</si>
  <si>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</si>
  <si>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</si>
  <si>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</si>
  <si>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</si>
  <si>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</si>
  <si>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</si>
  <si>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</si>
  <si>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</si>
  <si>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</si>
  <si>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</si>
  <si>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</si>
  <si>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</si>
  <si>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</si>
  <si>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</si>
  <si>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</si>
  <si>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</si>
  <si>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</si>
  <si>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</si>
  <si>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</si>
  <si>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</si>
  <si>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</si>
  <si>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</si>
  <si>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</si>
  <si>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</si>
  <si>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</si>
  <si>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</si>
  <si>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</si>
  <si>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</si>
  <si>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</si>
  <si>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</si>
  <si>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</si>
  <si>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</si>
  <si>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</si>
  <si>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</si>
  <si>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</si>
  <si>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</si>
  <si>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</si>
  <si>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</si>
  <si>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</si>
  <si>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</si>
  <si>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</si>
  <si>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</si>
  <si>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</si>
  <si>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</si>
  <si>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</si>
  <si>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</si>
  <si>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</si>
  <si>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</si>
  <si>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</si>
  <si>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</si>
  <si>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</si>
  <si>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</si>
  <si>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</si>
  <si>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</si>
  <si>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</si>
  <si>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</si>
  <si>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</si>
  <si>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</si>
  <si>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</si>
  <si>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</si>
  <si>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</si>
  <si>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</si>
  <si>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</si>
  <si>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</si>
  <si>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</si>
  <si>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</si>
  <si>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</si>
  <si>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</si>
  <si>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</si>
  <si>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</si>
  <si>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</si>
  <si>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</si>
  <si>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</si>
  <si>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</si>
  <si>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Creación Ventana Loggin</t>
  </si>
  <si>
    <t>Pruebas de funcionamiento</t>
  </si>
  <si>
    <t>Segunda entrevista, presentacion ventana Loggin</t>
  </si>
  <si>
    <t>Matriz Historia de UsuarioV2</t>
  </si>
  <si>
    <t xml:space="preserve">Planificación de tareas </t>
  </si>
  <si>
    <t>Creación del espacio de trabajo del Jira</t>
  </si>
  <si>
    <t>Elaboracion del Backlog, en base a los requisitos funcionales</t>
  </si>
  <si>
    <t>Maquetado del proyecto en Confluence</t>
  </si>
  <si>
    <t>Propuesta/ Entrevista con el cliente para avanzar con la ventana Administrador y Gestion de Colaborador</t>
  </si>
  <si>
    <t>Creación ventana Administrador y Gestion de Colaborador</t>
  </si>
  <si>
    <t>Tercera entrevista, presentacion ventana Administrador y Gestion de Colaborador</t>
  </si>
  <si>
    <t>Elaboración del Excel de Kanbam</t>
  </si>
  <si>
    <t>Desarrollar el inicio de sesión.</t>
  </si>
  <si>
    <t>Testear que el login funcione.</t>
  </si>
  <si>
    <t>Mostrar el login al cliente.</t>
  </si>
  <si>
    <t>Actualizar requisitos del usuario.</t>
  </si>
  <si>
    <t>Asignar el trabajo diario.</t>
  </si>
  <si>
    <t>Configurar la herramienta de seguimiento.</t>
  </si>
  <si>
    <t>Listar y priorizar tareas pendientes.</t>
  </si>
  <si>
    <t>Documentar el diseño/estructura.</t>
  </si>
  <si>
    <t>Alinear requerimientos de administración con el cliente.</t>
  </si>
  <si>
    <t>Desarrollar módulos de control y personal.</t>
  </si>
  <si>
    <t>Mostrar módulos de administración al cliente.</t>
  </si>
  <si>
    <t>Crear tablero para controlar el flujo de tareas.</t>
  </si>
  <si>
    <t>Miguel Verdezoto</t>
  </si>
  <si>
    <t>Mery Velasquez</t>
  </si>
  <si>
    <t>Valeria Sosa</t>
  </si>
  <si>
    <t>Mateo Jaramillo</t>
  </si>
  <si>
    <t>Jaramillo, Sosa, Velasquez, Verdezoto</t>
  </si>
  <si>
    <t>Sosa, Velasquez</t>
  </si>
  <si>
    <t>Jaramillo, Verdezoto</t>
  </si>
  <si>
    <t>No asignado</t>
  </si>
  <si>
    <t>Correción MZHU, en base a lo pedido por el cliente</t>
  </si>
  <si>
    <t>Creacion de Actas Internas</t>
  </si>
  <si>
    <t>Corrección Backlog, aumento de Tareas y subtareas en el Spring 2</t>
  </si>
  <si>
    <t>Correción Kanbam</t>
  </si>
  <si>
    <t>Creación Opción Editar en la ventana Adminitrador y mejora de la interfaz gráfica</t>
  </si>
  <si>
    <t>Cumplir con las retribuciones obtenidas por el cliente</t>
  </si>
  <si>
    <t>Correción de documentación, para una escalabilidad futura</t>
  </si>
  <si>
    <t xml:space="preserve">Documentación, para llevar una buena gestión de tareas </t>
  </si>
  <si>
    <t>Documentación, para llevar un registro de las reuniones y todos los temas tratados</t>
  </si>
  <si>
    <t xml:space="preserve">Correción documentación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</si>
</sst>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14" fontId="6" fillId="18" borderId="38" xfId="1" applyNumberFormat="1" applyFont="1" applyFill="1" applyBorder="1" applyAlignment="1">
      <alignment vertical="center"/>
    </xf>
    <xf numFmtId="14" fontId="6" fillId="0" borderId="38" xfId="1" applyNumberFormat="1" applyFont="1" applyBorder="1" applyAlignment="1">
      <alignment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4" fillId="17" borderId="37" xfId="0" applyFont="1" applyFill="1" applyBorder="1" applyAlignment="1">
      <alignment horizontal="center" vertical="center"/>
    </xf>
    <xf numFmtId="0" fontId="0" fillId="18" borderId="37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17" borderId="37" xfId="0" applyFont="1" applyFill="1" applyBorder="1" applyAlignment="1">
      <alignment vertical="center" wrapText="1"/>
    </xf>
    <xf numFmtId="0" fontId="0" fillId="0" borderId="34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0" fillId="23" borderId="36" xfId="0" applyFill="1" applyBorder="1" applyAlignment="1" applyProtection="1">
      <alignment vertical="center"/>
      <protection locked="0"/>
    </xf>
    <xf numFmtId="0" fontId="0" fillId="23" borderId="37" xfId="0" applyFill="1" applyBorder="1" applyAlignment="1" applyProtection="1">
      <alignment vertical="center"/>
      <protection locked="0"/>
    </xf>
    <xf numFmtId="0" fontId="17" fillId="24" borderId="37" xfId="0" applyFont="1" applyFill="1" applyBorder="1" applyAlignment="1" applyProtection="1">
      <alignment vertical="center" wrapText="1"/>
      <protection locked="0"/>
    </xf>
    <xf numFmtId="0" fontId="0" fillId="24" borderId="37" xfId="0" applyFill="1" applyBorder="1" applyAlignment="1" applyProtection="1">
      <alignment vertical="center" wrapText="1"/>
      <protection locked="0"/>
    </xf>
    <xf numFmtId="14" fontId="17" fillId="24" borderId="37" xfId="0" applyNumberFormat="1" applyFont="1" applyFill="1" applyBorder="1" applyAlignment="1" applyProtection="1">
      <alignment horizontal="center" vertical="center"/>
      <protection locked="0"/>
    </xf>
    <xf numFmtId="0" fontId="0" fillId="23" borderId="37" xfId="0" applyFill="1" applyBorder="1" applyAlignment="1">
      <alignment horizontal="center" vertical="center"/>
    </xf>
    <xf numFmtId="14" fontId="6" fillId="23" borderId="38" xfId="1" applyNumberFormat="1" applyFont="1" applyFill="1" applyBorder="1" applyAlignment="1">
      <alignment vertical="center"/>
    </xf>
    <xf numFmtId="0" fontId="0" fillId="23" borderId="0" xfId="0" applyFill="1"/>
    <xf numFmtId="14" fontId="0" fillId="23" borderId="37" xfId="0" applyNumberFormat="1" applyFill="1" applyBorder="1" applyAlignment="1" applyProtection="1">
      <alignment horizontal="center" vertical="center"/>
      <protection locked="0"/>
    </xf>
    <xf numFmtId="14" fontId="17" fillId="23" borderId="37" xfId="0" applyNumberFormat="1" applyFont="1" applyFill="1" applyBorder="1" applyAlignment="1" applyProtection="1">
      <alignment horizontal="center" vertical="center"/>
      <protection locked="0"/>
    </xf>
    <xf numFmtId="0" fontId="0" fillId="23" borderId="0" xfId="0" applyFill="1" applyAlignment="1">
      <alignment vertical="center"/>
    </xf>
    <xf numFmtId="0" fontId="17" fillId="25" borderId="37" xfId="0" applyFont="1" applyFill="1" applyBorder="1" applyAlignment="1" applyProtection="1">
      <alignment vertical="center" wrapText="1"/>
      <protection locked="0"/>
    </xf>
    <xf numFmtId="0" fontId="0" fillId="25" borderId="37" xfId="0" applyFill="1" applyBorder="1" applyAlignment="1" applyProtection="1">
      <alignment vertical="center" wrapText="1"/>
      <protection locked="0"/>
    </xf>
    <xf numFmtId="0" fontId="0" fillId="25" borderId="0" xfId="0" applyFill="1" applyAlignment="1">
      <alignment vertical="center"/>
    </xf>
    <xf numFmtId="0" fontId="0" fillId="18" borderId="36" xfId="0" applyFont="1" applyFill="1" applyBorder="1" applyAlignment="1" applyProtection="1">
      <alignment vertical="center"/>
      <protection locked="0"/>
    </xf>
    <xf numFmtId="0" fontId="0" fillId="18" borderId="37" xfId="0" applyFont="1" applyFill="1" applyBorder="1" applyAlignment="1" applyProtection="1">
      <alignment vertical="center"/>
      <protection locked="0"/>
    </xf>
    <xf numFmtId="0" fontId="0" fillId="25" borderId="37" xfId="0" applyFont="1" applyFill="1" applyBorder="1" applyAlignment="1" applyProtection="1">
      <alignment vertical="center" wrapText="1"/>
      <protection locked="0"/>
    </xf>
    <xf numFmtId="14" fontId="17" fillId="25" borderId="37" xfId="0" applyNumberFormat="1" applyFont="1" applyFill="1" applyBorder="1" applyAlignment="1" applyProtection="1">
      <alignment horizontal="center" vertical="center"/>
      <protection locked="0"/>
    </xf>
    <xf numFmtId="0" fontId="0" fillId="18" borderId="37" xfId="0" applyFont="1" applyFill="1" applyBorder="1" applyAlignment="1">
      <alignment horizontal="center" vertical="center"/>
    </xf>
    <xf numFmtId="14" fontId="3" fillId="18" borderId="38" xfId="1" applyNumberFormat="1" applyFont="1" applyFill="1" applyBorder="1" applyAlignment="1">
      <alignment vertical="center"/>
    </xf>
    <xf numFmtId="0" fontId="0" fillId="25" borderId="0" xfId="0" applyFont="1" applyFill="1"/>
    <xf numFmtId="0" fontId="0" fillId="25" borderId="0" xfId="0" applyFill="1"/>
    <xf numFmtId="0" fontId="18" fillId="24" borderId="37" xfId="0" applyFont="1" applyFill="1" applyBorder="1" applyAlignment="1" applyProtection="1">
      <alignment vertical="center" wrapText="1"/>
      <protection locked="0"/>
    </xf>
  </cellXfs>
  <cellStyles count="2">
    <cellStyle name="Hipervínculo" xfId="1" builtinId="8"/>
    <cellStyle name="Normal" xfId="0" builtinId="0"/>
  </cellStyles>
  <dxfs count="2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5" dataDxfId="24">
  <autoFilter ref="B1:G33" xr:uid="{0EAF28E5-0E22-47B4-AD65-B0AEBC07C8FD}"/>
  <tableColumns count="6">
    <tableColumn id="1" xr3:uid="{F0E73C1E-CCFA-4300-AC3D-E67E676E36BF}" name="Español" dataDxfId="23"/>
    <tableColumn id="2" xr3:uid="{36085523-D642-42FF-AE1D-87567505551D}" name="English" dataDxfId="22"/>
    <tableColumn id="3" xr3:uid="{3322FBB4-01E0-4235-A470-44717FDBDCC9}" name="Française" dataDxfId="21"/>
    <tableColumn id="4" xr3:uid="{2DF4B6A9-AFE6-4898-91D8-DC7E333ACF08}" name="Italiano" dataDxfId="20"/>
    <tableColumn id="5" xr3:uid="{9A0035F3-EC53-45C0-B33A-DBC7B4DB4D45}" name="Deutsch" dataDxfId="19"/>
    <tableColumn id="6" xr3:uid="{F02A4F88-64FE-47CB-8FD1-5FD4615BD74A}" name="Português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47" zoomScaleNormal="70" workbookViewId="0">
      <pane ySplit="4" topLeftCell="A5" activePane="bottomLeft" state="frozen"/>
      <selection pane="bottomLeft" activeCell="T2" sqref="T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0" t="str">
        <f>Configura!$B$2</f>
        <v xml:space="preserve">                Tablero KANBAN v3 ©️            </v>
      </c>
      <c r="C2" s="110"/>
      <c r="D2" s="110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18)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(1 de 18)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18)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(17 de 18)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18)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18)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18)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18)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18)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18)</v>
      </c>
      <c r="AW4" s="109"/>
      <c r="AX4" s="109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17: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Creación Opción Editar en la ventana Adminitrador y mejora de la interfaz gráfica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Cumplir con las retribuciones obtenidas por el cliente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46190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46193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46193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4 días</v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Valeria Sosa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16: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Correción Kanbam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Documentación, para llevar una buena gestión de tareas 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46189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46190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46190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Miguel Verdezoto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15: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Corrección Backlog, aumento de Tareas y subtareas en el Spring 2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Correción de documentación, para una escalabilidad futura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46189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46190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46190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Valeria Sosa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14: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Creacion de Actas Internas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Documentación, para llevar un registro de las reuniones y todos los temas tratados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46189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46190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46190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Mateo Jaramillo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13: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Correción MZHU, en base a lo pedido por el cliente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Correción documentación 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46188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46189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46189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Valeria Sosa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12: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Elaboración del Excel de Kanbam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Crear tablero para controlar el flujo de tareas.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46183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46185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46185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Jaramillo, Sosa, Velasquez, Verdezoto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11: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Tercera entrevista, presentacion ventana Administrador y Gestion de Colaborador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Mostrar módulos de administración al cliente.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46177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Jaramillo, Sosa, Velasquez, Verdezoto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10: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Creación ventana Administrador y Gestion de Colaborador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Desarrollar módulos de control y personal.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46170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46172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46172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Mateo Jaramillo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9: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Propuesta/ Entrevista con el cliente para avanzar con la ventana Administrador y Gestion de Colaborador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Alinear requerimientos de administración con el cliente.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46169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46170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46170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2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Jaramillo, Sosa, Velasquez, Verdezoto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8: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del proyecto en Confluence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Documentar el diseño/estructura.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46171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46176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6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Sosa, Velasquez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7:</v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Elaboracion del Backlog, en base a los requisitos funcionales</v>
      </c>
      <c r="T96" s="107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Listar y priorizar tareas pendientes.</v>
      </c>
      <c r="T97" s="107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7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46169</v>
      </c>
      <c r="T98" s="107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7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46171</v>
      </c>
      <c r="T99" s="107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7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46171</v>
      </c>
      <c r="T100" s="107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07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7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Jaramillo, Sosa, Velasquez, Verdezoto</v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6:</v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Creación del espacio de trabajo del Jira</v>
      </c>
      <c r="T105" s="107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Configurar la herramienta de seguimiento.</v>
      </c>
      <c r="T106" s="107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7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46169</v>
      </c>
      <c r="T107" s="107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7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46171</v>
      </c>
      <c r="T108" s="107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7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46171</v>
      </c>
      <c r="T109" s="107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07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7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Miguel Verdezoto</v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5:</v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Planificación de tareas </v>
      </c>
      <c r="T114" s="107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Asignar el trabajo diario.</v>
      </c>
      <c r="T115" s="107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7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46169</v>
      </c>
      <c r="T116" s="107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7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46170</v>
      </c>
      <c r="T117" s="107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7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46170</v>
      </c>
      <c r="T118" s="107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07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7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Jaramillo, Sosa, Velasquez, Verdezoto</v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4:</v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Matriz Historia de UsuarioV2</v>
      </c>
      <c r="T123" s="107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Actualizar requisitos del usuario.</v>
      </c>
      <c r="T124" s="107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7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46169</v>
      </c>
      <c r="T125" s="107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7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46169</v>
      </c>
      <c r="T126" s="107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7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46169</v>
      </c>
      <c r="T127" s="107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7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7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Jaramillo, Sosa, Velasquez, Verdezoto</v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3:</v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Segunda entrevista, presentacion ventana Loggin</v>
      </c>
      <c r="T132" s="107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Mostrar el login al cliente.</v>
      </c>
      <c r="T133" s="107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7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46168</v>
      </c>
      <c r="T134" s="107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7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46168</v>
      </c>
      <c r="T135" s="107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7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46168</v>
      </c>
      <c r="T136" s="107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7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7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Jaramillo, Sosa, Velasquez, Verdezoto</v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2:</v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Pruebas de funcionamiento</v>
      </c>
      <c r="T141" s="107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Testear que el login funcione.</v>
      </c>
      <c r="T142" s="107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7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46162</v>
      </c>
      <c r="T143" s="107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7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46164</v>
      </c>
      <c r="T144" s="107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7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46164</v>
      </c>
      <c r="T145" s="107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07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7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Miguel Verdezoto</v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1:</v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Creación Ventana Loggin</v>
      </c>
      <c r="T150" s="107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Desarrollar el inicio de sesión.</v>
      </c>
      <c r="T151" s="107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7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46154</v>
      </c>
      <c r="T152" s="107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7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46156</v>
      </c>
      <c r="T153" s="107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7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46156</v>
      </c>
      <c r="T154" s="107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07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7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Miguel Verdezoto</v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7" priority="1" stopIfTrue="1">
      <formula>AND(B6=miCabeceraRetraso&amp;":",IFERROR(--LEFT(C6,FIND(" ",C6)-1),0)&gt;0)</formula>
    </cfRule>
    <cfRule type="expression" dxfId="16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5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5" zoomScaleNormal="95" workbookViewId="0">
      <pane ySplit="1" topLeftCell="A9" activePane="bottomLeft" state="frozen"/>
      <selection pane="bottomLeft" activeCell="C18" sqref="C1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118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116" t="str">
        <f>Idiomas!$A$12</f>
        <v>Tarea</v>
      </c>
      <c r="D1" s="116" t="str">
        <f>Idiomas!$A$13</f>
        <v>Descripción</v>
      </c>
      <c r="E1" s="103" t="str">
        <f>Idiomas!$A$14</f>
        <v>Inicio</v>
      </c>
      <c r="F1" s="103" t="str">
        <f>Idiomas!$A$15</f>
        <v>Previsto</v>
      </c>
      <c r="G1" s="103" t="str">
        <f>Idiomas!$A$16</f>
        <v>Final</v>
      </c>
      <c r="H1" s="103" t="str">
        <f>Idiomas!$A$17</f>
        <v>Duración</v>
      </c>
      <c r="I1" s="103" t="str">
        <f>Idiomas!$A$18</f>
        <v>Retraso</v>
      </c>
      <c r="J1" s="41" t="str">
        <f>Idiomas!$A$19</f>
        <v>Asignado</v>
      </c>
      <c r="K1" s="42" t="s">
        <v>1</v>
      </c>
    </row>
    <row r="2" spans="1:11" s="133" customFormat="1" x14ac:dyDescent="0.3">
      <c r="A2" s="88" t="s">
        <v>5</v>
      </c>
      <c r="B2" s="89" t="s">
        <v>6</v>
      </c>
      <c r="C2" s="131" t="s">
        <v>219</v>
      </c>
      <c r="D2" s="132" t="s">
        <v>231</v>
      </c>
      <c r="E2" s="90">
        <v>46154</v>
      </c>
      <c r="F2" s="90">
        <v>46156</v>
      </c>
      <c r="G2" s="90">
        <v>46156</v>
      </c>
      <c r="H2" s="104" t="str">
        <f>IF(Datos!$G2&gt;0,Datos!$G2-Datos!$E2+1 &amp; " " &amp; Idiomas!$A$29,"")</f>
        <v>3 días</v>
      </c>
      <c r="I2" s="104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89" t="s">
        <v>243</v>
      </c>
      <c r="K2" s="43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s="130" customFormat="1" ht="15.6" x14ac:dyDescent="0.3">
      <c r="A3" s="120" t="s">
        <v>5</v>
      </c>
      <c r="B3" s="121" t="s">
        <v>8</v>
      </c>
      <c r="C3" s="142" t="s">
        <v>220</v>
      </c>
      <c r="D3" s="123" t="s">
        <v>232</v>
      </c>
      <c r="E3" s="129">
        <v>46162</v>
      </c>
      <c r="F3" s="128">
        <v>46164</v>
      </c>
      <c r="G3" s="128">
        <v>46164</v>
      </c>
      <c r="H3" s="125" t="str">
        <f>IF(Datos!$G3&gt;0,Datos!$G3-Datos!$E3+1 &amp; " " &amp; Idiomas!$A$29,"")</f>
        <v>3 días</v>
      </c>
      <c r="I3" s="12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21" t="s">
        <v>243</v>
      </c>
      <c r="K3" s="12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s="133" customFormat="1" ht="28.8" x14ac:dyDescent="0.3">
      <c r="A4" s="88" t="s">
        <v>5</v>
      </c>
      <c r="B4" s="89" t="s">
        <v>8</v>
      </c>
      <c r="C4" s="131" t="s">
        <v>221</v>
      </c>
      <c r="D4" s="132" t="s">
        <v>233</v>
      </c>
      <c r="E4" s="101">
        <v>46168</v>
      </c>
      <c r="F4" s="101">
        <v>46168</v>
      </c>
      <c r="G4" s="101">
        <v>46168</v>
      </c>
      <c r="H4" s="104" t="str">
        <f>IF(Datos!$G4&gt;0,Datos!$G4-Datos!$E4+1 &amp; " " &amp; Idiomas!$A$29,"")</f>
        <v>1 días</v>
      </c>
      <c r="I4" s="104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89" t="s">
        <v>247</v>
      </c>
      <c r="K4" s="43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s="130" customFormat="1" x14ac:dyDescent="0.3">
      <c r="A5" s="120" t="s">
        <v>5</v>
      </c>
      <c r="B5" s="121" t="s">
        <v>3</v>
      </c>
      <c r="C5" s="122" t="s">
        <v>222</v>
      </c>
      <c r="D5" s="123" t="s">
        <v>234</v>
      </c>
      <c r="E5" s="129">
        <v>46169</v>
      </c>
      <c r="F5" s="128">
        <v>46169</v>
      </c>
      <c r="G5" s="128">
        <v>46169</v>
      </c>
      <c r="H5" s="125" t="str">
        <f>IF(Datos!$G5&gt;0,Datos!$G5-Datos!$E5+1 &amp; " " &amp; Idiomas!$A$29,"")</f>
        <v>1 días</v>
      </c>
      <c r="I5" s="12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121" t="s">
        <v>247</v>
      </c>
      <c r="K5" s="12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s="133" customFormat="1" x14ac:dyDescent="0.3">
      <c r="A6" s="88" t="s">
        <v>5</v>
      </c>
      <c r="B6" s="89" t="s">
        <v>8</v>
      </c>
      <c r="C6" s="131" t="s">
        <v>223</v>
      </c>
      <c r="D6" s="132" t="s">
        <v>235</v>
      </c>
      <c r="E6" s="101">
        <v>46169</v>
      </c>
      <c r="F6" s="101">
        <v>46170</v>
      </c>
      <c r="G6" s="101">
        <v>46170</v>
      </c>
      <c r="H6" s="104" t="str">
        <f>IF(Datos!$G6&gt;0,Datos!$G6-Datos!$E6+1 &amp; " " &amp; Idiomas!$A$29,"")</f>
        <v>2 días</v>
      </c>
      <c r="I6" s="104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89" t="s">
        <v>247</v>
      </c>
      <c r="K6" s="43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s="130" customFormat="1" ht="28.8" x14ac:dyDescent="0.3">
      <c r="A7" s="120" t="s">
        <v>5</v>
      </c>
      <c r="B7" s="121" t="s">
        <v>8</v>
      </c>
      <c r="C7" s="122" t="s">
        <v>224</v>
      </c>
      <c r="D7" s="123" t="s">
        <v>236</v>
      </c>
      <c r="E7" s="129">
        <v>46169</v>
      </c>
      <c r="F7" s="129">
        <v>46171</v>
      </c>
      <c r="G7" s="129">
        <v>46171</v>
      </c>
      <c r="H7" s="125" t="str">
        <f>IF(Datos!$G7&gt;0,Datos!$G7-Datos!$E7+1 &amp; " " &amp; Idiomas!$A$29,"")</f>
        <v>3 días</v>
      </c>
      <c r="I7" s="12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21" t="s">
        <v>243</v>
      </c>
      <c r="K7" s="12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s="133" customFormat="1" ht="28.8" x14ac:dyDescent="0.3">
      <c r="A8" s="88" t="s">
        <v>5</v>
      </c>
      <c r="B8" s="89" t="s">
        <v>6</v>
      </c>
      <c r="C8" s="131" t="s">
        <v>225</v>
      </c>
      <c r="D8" s="132" t="s">
        <v>237</v>
      </c>
      <c r="E8" s="101">
        <v>46169</v>
      </c>
      <c r="F8" s="101">
        <v>46171</v>
      </c>
      <c r="G8" s="101">
        <v>46171</v>
      </c>
      <c r="H8" s="104" t="str">
        <f>IF(Datos!$G8&gt;0,Datos!$G8-Datos!$E8+1 &amp; " " &amp; Idiomas!$A$29,"")</f>
        <v>3 días</v>
      </c>
      <c r="I8" s="104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89" t="s">
        <v>247</v>
      </c>
      <c r="K8" s="43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s="130" customFormat="1" ht="28.8" x14ac:dyDescent="0.3">
      <c r="A9" s="120" t="s">
        <v>5</v>
      </c>
      <c r="B9" s="121" t="s">
        <v>6</v>
      </c>
      <c r="C9" s="122" t="s">
        <v>226</v>
      </c>
      <c r="D9" s="123" t="s">
        <v>238</v>
      </c>
      <c r="E9" s="129">
        <v>46171</v>
      </c>
      <c r="F9" s="129">
        <v>46176</v>
      </c>
      <c r="G9" s="129">
        <v>46176</v>
      </c>
      <c r="H9" s="125" t="str">
        <f>IF(Datos!$G9&gt;0,Datos!$G9-Datos!$E9+1 &amp; " " &amp; Idiomas!$A$29,"")</f>
        <v>6 días</v>
      </c>
      <c r="I9" s="12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121" t="s">
        <v>248</v>
      </c>
      <c r="K9" s="12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s="133" customFormat="1" ht="57.6" x14ac:dyDescent="0.3">
      <c r="A10" s="88" t="s">
        <v>5</v>
      </c>
      <c r="B10" s="89" t="s">
        <v>3</v>
      </c>
      <c r="C10" s="131" t="s">
        <v>227</v>
      </c>
      <c r="D10" s="132" t="s">
        <v>239</v>
      </c>
      <c r="E10" s="101">
        <v>46169</v>
      </c>
      <c r="F10" s="101">
        <v>46170</v>
      </c>
      <c r="G10" s="101">
        <v>46170</v>
      </c>
      <c r="H10" s="104" t="str">
        <f>IF(Datos!$G10&gt;0,Datos!$G10-Datos!$E10+1 &amp; " " &amp; Idiomas!$A$29,"")</f>
        <v>2 días</v>
      </c>
      <c r="I10" s="104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89" t="s">
        <v>247</v>
      </c>
      <c r="K10" s="43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s="127" customFormat="1" ht="28.8" x14ac:dyDescent="0.3">
      <c r="A11" s="120" t="s">
        <v>5</v>
      </c>
      <c r="B11" s="121" t="s">
        <v>8</v>
      </c>
      <c r="C11" s="122" t="s">
        <v>228</v>
      </c>
      <c r="D11" s="123" t="s">
        <v>240</v>
      </c>
      <c r="E11" s="128">
        <v>46170</v>
      </c>
      <c r="F11" s="128">
        <v>46172</v>
      </c>
      <c r="G11" s="128">
        <v>46172</v>
      </c>
      <c r="H11" s="125" t="str">
        <f>IF(Datos!$G11&gt;0,Datos!$G11-Datos!$E11+1 &amp; " " &amp; Idiomas!$A$29,"")</f>
        <v>3 días</v>
      </c>
      <c r="I11" s="12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121" t="s">
        <v>246</v>
      </c>
      <c r="K11" s="12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s="141" customFormat="1" ht="43.2" x14ac:dyDescent="0.3">
      <c r="A12" s="88" t="s">
        <v>5</v>
      </c>
      <c r="B12" s="89" t="s">
        <v>3</v>
      </c>
      <c r="C12" s="131" t="s">
        <v>229</v>
      </c>
      <c r="D12" s="132" t="s">
        <v>241</v>
      </c>
      <c r="E12" s="137">
        <v>46177</v>
      </c>
      <c r="F12" s="137">
        <v>46178</v>
      </c>
      <c r="G12" s="137">
        <v>46178</v>
      </c>
      <c r="H12" s="104" t="str">
        <f>IF(Datos!$G12&gt;0,Datos!$G12-Datos!$E12+1 &amp; " " &amp; Idiomas!$A$29,"")</f>
        <v>2 días</v>
      </c>
      <c r="I12" s="104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89" t="s">
        <v>247</v>
      </c>
      <c r="K12" s="43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s="127" customFormat="1" ht="28.8" x14ac:dyDescent="0.3">
      <c r="A13" s="120" t="s">
        <v>5</v>
      </c>
      <c r="B13" s="121" t="s">
        <v>8</v>
      </c>
      <c r="C13" s="122" t="s">
        <v>230</v>
      </c>
      <c r="D13" s="123" t="s">
        <v>242</v>
      </c>
      <c r="E13" s="124">
        <v>46183</v>
      </c>
      <c r="F13" s="124">
        <v>46185</v>
      </c>
      <c r="G13" s="124">
        <v>46185</v>
      </c>
      <c r="H13" s="125" t="str">
        <f>IF(Datos!$G13&gt;0,Datos!$G13-Datos!$E13+1 &amp; " " &amp; Idiomas!$A$29,"")</f>
        <v>3 días</v>
      </c>
      <c r="I13" s="12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121" t="s">
        <v>247</v>
      </c>
      <c r="K13" s="12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s="140" customFormat="1" ht="28.8" x14ac:dyDescent="0.3">
      <c r="A14" s="134" t="s">
        <v>5</v>
      </c>
      <c r="B14" s="135" t="s">
        <v>3</v>
      </c>
      <c r="C14" s="131" t="s">
        <v>251</v>
      </c>
      <c r="D14" s="136" t="s">
        <v>260</v>
      </c>
      <c r="E14" s="137">
        <v>46188</v>
      </c>
      <c r="F14" s="137">
        <v>46189</v>
      </c>
      <c r="G14" s="137">
        <v>46189</v>
      </c>
      <c r="H14" s="138" t="str">
        <f>IF(Datos!$G14&gt;0,Datos!$G14-Datos!$E14+1 &amp; " " &amp; Idiomas!$A$29,"")</f>
        <v>2 días</v>
      </c>
      <c r="I14" s="138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135" t="s">
        <v>245</v>
      </c>
      <c r="K14" s="139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s="127" customFormat="1" ht="43.2" x14ac:dyDescent="0.3">
      <c r="A15" s="120" t="s">
        <v>5</v>
      </c>
      <c r="B15" s="121" t="s">
        <v>3</v>
      </c>
      <c r="C15" s="122" t="s">
        <v>252</v>
      </c>
      <c r="D15" s="98" t="s">
        <v>259</v>
      </c>
      <c r="E15" s="124">
        <v>46189</v>
      </c>
      <c r="F15" s="124">
        <v>46190</v>
      </c>
      <c r="G15" s="124">
        <v>46190</v>
      </c>
      <c r="H15" s="125" t="str">
        <f>IF(Datos!$G15&gt;0,Datos!$G15-Datos!$E15+1 &amp; " " &amp; Idiomas!$A$29,"")</f>
        <v>2 días</v>
      </c>
      <c r="I15" s="12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121" t="s">
        <v>246</v>
      </c>
      <c r="K15" s="12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1.2" x14ac:dyDescent="0.3">
      <c r="A16" s="88" t="s">
        <v>5</v>
      </c>
      <c r="B16" s="89" t="s">
        <v>3</v>
      </c>
      <c r="C16" s="119" t="s">
        <v>253</v>
      </c>
      <c r="D16" s="97" t="s">
        <v>257</v>
      </c>
      <c r="E16" s="101">
        <v>46189</v>
      </c>
      <c r="F16" s="101">
        <v>46190</v>
      </c>
      <c r="G16" s="101">
        <v>46190</v>
      </c>
      <c r="H16" s="104" t="str">
        <f>IF(Datos!$G16&gt;0,Datos!$G16-Datos!$E16+1 &amp; " " &amp; Idiomas!$A$29,"")</f>
        <v>2 días</v>
      </c>
      <c r="I16" s="104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89" t="s">
        <v>245</v>
      </c>
      <c r="K16" s="43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1" t="s">
        <v>5</v>
      </c>
      <c r="B17" s="92" t="s">
        <v>3</v>
      </c>
      <c r="C17" s="100" t="s">
        <v>254</v>
      </c>
      <c r="D17" s="98" t="s">
        <v>258</v>
      </c>
      <c r="E17" s="102">
        <v>46189</v>
      </c>
      <c r="F17" s="93">
        <v>46190</v>
      </c>
      <c r="G17" s="93">
        <v>46190</v>
      </c>
      <c r="H17" s="105" t="str">
        <f>IF(Datos!$G17&gt;0,Datos!$G17-Datos!$E17+1 &amp; " " &amp; Idiomas!$A$29,"")</f>
        <v>2 días</v>
      </c>
      <c r="I17" s="10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2" t="s">
        <v>243</v>
      </c>
      <c r="K17" s="44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43.2" x14ac:dyDescent="0.3">
      <c r="A18" s="88" t="s">
        <v>7</v>
      </c>
      <c r="B18" s="89" t="s">
        <v>6</v>
      </c>
      <c r="C18" s="99" t="s">
        <v>255</v>
      </c>
      <c r="D18" s="97" t="s">
        <v>256</v>
      </c>
      <c r="E18" s="101">
        <v>46190</v>
      </c>
      <c r="F18" s="101">
        <v>46193</v>
      </c>
      <c r="G18" s="101">
        <v>46193</v>
      </c>
      <c r="H18" s="104" t="str">
        <f>IF(Datos!$G18&gt;0,Datos!$G18-Datos!$E18+1 &amp; " " &amp; Idiomas!$A$29,"")</f>
        <v>4 días</v>
      </c>
      <c r="I18" s="104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89" t="s">
        <v>245</v>
      </c>
      <c r="K18" s="43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1"/>
      <c r="B19" s="92"/>
      <c r="C19" s="100"/>
      <c r="D19" s="98"/>
      <c r="E19" s="102"/>
      <c r="F19" s="102"/>
      <c r="G19" s="102"/>
      <c r="H19" s="105" t="str">
        <f>IF(Datos!$G19&gt;0,Datos!$G19-Datos!$E19+1 &amp; " " &amp; Idiomas!$A$29,"")</f>
        <v/>
      </c>
      <c r="I19" s="10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2"/>
      <c r="K19" s="44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88"/>
      <c r="B20" s="89"/>
      <c r="C20" s="99"/>
      <c r="D20" s="97"/>
      <c r="E20" s="101"/>
      <c r="F20" s="101"/>
      <c r="G20" s="101"/>
      <c r="H20" s="104" t="str">
        <f>IF(Datos!$G20&gt;0,Datos!$G20-Datos!$E20+1 &amp; " " &amp; Idiomas!$A$29,"")</f>
        <v/>
      </c>
      <c r="I20" s="104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89"/>
      <c r="K20" s="43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1"/>
      <c r="B21" s="92"/>
      <c r="C21" s="100"/>
      <c r="D21" s="98"/>
      <c r="E21" s="102"/>
      <c r="F21" s="102"/>
      <c r="G21" s="102"/>
      <c r="H21" s="105" t="str">
        <f>IF(Datos!$G21&gt;0,Datos!$G21-Datos!$E21+1 &amp; " " &amp; Idiomas!$A$29,"")</f>
        <v/>
      </c>
      <c r="I21" s="10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2"/>
      <c r="K21" s="44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88"/>
      <c r="B22" s="89"/>
      <c r="C22" s="99"/>
      <c r="D22" s="97"/>
      <c r="E22" s="101"/>
      <c r="F22" s="101"/>
      <c r="G22" s="101"/>
      <c r="H22" s="104" t="str">
        <f>IF(Datos!$G22&gt;0,Datos!$G22-Datos!$E22+1 &amp; " " &amp; Idiomas!$A$29,"")</f>
        <v/>
      </c>
      <c r="I22" s="104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89"/>
      <c r="K22" s="43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1"/>
      <c r="B23" s="92"/>
      <c r="C23" s="100"/>
      <c r="D23" s="98"/>
      <c r="E23" s="102"/>
      <c r="F23" s="102"/>
      <c r="G23" s="102"/>
      <c r="H23" s="105" t="str">
        <f>IF(Datos!$G23&gt;0,Datos!$G23-Datos!$E23+1 &amp; " " &amp; Idiomas!$A$29,"")</f>
        <v/>
      </c>
      <c r="I23" s="10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2"/>
      <c r="K23" s="44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88"/>
      <c r="B24" s="89"/>
      <c r="C24" s="99"/>
      <c r="D24" s="97"/>
      <c r="E24" s="101"/>
      <c r="F24" s="101"/>
      <c r="G24" s="101"/>
      <c r="H24" s="104" t="str">
        <f>IF(Datos!$G24&gt;0,Datos!$G24-Datos!$E24+1 &amp; " " &amp; Idiomas!$A$29,"")</f>
        <v/>
      </c>
      <c r="I24" s="104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89"/>
      <c r="K24" s="43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1"/>
      <c r="B25" s="92"/>
      <c r="C25" s="100"/>
      <c r="D25" s="98"/>
      <c r="E25" s="102"/>
      <c r="F25" s="102"/>
      <c r="G25" s="102"/>
      <c r="H25" s="105" t="str">
        <f>IF(Datos!$G25&gt;0,Datos!$G25-Datos!$E25+1 &amp; " " &amp; Idiomas!$A$29,"")</f>
        <v/>
      </c>
      <c r="I25" s="10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2"/>
      <c r="K25" s="44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88"/>
      <c r="B26" s="89"/>
      <c r="C26" s="99"/>
      <c r="D26" s="97"/>
      <c r="E26" s="101"/>
      <c r="F26" s="101"/>
      <c r="G26" s="101"/>
      <c r="H26" s="104" t="str">
        <f>IF(Datos!$G26&gt;0,Datos!$G26-Datos!$E26+1 &amp; " " &amp; Idiomas!$A$29,"")</f>
        <v/>
      </c>
      <c r="I26" s="104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89"/>
      <c r="K26" s="43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1"/>
      <c r="B27" s="92"/>
      <c r="C27" s="100"/>
      <c r="D27" s="98"/>
      <c r="E27" s="102"/>
      <c r="F27" s="102"/>
      <c r="G27" s="102"/>
      <c r="H27" s="105" t="str">
        <f>IF(Datos!$G27&gt;0,Datos!$G27-Datos!$E27+1 &amp; " " &amp; Idiomas!$A$29,"")</f>
        <v/>
      </c>
      <c r="I27" s="10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2"/>
      <c r="K27" s="44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88"/>
      <c r="B28" s="89"/>
      <c r="C28" s="99"/>
      <c r="D28" s="97"/>
      <c r="E28" s="101"/>
      <c r="F28" s="101"/>
      <c r="G28" s="101"/>
      <c r="H28" s="104" t="str">
        <f>IF(Datos!$G28&gt;0,Datos!$G28-Datos!$E28+1 &amp; " " &amp; Idiomas!$A$29,"")</f>
        <v/>
      </c>
      <c r="I28" s="104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89"/>
      <c r="K28" s="43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1"/>
      <c r="B29" s="92"/>
      <c r="C29" s="100"/>
      <c r="D29" s="98"/>
      <c r="E29" s="102"/>
      <c r="F29" s="102"/>
      <c r="G29" s="102"/>
      <c r="H29" s="105" t="str">
        <f>IF(Datos!$G29&gt;0,Datos!$G29-Datos!$E29+1 &amp; " " &amp; Idiomas!$A$29,"")</f>
        <v/>
      </c>
      <c r="I29" s="10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2"/>
      <c r="K29" s="44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88"/>
      <c r="B30" s="89"/>
      <c r="C30" s="99"/>
      <c r="D30" s="97"/>
      <c r="E30" s="101"/>
      <c r="F30" s="101"/>
      <c r="G30" s="101"/>
      <c r="H30" s="104" t="str">
        <f>IF(Datos!$G30&gt;0,Datos!$G30-Datos!$E30+1 &amp; " " &amp; Idiomas!$A$29,"")</f>
        <v/>
      </c>
      <c r="I30" s="104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89"/>
      <c r="K30" s="43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1"/>
      <c r="B31" s="92"/>
      <c r="C31" s="100"/>
      <c r="D31" s="98"/>
      <c r="E31" s="102"/>
      <c r="F31" s="102"/>
      <c r="G31" s="102"/>
      <c r="H31" s="105" t="str">
        <f>IF(Datos!$G31&gt;0,Datos!$G31-Datos!$E31+1 &amp; " " &amp; Idiomas!$A$29,"")</f>
        <v/>
      </c>
      <c r="I31" s="10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2"/>
      <c r="K31" s="44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88"/>
      <c r="B32" s="89"/>
      <c r="C32" s="99"/>
      <c r="D32" s="97"/>
      <c r="E32" s="101"/>
      <c r="F32" s="101"/>
      <c r="G32" s="101"/>
      <c r="H32" s="104" t="str">
        <f>IF(Datos!$G32&gt;0,Datos!$G32-Datos!$E32+1 &amp; " " &amp; Idiomas!$A$29,"")</f>
        <v/>
      </c>
      <c r="I32" s="104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89"/>
      <c r="K32" s="43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1"/>
      <c r="B33" s="92"/>
      <c r="C33" s="100"/>
      <c r="D33" s="98"/>
      <c r="E33" s="102"/>
      <c r="F33" s="102"/>
      <c r="G33" s="102"/>
      <c r="H33" s="105" t="str">
        <f>IF(Datos!$G33&gt;0,Datos!$G33-Datos!$E33+1 &amp; " " &amp; Idiomas!$A$29,"")</f>
        <v/>
      </c>
      <c r="I33" s="10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2"/>
      <c r="K33" s="44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88"/>
      <c r="B34" s="89"/>
      <c r="C34" s="99"/>
      <c r="D34" s="97"/>
      <c r="E34" s="101"/>
      <c r="F34" s="101"/>
      <c r="G34" s="101"/>
      <c r="H34" s="104" t="str">
        <f>IF(Datos!$G34&gt;0,Datos!$G34-Datos!$E34+1 &amp; " " &amp; Idiomas!$A$29,"")</f>
        <v/>
      </c>
      <c r="I34" s="104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89"/>
      <c r="K34" s="43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1"/>
      <c r="B35" s="92"/>
      <c r="C35" s="100"/>
      <c r="D35" s="98"/>
      <c r="E35" s="102"/>
      <c r="F35" s="102"/>
      <c r="G35" s="102"/>
      <c r="H35" s="105" t="str">
        <f>IF(Datos!$G35&gt;0,Datos!$G35-Datos!$E35+1 &amp; " " &amp; Idiomas!$A$29,"")</f>
        <v/>
      </c>
      <c r="I35" s="10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2"/>
      <c r="K35" s="44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88"/>
      <c r="B36" s="89"/>
      <c r="C36" s="99"/>
      <c r="D36" s="97"/>
      <c r="E36" s="101"/>
      <c r="F36" s="101"/>
      <c r="G36" s="101"/>
      <c r="H36" s="104" t="str">
        <f>IF(Datos!$G36&gt;0,Datos!$G36-Datos!$E36+1 &amp; " " &amp; Idiomas!$A$29,"")</f>
        <v/>
      </c>
      <c r="I36" s="104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89"/>
      <c r="K36" s="43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1"/>
      <c r="B37" s="92"/>
      <c r="C37" s="100"/>
      <c r="D37" s="98"/>
      <c r="E37" s="102"/>
      <c r="F37" s="102"/>
      <c r="G37" s="102"/>
      <c r="H37" s="105" t="str">
        <f>IF(Datos!$G37&gt;0,Datos!$G37-Datos!$E37+1 &amp; " " &amp; Idiomas!$A$29,"")</f>
        <v/>
      </c>
      <c r="I37" s="10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2"/>
      <c r="K37" s="44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88"/>
      <c r="B38" s="89"/>
      <c r="C38" s="99"/>
      <c r="D38" s="97"/>
      <c r="E38" s="101"/>
      <c r="F38" s="101"/>
      <c r="G38" s="101"/>
      <c r="H38" s="104" t="str">
        <f>IF(Datos!$G38&gt;0,Datos!$G38-Datos!$E38+1 &amp; " " &amp; Idiomas!$A$29,"")</f>
        <v/>
      </c>
      <c r="I38" s="104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89"/>
      <c r="K38" s="43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1"/>
      <c r="B39" s="92"/>
      <c r="C39" s="100"/>
      <c r="D39" s="98"/>
      <c r="E39" s="102"/>
      <c r="F39" s="102"/>
      <c r="G39" s="102"/>
      <c r="H39" s="105" t="str">
        <f>IF(Datos!$G39&gt;0,Datos!$G39-Datos!$E39+1 &amp; " " &amp; Idiomas!$A$29,"")</f>
        <v/>
      </c>
      <c r="I39" s="10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2"/>
      <c r="K39" s="44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88"/>
      <c r="B40" s="89"/>
      <c r="C40" s="99"/>
      <c r="D40" s="97"/>
      <c r="E40" s="101"/>
      <c r="F40" s="101"/>
      <c r="G40" s="101"/>
      <c r="H40" s="104" t="str">
        <f>IF(Datos!$G40&gt;0,Datos!$G40-Datos!$E40+1 &amp; " " &amp; Idiomas!$A$29,"")</f>
        <v/>
      </c>
      <c r="I40" s="104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89"/>
      <c r="K40" s="43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1"/>
      <c r="B41" s="92"/>
      <c r="C41" s="100"/>
      <c r="D41" s="98"/>
      <c r="E41" s="102"/>
      <c r="F41" s="102"/>
      <c r="G41" s="102"/>
      <c r="H41" s="105" t="str">
        <f>IF(Datos!$G41&gt;0,Datos!$G41-Datos!$E41+1 &amp; " " &amp; Idiomas!$A$29,"")</f>
        <v/>
      </c>
      <c r="I41" s="10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2"/>
      <c r="K41" s="44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88"/>
      <c r="B42" s="89"/>
      <c r="C42" s="99"/>
      <c r="D42" s="97"/>
      <c r="E42" s="101"/>
      <c r="F42" s="101"/>
      <c r="G42" s="101"/>
      <c r="H42" s="104" t="str">
        <f>IF(Datos!$G42&gt;0,Datos!$G42-Datos!$E42+1 &amp; " " &amp; Idiomas!$A$29,"")</f>
        <v/>
      </c>
      <c r="I42" s="104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89"/>
      <c r="K42" s="43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1"/>
      <c r="B43" s="92"/>
      <c r="C43" s="98"/>
      <c r="D43" s="98"/>
      <c r="E43" s="93"/>
      <c r="F43" s="93"/>
      <c r="G43" s="93"/>
      <c r="H43" s="105" t="str">
        <f>IF(Datos!$G43&gt;0,Datos!$G43-Datos!$E43+1 &amp; " " &amp; Idiomas!$A$29,"")</f>
        <v/>
      </c>
      <c r="I43" s="10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2"/>
      <c r="K43" s="44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88"/>
      <c r="B44" s="89"/>
      <c r="C44" s="97"/>
      <c r="D44" s="97"/>
      <c r="E44" s="90"/>
      <c r="F44" s="90"/>
      <c r="G44" s="90"/>
      <c r="H44" s="104" t="str">
        <f>IF(Datos!$G44&gt;0,Datos!$G44-Datos!$E44+1 &amp; " " &amp; Idiomas!$A$29,"")</f>
        <v/>
      </c>
      <c r="I44" s="104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89"/>
      <c r="K44" s="43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1"/>
      <c r="B45" s="92"/>
      <c r="C45" s="98"/>
      <c r="D45" s="98"/>
      <c r="E45" s="93"/>
      <c r="F45" s="93"/>
      <c r="G45" s="93"/>
      <c r="H45" s="105" t="str">
        <f>IF(Datos!$G45&gt;0,Datos!$G45-Datos!$E45+1 &amp; " " &amp; Idiomas!$A$29,"")</f>
        <v/>
      </c>
      <c r="I45" s="10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2"/>
      <c r="K45" s="44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88"/>
      <c r="B46" s="89"/>
      <c r="C46" s="97"/>
      <c r="D46" s="97"/>
      <c r="E46" s="90"/>
      <c r="F46" s="90"/>
      <c r="G46" s="90"/>
      <c r="H46" s="104" t="str">
        <f>IF(Datos!$G46&gt;0,Datos!$G46-Datos!$E46+1 &amp; " " &amp; Idiomas!$A$29,"")</f>
        <v/>
      </c>
      <c r="I46" s="104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89"/>
      <c r="K46" s="43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1"/>
      <c r="B47" s="92"/>
      <c r="C47" s="98"/>
      <c r="D47" s="98"/>
      <c r="E47" s="93"/>
      <c r="F47" s="93"/>
      <c r="G47" s="93"/>
      <c r="H47" s="105" t="str">
        <f>IF(Datos!$G47&gt;0,Datos!$G47-Datos!$E47+1 &amp; " " &amp; Idiomas!$A$29,"")</f>
        <v/>
      </c>
      <c r="I47" s="10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2"/>
      <c r="K47" s="44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88"/>
      <c r="B48" s="89"/>
      <c r="C48" s="97"/>
      <c r="D48" s="97"/>
      <c r="E48" s="90"/>
      <c r="F48" s="90"/>
      <c r="G48" s="90"/>
      <c r="H48" s="104" t="str">
        <f>IF(Datos!$G48&gt;0,Datos!$G48-Datos!$E48+1 &amp; " " &amp; Idiomas!$A$29,"")</f>
        <v/>
      </c>
      <c r="I48" s="104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89"/>
      <c r="K48" s="43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1"/>
      <c r="B49" s="92"/>
      <c r="C49" s="98"/>
      <c r="D49" s="98"/>
      <c r="E49" s="93"/>
      <c r="F49" s="93"/>
      <c r="G49" s="93"/>
      <c r="H49" s="105" t="str">
        <f>IF(Datos!$G49&gt;0,Datos!$G49-Datos!$E49+1 &amp; " " &amp; Idiomas!$A$29,"")</f>
        <v/>
      </c>
      <c r="I49" s="10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2"/>
      <c r="K49" s="44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88"/>
      <c r="B50" s="89"/>
      <c r="C50" s="97"/>
      <c r="D50" s="97"/>
      <c r="E50" s="90"/>
      <c r="F50" s="90"/>
      <c r="G50" s="90"/>
      <c r="H50" s="104" t="str">
        <f>IF(Datos!$G50&gt;0,Datos!$G50-Datos!$E50+1 &amp; " " &amp; Idiomas!$A$29,"")</f>
        <v/>
      </c>
      <c r="I50" s="104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89"/>
      <c r="K50" s="43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1"/>
      <c r="B51" s="92"/>
      <c r="C51" s="98"/>
      <c r="D51" s="98"/>
      <c r="E51" s="93"/>
      <c r="F51" s="93"/>
      <c r="G51" s="93"/>
      <c r="H51" s="105" t="str">
        <f>IF(Datos!$G51&gt;0,Datos!$G51-Datos!$E51+1 &amp; " " &amp; Idiomas!$A$29,"")</f>
        <v/>
      </c>
      <c r="I51" s="10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2"/>
      <c r="K51" s="44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88"/>
      <c r="B52" s="89"/>
      <c r="C52" s="97"/>
      <c r="D52" s="97"/>
      <c r="E52" s="90"/>
      <c r="F52" s="90"/>
      <c r="G52" s="90"/>
      <c r="H52" s="104" t="str">
        <f>IF(Datos!$G52&gt;0,Datos!$G52-Datos!$E52+1 &amp; " " &amp; Idiomas!$A$29,"")</f>
        <v/>
      </c>
      <c r="I52" s="104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89"/>
      <c r="K52" s="43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1"/>
      <c r="B53" s="92"/>
      <c r="C53" s="98"/>
      <c r="D53" s="98"/>
      <c r="E53" s="93"/>
      <c r="F53" s="93"/>
      <c r="G53" s="93"/>
      <c r="H53" s="105" t="str">
        <f>IF(Datos!$G53&gt;0,Datos!$G53-Datos!$E53+1 &amp; " " &amp; Idiomas!$A$29,"")</f>
        <v/>
      </c>
      <c r="I53" s="10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2"/>
      <c r="K53" s="44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88"/>
      <c r="B54" s="89"/>
      <c r="C54" s="97"/>
      <c r="D54" s="97"/>
      <c r="E54" s="90"/>
      <c r="F54" s="90"/>
      <c r="G54" s="90"/>
      <c r="H54" s="104" t="str">
        <f>IF(Datos!$G54&gt;0,Datos!$G54-Datos!$E54+1 &amp; " " &amp; Idiomas!$A$29,"")</f>
        <v/>
      </c>
      <c r="I54" s="104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89"/>
      <c r="K54" s="43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1"/>
      <c r="B55" s="92"/>
      <c r="C55" s="98"/>
      <c r="D55" s="98"/>
      <c r="E55" s="93"/>
      <c r="F55" s="93"/>
      <c r="G55" s="93"/>
      <c r="H55" s="105" t="str">
        <f>IF(Datos!$G55&gt;0,Datos!$G55-Datos!$E55+1 &amp; " " &amp; Idiomas!$A$29,"")</f>
        <v/>
      </c>
      <c r="I55" s="10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2"/>
      <c r="K55" s="44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88"/>
      <c r="B56" s="89"/>
      <c r="C56" s="97"/>
      <c r="D56" s="97"/>
      <c r="E56" s="90"/>
      <c r="F56" s="90"/>
      <c r="G56" s="90"/>
      <c r="H56" s="104" t="str">
        <f>IF(Datos!$G56&gt;0,Datos!$G56-Datos!$E56+1 &amp; " " &amp; Idiomas!$A$29,"")</f>
        <v/>
      </c>
      <c r="I56" s="104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89"/>
      <c r="K56" s="43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1"/>
      <c r="B57" s="92"/>
      <c r="C57" s="98"/>
      <c r="D57" s="98"/>
      <c r="E57" s="93"/>
      <c r="F57" s="93"/>
      <c r="G57" s="93"/>
      <c r="H57" s="105" t="str">
        <f>IF(Datos!$G57&gt;0,Datos!$G57-Datos!$E57+1 &amp; " " &amp; Idiomas!$A$29,"")</f>
        <v/>
      </c>
      <c r="I57" s="10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2"/>
      <c r="K57" s="44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88"/>
      <c r="B58" s="89"/>
      <c r="C58" s="97"/>
      <c r="D58" s="97"/>
      <c r="E58" s="90"/>
      <c r="F58" s="90"/>
      <c r="G58" s="90"/>
      <c r="H58" s="104" t="str">
        <f>IF(Datos!$G58&gt;0,Datos!$G58-Datos!$E58+1 &amp; " " &amp; Idiomas!$A$29,"")</f>
        <v/>
      </c>
      <c r="I58" s="104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89"/>
      <c r="K58" s="43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1"/>
      <c r="B59" s="92"/>
      <c r="C59" s="98"/>
      <c r="D59" s="98"/>
      <c r="E59" s="93"/>
      <c r="F59" s="93"/>
      <c r="G59" s="93"/>
      <c r="H59" s="105" t="str">
        <f>IF(Datos!$G59&gt;0,Datos!$G59-Datos!$E59+1 &amp; " " &amp; Idiomas!$A$29,"")</f>
        <v/>
      </c>
      <c r="I59" s="10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2"/>
      <c r="K59" s="44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88"/>
      <c r="B60" s="89"/>
      <c r="C60" s="97"/>
      <c r="D60" s="97"/>
      <c r="E60" s="90"/>
      <c r="F60" s="90"/>
      <c r="G60" s="90"/>
      <c r="H60" s="104" t="str">
        <f>IF(Datos!$G60&gt;0,Datos!$G60-Datos!$E60+1 &amp; " " &amp; Idiomas!$A$29,"")</f>
        <v/>
      </c>
      <c r="I60" s="104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89"/>
      <c r="K60" s="43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1"/>
      <c r="B61" s="92"/>
      <c r="C61" s="98"/>
      <c r="D61" s="98"/>
      <c r="E61" s="93"/>
      <c r="F61" s="93"/>
      <c r="G61" s="93"/>
      <c r="H61" s="105" t="str">
        <f>IF(Datos!$G61&gt;0,Datos!$G61-Datos!$E61+1 &amp; " " &amp; Idiomas!$A$29,"")</f>
        <v/>
      </c>
      <c r="I61" s="10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2"/>
      <c r="K61" s="44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88"/>
      <c r="B62" s="89"/>
      <c r="C62" s="97"/>
      <c r="D62" s="97"/>
      <c r="E62" s="90"/>
      <c r="F62" s="90"/>
      <c r="G62" s="90"/>
      <c r="H62" s="104" t="str">
        <f>IF(Datos!$G62&gt;0,Datos!$G62-Datos!$E62+1 &amp; " " &amp; Idiomas!$A$29,"")</f>
        <v/>
      </c>
      <c r="I62" s="104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89"/>
      <c r="K62" s="43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1"/>
      <c r="B63" s="92"/>
      <c r="C63" s="98"/>
      <c r="D63" s="98"/>
      <c r="E63" s="93"/>
      <c r="F63" s="93"/>
      <c r="G63" s="93"/>
      <c r="H63" s="105" t="str">
        <f>IF(Datos!$G63&gt;0,Datos!$G63-Datos!$E63+1 &amp; " " &amp; Idiomas!$A$29,"")</f>
        <v/>
      </c>
      <c r="I63" s="10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2"/>
      <c r="K63" s="44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88"/>
      <c r="B64" s="89"/>
      <c r="C64" s="97"/>
      <c r="D64" s="97"/>
      <c r="E64" s="90"/>
      <c r="F64" s="90"/>
      <c r="G64" s="90"/>
      <c r="H64" s="104" t="str">
        <f>IF(Datos!$G64&gt;0,Datos!$G64-Datos!$E64+1 &amp; " " &amp; Idiomas!$A$29,"")</f>
        <v/>
      </c>
      <c r="I64" s="104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89"/>
      <c r="K64" s="43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1"/>
      <c r="B65" s="92"/>
      <c r="C65" s="98"/>
      <c r="D65" s="98"/>
      <c r="E65" s="93"/>
      <c r="F65" s="93"/>
      <c r="G65" s="93"/>
      <c r="H65" s="105" t="str">
        <f>IF(Datos!$G65&gt;0,Datos!$G65-Datos!$E65+1 &amp; " " &amp; Idiomas!$A$29,"")</f>
        <v/>
      </c>
      <c r="I65" s="10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2"/>
      <c r="K65" s="44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88"/>
      <c r="B66" s="89"/>
      <c r="C66" s="97"/>
      <c r="D66" s="97"/>
      <c r="E66" s="90"/>
      <c r="F66" s="90"/>
      <c r="G66" s="90"/>
      <c r="H66" s="104" t="str">
        <f>IF(Datos!$G66&gt;0,Datos!$G66-Datos!$E66+1 &amp; " " &amp; Idiomas!$A$29,"")</f>
        <v/>
      </c>
      <c r="I66" s="104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89"/>
      <c r="K66" s="43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1"/>
      <c r="B67" s="92"/>
      <c r="C67" s="98"/>
      <c r="D67" s="98"/>
      <c r="E67" s="93"/>
      <c r="F67" s="93"/>
      <c r="G67" s="93"/>
      <c r="H67" s="105" t="str">
        <f>IF(Datos!$G67&gt;0,Datos!$G67-Datos!$E67+1 &amp; " " &amp; Idiomas!$A$29,"")</f>
        <v/>
      </c>
      <c r="I67" s="10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2"/>
      <c r="K67" s="44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88"/>
      <c r="B68" s="89"/>
      <c r="C68" s="97"/>
      <c r="D68" s="97"/>
      <c r="E68" s="90"/>
      <c r="F68" s="90"/>
      <c r="G68" s="90"/>
      <c r="H68" s="104" t="str">
        <f>IF(Datos!$G68&gt;0,Datos!$G68-Datos!$E68+1 &amp; " " &amp; Idiomas!$A$29,"")</f>
        <v/>
      </c>
      <c r="I68" s="104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89"/>
      <c r="K68" s="43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1"/>
      <c r="B69" s="92"/>
      <c r="C69" s="98"/>
      <c r="D69" s="98"/>
      <c r="E69" s="93"/>
      <c r="F69" s="93"/>
      <c r="G69" s="93"/>
      <c r="H69" s="105" t="str">
        <f>IF(Datos!$G69&gt;0,Datos!$G69-Datos!$E69+1 &amp; " " &amp; Idiomas!$A$29,"")</f>
        <v/>
      </c>
      <c r="I69" s="10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2"/>
      <c r="K69" s="44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88"/>
      <c r="B70" s="89"/>
      <c r="C70" s="97"/>
      <c r="D70" s="97"/>
      <c r="E70" s="90"/>
      <c r="F70" s="90"/>
      <c r="G70" s="90"/>
      <c r="H70" s="104" t="str">
        <f>IF(Datos!$G70&gt;0,Datos!$G70-Datos!$E70+1 &amp; " " &amp; Idiomas!$A$29,"")</f>
        <v/>
      </c>
      <c r="I70" s="104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89"/>
      <c r="K70" s="43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1"/>
      <c r="B71" s="92"/>
      <c r="C71" s="98"/>
      <c r="D71" s="98"/>
      <c r="E71" s="93"/>
      <c r="F71" s="93"/>
      <c r="G71" s="93"/>
      <c r="H71" s="105" t="str">
        <f>IF(Datos!$G71&gt;0,Datos!$G71-Datos!$E71+1 &amp; " " &amp; Idiomas!$A$29,"")</f>
        <v/>
      </c>
      <c r="I71" s="10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2"/>
      <c r="K71" s="44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88"/>
      <c r="B72" s="89"/>
      <c r="C72" s="97"/>
      <c r="D72" s="97"/>
      <c r="E72" s="90"/>
      <c r="F72" s="90"/>
      <c r="G72" s="90"/>
      <c r="H72" s="104" t="str">
        <f>IF(Datos!$G72&gt;0,Datos!$G72-Datos!$E72+1 &amp; " " &amp; Idiomas!$A$29,"")</f>
        <v/>
      </c>
      <c r="I72" s="104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89"/>
      <c r="K72" s="43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1"/>
      <c r="B73" s="92"/>
      <c r="C73" s="98"/>
      <c r="D73" s="98"/>
      <c r="E73" s="93"/>
      <c r="F73" s="93"/>
      <c r="G73" s="93"/>
      <c r="H73" s="105" t="str">
        <f>IF(Datos!$G73&gt;0,Datos!$G73-Datos!$E73+1 &amp; " " &amp; Idiomas!$A$29,"")</f>
        <v/>
      </c>
      <c r="I73" s="10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2"/>
      <c r="K73" s="44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88"/>
      <c r="B74" s="89"/>
      <c r="C74" s="97"/>
      <c r="D74" s="97"/>
      <c r="E74" s="90"/>
      <c r="F74" s="90"/>
      <c r="G74" s="90"/>
      <c r="H74" s="104" t="str">
        <f>IF(Datos!$G74&gt;0,Datos!$G74-Datos!$E74+1 &amp; " " &amp; Idiomas!$A$29,"")</f>
        <v/>
      </c>
      <c r="I74" s="104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89"/>
      <c r="K74" s="43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1"/>
      <c r="B75" s="92"/>
      <c r="C75" s="98"/>
      <c r="D75" s="98"/>
      <c r="E75" s="93"/>
      <c r="F75" s="93"/>
      <c r="G75" s="93"/>
      <c r="H75" s="105" t="str">
        <f>IF(Datos!$G75&gt;0,Datos!$G75-Datos!$E75+1 &amp; " " &amp; Idiomas!$A$29,"")</f>
        <v/>
      </c>
      <c r="I75" s="10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2"/>
      <c r="K75" s="44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88"/>
      <c r="B76" s="89"/>
      <c r="C76" s="97"/>
      <c r="D76" s="97"/>
      <c r="E76" s="90"/>
      <c r="F76" s="90"/>
      <c r="G76" s="90"/>
      <c r="H76" s="104" t="str">
        <f>IF(Datos!$G76&gt;0,Datos!$G76-Datos!$E76+1 &amp; " " &amp; Idiomas!$A$29,"")</f>
        <v/>
      </c>
      <c r="I76" s="104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89"/>
      <c r="K76" s="43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1"/>
      <c r="B77" s="92"/>
      <c r="C77" s="98"/>
      <c r="D77" s="98"/>
      <c r="E77" s="93"/>
      <c r="F77" s="93"/>
      <c r="G77" s="93"/>
      <c r="H77" s="105" t="str">
        <f>IF(Datos!$G77&gt;0,Datos!$G77-Datos!$E77+1 &amp; " " &amp; Idiomas!$A$29,"")</f>
        <v/>
      </c>
      <c r="I77" s="10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2"/>
      <c r="K77" s="44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88"/>
      <c r="B78" s="89"/>
      <c r="C78" s="97"/>
      <c r="D78" s="97"/>
      <c r="E78" s="90"/>
      <c r="F78" s="90"/>
      <c r="G78" s="90"/>
      <c r="H78" s="104" t="str">
        <f>IF(Datos!$G78&gt;0,Datos!$G78-Datos!$E78+1 &amp; " " &amp; Idiomas!$A$29,"")</f>
        <v/>
      </c>
      <c r="I78" s="104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89"/>
      <c r="K78" s="43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1"/>
      <c r="B79" s="92"/>
      <c r="C79" s="98"/>
      <c r="D79" s="98"/>
      <c r="E79" s="93"/>
      <c r="F79" s="93"/>
      <c r="G79" s="93"/>
      <c r="H79" s="105" t="str">
        <f>IF(Datos!$G79&gt;0,Datos!$G79-Datos!$E79+1 &amp; " " &amp; Idiomas!$A$29,"")</f>
        <v/>
      </c>
      <c r="I79" s="10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2"/>
      <c r="K79" s="44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88"/>
      <c r="B80" s="89"/>
      <c r="C80" s="97"/>
      <c r="D80" s="97"/>
      <c r="E80" s="90"/>
      <c r="F80" s="90"/>
      <c r="G80" s="90"/>
      <c r="H80" s="104" t="str">
        <f>IF(Datos!$G80&gt;0,Datos!$G80-Datos!$E80+1 &amp; " " &amp; Idiomas!$A$29,"")</f>
        <v/>
      </c>
      <c r="I80" s="104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89"/>
      <c r="K80" s="43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1"/>
      <c r="B81" s="92"/>
      <c r="C81" s="98"/>
      <c r="D81" s="98"/>
      <c r="E81" s="93"/>
      <c r="F81" s="93"/>
      <c r="G81" s="93"/>
      <c r="H81" s="105" t="str">
        <f>IF(Datos!$G81&gt;0,Datos!$G81-Datos!$E81+1 &amp; " " &amp; Idiomas!$A$29,"")</f>
        <v/>
      </c>
      <c r="I81" s="10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2"/>
      <c r="K81" s="44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88"/>
      <c r="B82" s="89"/>
      <c r="C82" s="97"/>
      <c r="D82" s="97"/>
      <c r="E82" s="90"/>
      <c r="F82" s="90"/>
      <c r="G82" s="90"/>
      <c r="H82" s="104" t="str">
        <f>IF(Datos!$G82&gt;0,Datos!$G82-Datos!$E82+1 &amp; " " &amp; Idiomas!$A$29,"")</f>
        <v/>
      </c>
      <c r="I82" s="104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89"/>
      <c r="K82" s="43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1"/>
      <c r="B83" s="92"/>
      <c r="C83" s="98"/>
      <c r="D83" s="98"/>
      <c r="E83" s="93"/>
      <c r="F83" s="93"/>
      <c r="G83" s="93"/>
      <c r="H83" s="105" t="str">
        <f>IF(Datos!$G83&gt;0,Datos!$G83-Datos!$E83+1 &amp; " " &amp; Idiomas!$A$29,"")</f>
        <v/>
      </c>
      <c r="I83" s="10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2"/>
      <c r="K83" s="44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88"/>
      <c r="B84" s="89"/>
      <c r="C84" s="97"/>
      <c r="D84" s="97"/>
      <c r="E84" s="90"/>
      <c r="F84" s="90"/>
      <c r="G84" s="90"/>
      <c r="H84" s="104" t="str">
        <f>IF(Datos!$G84&gt;0,Datos!$G84-Datos!$E84+1 &amp; " " &amp; Idiomas!$A$29,"")</f>
        <v/>
      </c>
      <c r="I84" s="104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89"/>
      <c r="K84" s="43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1" t="s">
        <v>5</v>
      </c>
      <c r="B85" s="92" t="s">
        <v>8</v>
      </c>
      <c r="C85" s="98" t="s">
        <v>10</v>
      </c>
      <c r="D85" s="98" t="s">
        <v>11</v>
      </c>
      <c r="E85" s="93">
        <v>45687</v>
      </c>
      <c r="F85" s="93">
        <v>45687</v>
      </c>
      <c r="G85" s="93">
        <v>45687</v>
      </c>
      <c r="H85" s="105" t="str">
        <f>IF(Datos!$G85&gt;0,Datos!$G85-Datos!$E85+1 &amp; " " &amp; Idiomas!$A$29,"")</f>
        <v>1 días</v>
      </c>
      <c r="I85" s="10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2" t="s">
        <v>4</v>
      </c>
      <c r="K85" s="44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88"/>
      <c r="B86" s="89"/>
      <c r="C86" s="97"/>
      <c r="D86" s="97"/>
      <c r="E86" s="90"/>
      <c r="F86" s="90"/>
      <c r="G86" s="90"/>
      <c r="H86" s="104" t="str">
        <f>IF(Datos!$G86&gt;0,Datos!$G86-Datos!$E86+1 &amp; " " &amp; Idiomas!$A$29,"")</f>
        <v/>
      </c>
      <c r="I86" s="104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89"/>
      <c r="K86" s="43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1"/>
      <c r="B87" s="92"/>
      <c r="C87" s="98"/>
      <c r="D87" s="98"/>
      <c r="E87" s="93"/>
      <c r="F87" s="93"/>
      <c r="G87" s="93"/>
      <c r="H87" s="105" t="str">
        <f>IF(Datos!$G87&gt;0,Datos!$G87-Datos!$E87+1 &amp; " " &amp; Idiomas!$A$29,"")</f>
        <v/>
      </c>
      <c r="I87" s="10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2"/>
      <c r="K87" s="44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88"/>
      <c r="B88" s="89"/>
      <c r="C88" s="97"/>
      <c r="D88" s="97"/>
      <c r="E88" s="90"/>
      <c r="F88" s="90"/>
      <c r="G88" s="90"/>
      <c r="H88" s="104" t="str">
        <f>IF(Datos!$G88&gt;0,Datos!$G88-Datos!$E88+1 &amp; " " &amp; Idiomas!$A$29,"")</f>
        <v/>
      </c>
      <c r="I88" s="104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89"/>
      <c r="K88" s="43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1"/>
      <c r="B89" s="92"/>
      <c r="C89" s="98"/>
      <c r="D89" s="98"/>
      <c r="E89" s="93"/>
      <c r="F89" s="93"/>
      <c r="G89" s="93"/>
      <c r="H89" s="105" t="str">
        <f>IF(Datos!$G89&gt;0,Datos!$G89-Datos!$E89+1 &amp; " " &amp; Idiomas!$A$29,"")</f>
        <v/>
      </c>
      <c r="I89" s="10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2"/>
      <c r="K89" s="44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88"/>
      <c r="B90" s="89"/>
      <c r="C90" s="97"/>
      <c r="D90" s="97"/>
      <c r="E90" s="90"/>
      <c r="F90" s="90"/>
      <c r="G90" s="90"/>
      <c r="H90" s="104" t="str">
        <f>IF(Datos!$G90&gt;0,Datos!$G90-Datos!$E90+1 &amp; " " &amp; Idiomas!$A$29,"")</f>
        <v/>
      </c>
      <c r="I90" s="104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89"/>
      <c r="K90" s="43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1"/>
      <c r="B91" s="92"/>
      <c r="C91" s="98"/>
      <c r="D91" s="98"/>
      <c r="E91" s="93"/>
      <c r="F91" s="93"/>
      <c r="G91" s="93"/>
      <c r="H91" s="105" t="str">
        <f>IF(Datos!$G91&gt;0,Datos!$G91-Datos!$E91+1 &amp; " " &amp; Idiomas!$A$29,"")</f>
        <v/>
      </c>
      <c r="I91" s="10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2"/>
      <c r="K91" s="44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88"/>
      <c r="B92" s="89"/>
      <c r="C92" s="97"/>
      <c r="D92" s="97"/>
      <c r="E92" s="90"/>
      <c r="F92" s="90"/>
      <c r="G92" s="90"/>
      <c r="H92" s="104" t="str">
        <f>IF(Datos!$G92&gt;0,Datos!$G92-Datos!$E92+1 &amp; " " &amp; Idiomas!$A$29,"")</f>
        <v/>
      </c>
      <c r="I92" s="104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89"/>
      <c r="K92" s="43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1"/>
      <c r="B93" s="92"/>
      <c r="C93" s="98"/>
      <c r="D93" s="98"/>
      <c r="E93" s="93"/>
      <c r="F93" s="93"/>
      <c r="G93" s="93"/>
      <c r="H93" s="105" t="str">
        <f>IF(Datos!$G93&gt;0,Datos!$G93-Datos!$E93+1 &amp; " " &amp; Idiomas!$A$29,"")</f>
        <v/>
      </c>
      <c r="I93" s="10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2"/>
      <c r="K93" s="44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88"/>
      <c r="B94" s="89"/>
      <c r="C94" s="97"/>
      <c r="D94" s="97"/>
      <c r="E94" s="90"/>
      <c r="F94" s="90"/>
      <c r="G94" s="90"/>
      <c r="H94" s="104" t="str">
        <f>IF(Datos!$G94&gt;0,Datos!$G94-Datos!$E94+1 &amp; " " &amp; Idiomas!$A$29,"")</f>
        <v/>
      </c>
      <c r="I94" s="104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89"/>
      <c r="K94" s="43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1"/>
      <c r="B95" s="92"/>
      <c r="C95" s="98"/>
      <c r="D95" s="98"/>
      <c r="E95" s="93"/>
      <c r="F95" s="93"/>
      <c r="G95" s="93"/>
      <c r="H95" s="105" t="str">
        <f>IF(Datos!$G95&gt;0,Datos!$G95-Datos!$E95+1 &amp; " " &amp; Idiomas!$A$29,"")</f>
        <v/>
      </c>
      <c r="I95" s="10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2"/>
      <c r="K95" s="44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88"/>
      <c r="B96" s="89"/>
      <c r="C96" s="97"/>
      <c r="D96" s="97"/>
      <c r="E96" s="90"/>
      <c r="F96" s="90"/>
      <c r="G96" s="90"/>
      <c r="H96" s="104" t="str">
        <f>IF(Datos!$G96&gt;0,Datos!$G96-Datos!$E96+1 &amp; " " &amp; Idiomas!$A$29,"")</f>
        <v/>
      </c>
      <c r="I96" s="104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89"/>
      <c r="K96" s="43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1"/>
      <c r="B97" s="92"/>
      <c r="C97" s="98"/>
      <c r="D97" s="98"/>
      <c r="E97" s="93"/>
      <c r="F97" s="93"/>
      <c r="G97" s="93"/>
      <c r="H97" s="105" t="str">
        <f>IF(Datos!$G97&gt;0,Datos!$G97-Datos!$E97+1 &amp; " " &amp; Idiomas!$A$29,"")</f>
        <v/>
      </c>
      <c r="I97" s="10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2"/>
      <c r="K97" s="44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88"/>
      <c r="B98" s="89"/>
      <c r="C98" s="97"/>
      <c r="D98" s="97"/>
      <c r="E98" s="90"/>
      <c r="F98" s="90"/>
      <c r="G98" s="90"/>
      <c r="H98" s="104" t="str">
        <f>IF(Datos!$G98&gt;0,Datos!$G98-Datos!$E98+1 &amp; " " &amp; Idiomas!$A$29,"")</f>
        <v/>
      </c>
      <c r="I98" s="104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89"/>
      <c r="K98" s="43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1"/>
      <c r="B99" s="92"/>
      <c r="C99" s="98"/>
      <c r="D99" s="98"/>
      <c r="E99" s="93"/>
      <c r="F99" s="93"/>
      <c r="G99" s="93"/>
      <c r="H99" s="105" t="str">
        <f>IF(Datos!$G99&gt;0,Datos!$G99-Datos!$E99+1 &amp; " " &amp; Idiomas!$A$29,"")</f>
        <v/>
      </c>
      <c r="I99" s="10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2"/>
      <c r="K99" s="44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88"/>
      <c r="B100" s="89"/>
      <c r="C100" s="97"/>
      <c r="D100" s="97"/>
      <c r="E100" s="90"/>
      <c r="F100" s="90"/>
      <c r="G100" s="90"/>
      <c r="H100" s="104" t="str">
        <f>IF(Datos!$G100&gt;0,Datos!$G100-Datos!$E100+1 &amp; " " &amp; Idiomas!$A$29,"")</f>
        <v/>
      </c>
      <c r="I100" s="104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89"/>
      <c r="K100" s="43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4"/>
      <c r="B101" s="95"/>
      <c r="C101" s="117"/>
      <c r="D101" s="117"/>
      <c r="E101" s="96"/>
      <c r="F101" s="96"/>
      <c r="G101" s="96"/>
      <c r="H101" s="106" t="str">
        <f>IF(Datos!$G101&gt;0,Datos!$G101-Datos!$E101+1 &amp; " " &amp; Idiomas!$A$29,"")</f>
        <v/>
      </c>
      <c r="I101" s="106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5"/>
      <c r="K101" s="45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3:E101">
    <cfRule type="expression" dxfId="5" priority="13" stopIfTrue="1">
      <formula>AND($A3&lt;&gt;"",$E3="")</formula>
    </cfRule>
  </conditionalFormatting>
  <conditionalFormatting sqref="F11:G11">
    <cfRule type="expression" dxfId="4" priority="1" stopIfTrue="1">
      <formula>AND($A11&lt;&gt;"",$E11="")</formula>
    </cfRule>
  </conditionalFormatting>
  <conditionalFormatting sqref="I2:I101">
    <cfRule type="expression" dxfId="3" priority="12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 E48:E101 F17:G17 F5:G5 F46:G101 F2:G3 E11:G1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5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6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7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0" t="str">
        <f>"                " &amp; Idiomas!$A$2 &amp; " v3 ©️            "</f>
        <v xml:space="preserve">                Tablero KANBAN v3 ©️            </v>
      </c>
      <c r="C2" s="110"/>
      <c r="E2" s="7" t="s">
        <v>12</v>
      </c>
      <c r="F2" s="114" t="str">
        <f>Idiomas!$A$2 &amp; " | #ExcelPedroWave"</f>
        <v>Tablero KANBAN | #ExcelPedroWave</v>
      </c>
      <c r="G2" s="114"/>
      <c r="H2" s="114"/>
    </row>
    <row r="3" spans="2:9" ht="15" customHeight="1" x14ac:dyDescent="0.3">
      <c r="E3" s="8" t="s">
        <v>13</v>
      </c>
      <c r="F3" s="114" t="s">
        <v>14</v>
      </c>
      <c r="G3" s="114"/>
      <c r="H3" s="114"/>
    </row>
    <row r="4" spans="2:9" x14ac:dyDescent="0.3">
      <c r="B4" s="86" t="str">
        <f>Idiomas!$A$3</f>
        <v>Idioma</v>
      </c>
      <c r="E4" s="8" t="s">
        <v>15</v>
      </c>
      <c r="F4" s="115" t="s">
        <v>16</v>
      </c>
      <c r="G4" s="115"/>
      <c r="H4" s="115"/>
    </row>
    <row r="5" spans="2:9" ht="15" customHeight="1" x14ac:dyDescent="0.3">
      <c r="B5" s="87" t="s">
        <v>17</v>
      </c>
      <c r="C5" s="37"/>
      <c r="D5" s="39"/>
      <c r="E5" s="39"/>
      <c r="F5" s="39"/>
    </row>
    <row r="6" spans="2:9" ht="15" customHeight="1" x14ac:dyDescent="0.3">
      <c r="B6" s="79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2" t="str">
        <f>Idiomas!$A$30</f>
        <v>Orden en tarjetas</v>
      </c>
      <c r="I8" s="78" t="s">
        <v>18</v>
      </c>
    </row>
    <row r="9" spans="2:9" x14ac:dyDescent="0.3">
      <c r="B9" s="72" t="s">
        <v>9</v>
      </c>
      <c r="D9" s="69" t="s">
        <v>6</v>
      </c>
      <c r="F9" s="65" t="s">
        <v>243</v>
      </c>
      <c r="H9" s="63" t="str">
        <f>Idiomas!$A$12</f>
        <v>Tarea</v>
      </c>
      <c r="I9" s="82">
        <v>1</v>
      </c>
    </row>
    <row r="10" spans="2:9" x14ac:dyDescent="0.3">
      <c r="B10" s="73" t="s">
        <v>7</v>
      </c>
      <c r="D10" s="70" t="s">
        <v>3</v>
      </c>
      <c r="F10" s="66" t="s">
        <v>244</v>
      </c>
      <c r="H10" s="64" t="str">
        <f>Idiomas!$A$13</f>
        <v>Descripción</v>
      </c>
      <c r="I10" s="84">
        <v>2</v>
      </c>
    </row>
    <row r="11" spans="2:9" ht="15" thickBot="1" x14ac:dyDescent="0.35">
      <c r="B11" s="74" t="s">
        <v>2</v>
      </c>
      <c r="D11" s="71" t="s">
        <v>8</v>
      </c>
      <c r="F11" s="67" t="s">
        <v>245</v>
      </c>
      <c r="H11" s="76" t="str">
        <f>Idiomas!$A$14</f>
        <v>Inicio</v>
      </c>
      <c r="I11" s="83">
        <v>3</v>
      </c>
    </row>
    <row r="12" spans="2:9" x14ac:dyDescent="0.3">
      <c r="B12" s="73" t="s">
        <v>5</v>
      </c>
      <c r="F12" s="66" t="s">
        <v>246</v>
      </c>
      <c r="H12" s="64" t="str">
        <f>Idiomas!$A$15</f>
        <v>Previsto</v>
      </c>
      <c r="I12" s="84">
        <v>4</v>
      </c>
    </row>
    <row r="13" spans="2:9" ht="15" thickBot="1" x14ac:dyDescent="0.35">
      <c r="B13" s="74" t="s">
        <v>19</v>
      </c>
      <c r="F13" s="67" t="s">
        <v>247</v>
      </c>
      <c r="H13" s="76" t="str">
        <f>Idiomas!$A$16</f>
        <v>Final</v>
      </c>
      <c r="I13" s="83">
        <v>5</v>
      </c>
    </row>
    <row r="14" spans="2:9" x14ac:dyDescent="0.3">
      <c r="B14" s="73" t="s">
        <v>9</v>
      </c>
      <c r="F14" s="65" t="s">
        <v>218</v>
      </c>
      <c r="H14" s="64" t="str">
        <f>Idiomas!$A$17</f>
        <v>Duración</v>
      </c>
      <c r="I14" s="84">
        <v>6</v>
      </c>
    </row>
    <row r="15" spans="2:9" x14ac:dyDescent="0.3">
      <c r="B15" s="74" t="s">
        <v>7</v>
      </c>
      <c r="F15" s="66" t="s">
        <v>248</v>
      </c>
      <c r="H15" s="76" t="str">
        <f>Idiomas!$A$18</f>
        <v>Retraso</v>
      </c>
      <c r="I15" s="83">
        <v>7</v>
      </c>
    </row>
    <row r="16" spans="2:9" ht="15" thickBot="1" x14ac:dyDescent="0.35">
      <c r="B16" s="73"/>
      <c r="F16" s="67" t="s">
        <v>249</v>
      </c>
      <c r="H16" s="77" t="str">
        <f>Idiomas!$A$19</f>
        <v>Asignado</v>
      </c>
      <c r="I16" s="85">
        <v>8</v>
      </c>
    </row>
    <row r="17" spans="2:9" x14ac:dyDescent="0.3">
      <c r="B17" s="74"/>
      <c r="F17" s="67" t="s">
        <v>250</v>
      </c>
      <c r="H17" s="79" t="str">
        <f>Idiomas!$A$4</f>
        <v>AVISO:</v>
      </c>
      <c r="I17" s="81" t="s">
        <v>20</v>
      </c>
    </row>
    <row r="18" spans="2:9" ht="15" thickBot="1" x14ac:dyDescent="0.35">
      <c r="B18" s="75"/>
      <c r="F18" s="66"/>
      <c r="H18" s="80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7"/>
      <c r="H19" s="80" t="str">
        <f>Idiomas!$A$32</f>
        <v>No duplicar los números</v>
      </c>
    </row>
    <row r="20" spans="2:9" ht="15" thickBot="1" x14ac:dyDescent="0.35">
      <c r="B20" s="61" t="s">
        <v>2</v>
      </c>
      <c r="F20" s="66"/>
    </row>
    <row r="21" spans="2:9" x14ac:dyDescent="0.3">
      <c r="F21" s="67"/>
    </row>
    <row r="22" spans="2:9" ht="15" thickBot="1" x14ac:dyDescent="0.35">
      <c r="B22" s="2" t="str">
        <f>Idiomas!$A$11</f>
        <v>Nombre archivo en Excel para la Web</v>
      </c>
      <c r="F22" s="66"/>
    </row>
    <row r="23" spans="2:9" ht="15" thickBot="1" x14ac:dyDescent="0.35">
      <c r="B23" s="111" t="s">
        <v>21</v>
      </c>
      <c r="C23" s="112"/>
      <c r="D23" s="113"/>
      <c r="F23" s="68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6" t="str">
        <f>Idiomas!$A$12</f>
        <v>Tarea</v>
      </c>
      <c r="B1" s="47" t="str">
        <f>"#"&amp;Idiomas!$A$7</f>
        <v>#Estados</v>
      </c>
      <c r="C1" s="47" t="str">
        <f>"#"&amp;Idiomas!$A$8</f>
        <v>#Criticidad</v>
      </c>
      <c r="D1" s="47" t="str">
        <f>Idiomas!$A$20</f>
        <v>Filtro</v>
      </c>
      <c r="E1" s="47" t="s">
        <v>22</v>
      </c>
      <c r="F1" s="47" t="s">
        <v>23</v>
      </c>
      <c r="G1" s="47" t="s">
        <v>24</v>
      </c>
      <c r="H1" s="47" t="s">
        <v>25</v>
      </c>
      <c r="I1" s="47" t="s">
        <v>26</v>
      </c>
      <c r="J1" s="47" t="s">
        <v>27</v>
      </c>
      <c r="K1" s="47" t="s">
        <v>28</v>
      </c>
      <c r="L1" s="47" t="s">
        <v>29</v>
      </c>
      <c r="M1" s="47" t="s">
        <v>30</v>
      </c>
      <c r="N1" s="47" t="s">
        <v>31</v>
      </c>
      <c r="O1" s="47" t="str">
        <f>Idiomas!$A$21</f>
        <v>Celda</v>
      </c>
      <c r="P1" s="48" t="s">
        <v>32</v>
      </c>
    </row>
    <row r="2" spans="1:16" ht="15.6" thickTop="1" thickBot="1" x14ac:dyDescent="0.35">
      <c r="A2" s="49" t="str">
        <f>IFERROR(IF(Datos!$A2="","",Idiomas!$A$12&amp;" "&amp;ROW()-1),"")</f>
        <v>Tarea 1</v>
      </c>
      <c r="B2" s="50">
        <f>IFERROR(MATCH(Datos!$A2,Configura!$B$9:$B$18,0),0)</f>
        <v>4</v>
      </c>
      <c r="C2" s="50">
        <f>IFERROR(MATCH(Datos!$B2,Configura!$D$9:$D$11,0),0)</f>
        <v>1</v>
      </c>
      <c r="D2" s="50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1" t="str">
        <f t="shared" ref="E2:N11" ca="1" si="0">IFERROR(E$1&amp;"-"&amp;MATCH($A2&amp;":",INDIRECT("KANBAN!"&amp;E$1&amp;":"&amp;E$1),0),"")</f>
        <v/>
      </c>
      <c r="F2" s="51" t="str">
        <f t="shared" ca="1" si="0"/>
        <v/>
      </c>
      <c r="G2" s="51" t="str">
        <f t="shared" ca="1" si="0"/>
        <v/>
      </c>
      <c r="H2" s="51" t="str">
        <f t="shared" ca="1" si="0"/>
        <v>R-150</v>
      </c>
      <c r="I2" s="51" t="str">
        <f t="shared" ca="1" si="0"/>
        <v/>
      </c>
      <c r="J2" s="51" t="str">
        <f t="shared" ca="1" si="0"/>
        <v/>
      </c>
      <c r="K2" s="51" t="str">
        <f t="shared" ca="1" si="0"/>
        <v/>
      </c>
      <c r="L2" s="51" t="str">
        <f t="shared" ca="1" si="0"/>
        <v/>
      </c>
      <c r="M2" s="51" t="str">
        <f t="shared" ca="1" si="0"/>
        <v/>
      </c>
      <c r="N2" s="51" t="str">
        <f t="shared" ca="1" si="0"/>
        <v/>
      </c>
      <c r="O2" s="51" t="str">
        <f t="shared" ref="O2:O33" ca="1" si="1">E2&amp;F2&amp;G2&amp;H2&amp;I2&amp;J2&amp;K2&amp;L2&amp;M2&amp;N2</f>
        <v>R-150</v>
      </c>
      <c r="P2" s="52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R150:R157</v>
      </c>
    </row>
    <row r="3" spans="1:16" ht="15.6" thickTop="1" thickBot="1" x14ac:dyDescent="0.35">
      <c r="A3" s="53" t="str">
        <f>IFERROR(IF(Datos!$A3="","",Idiomas!$A$12&amp;" "&amp;ROW()-1),"")</f>
        <v>Tarea 2</v>
      </c>
      <c r="B3" s="54">
        <f>IFERROR(MATCH(Datos!$A3,Configura!$B$9:$B$18,0),0)</f>
        <v>4</v>
      </c>
      <c r="C3" s="54">
        <f>IFERROR(MATCH(Datos!$B3,Configura!$D$9:$D$11,0),0)</f>
        <v>3</v>
      </c>
      <c r="D3" s="54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5" t="str">
        <f t="shared" ca="1" si="0"/>
        <v/>
      </c>
      <c r="F3" s="55" t="str">
        <f t="shared" ca="1" si="0"/>
        <v/>
      </c>
      <c r="G3" s="55" t="str">
        <f t="shared" ca="1" si="0"/>
        <v/>
      </c>
      <c r="H3" s="55" t="str">
        <f t="shared" ca="1" si="0"/>
        <v>R-141</v>
      </c>
      <c r="I3" s="55" t="str">
        <f t="shared" ca="1" si="0"/>
        <v/>
      </c>
      <c r="J3" s="55" t="str">
        <f t="shared" ca="1" si="0"/>
        <v/>
      </c>
      <c r="K3" s="55" t="str">
        <f t="shared" ca="1" si="0"/>
        <v/>
      </c>
      <c r="L3" s="55" t="str">
        <f t="shared" ca="1" si="0"/>
        <v/>
      </c>
      <c r="M3" s="55" t="str">
        <f t="shared" ca="1" si="0"/>
        <v/>
      </c>
      <c r="N3" s="55" t="str">
        <f t="shared" ca="1" si="0"/>
        <v/>
      </c>
      <c r="O3" s="55" t="str">
        <f t="shared" ca="1" si="1"/>
        <v>R-141</v>
      </c>
      <c r="P3" s="56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R141:R148</v>
      </c>
    </row>
    <row r="4" spans="1:16" ht="15.6" thickTop="1" thickBot="1" x14ac:dyDescent="0.35">
      <c r="A4" s="49" t="str">
        <f>IFERROR(IF(Datos!$A4="","",Idiomas!$A$12&amp;" "&amp;ROW()-1),"")</f>
        <v>Tarea 3</v>
      </c>
      <c r="B4" s="50">
        <f>IFERROR(MATCH(Datos!$A4,Configura!$B$9:$B$18,0),0)</f>
        <v>4</v>
      </c>
      <c r="C4" s="50">
        <f>IFERROR(MATCH(Datos!$B4,Configura!$D$9:$D$11,0),0)</f>
        <v>3</v>
      </c>
      <c r="D4" s="50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1" t="str">
        <f t="shared" ca="1" si="0"/>
        <v/>
      </c>
      <c r="F4" s="51" t="str">
        <f t="shared" ca="1" si="0"/>
        <v/>
      </c>
      <c r="G4" s="51" t="str">
        <f t="shared" ca="1" si="0"/>
        <v/>
      </c>
      <c r="H4" s="51" t="str">
        <f t="shared" ca="1" si="0"/>
        <v>R-132</v>
      </c>
      <c r="I4" s="51" t="str">
        <f t="shared" ca="1" si="0"/>
        <v/>
      </c>
      <c r="J4" s="51" t="str">
        <f t="shared" ca="1" si="0"/>
        <v/>
      </c>
      <c r="K4" s="51" t="str">
        <f t="shared" ca="1" si="0"/>
        <v/>
      </c>
      <c r="L4" s="51" t="str">
        <f t="shared" ca="1" si="0"/>
        <v/>
      </c>
      <c r="M4" s="51" t="str">
        <f t="shared" ca="1" si="0"/>
        <v/>
      </c>
      <c r="N4" s="51" t="str">
        <f t="shared" ca="1" si="0"/>
        <v/>
      </c>
      <c r="O4" s="51" t="str">
        <f t="shared" ca="1" si="1"/>
        <v>R-132</v>
      </c>
      <c r="P4" s="52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R132:R139</v>
      </c>
    </row>
    <row r="5" spans="1:16" ht="15.6" thickTop="1" thickBot="1" x14ac:dyDescent="0.35">
      <c r="A5" s="53" t="str">
        <f>IFERROR(IF(Datos!$A5="","",Idiomas!$A$12&amp;" "&amp;ROW()-1),"")</f>
        <v>Tarea 4</v>
      </c>
      <c r="B5" s="54">
        <f>IFERROR(MATCH(Datos!$A5,Configura!$B$9:$B$18,0),0)</f>
        <v>4</v>
      </c>
      <c r="C5" s="54">
        <f>IFERROR(MATCH(Datos!$B5,Configura!$D$9:$D$11,0),0)</f>
        <v>2</v>
      </c>
      <c r="D5" s="54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5" t="str">
        <f t="shared" ca="1" si="0"/>
        <v/>
      </c>
      <c r="F5" s="55" t="str">
        <f t="shared" ca="1" si="0"/>
        <v/>
      </c>
      <c r="G5" s="55" t="str">
        <f t="shared" ca="1" si="0"/>
        <v/>
      </c>
      <c r="H5" s="55" t="str">
        <f t="shared" ca="1" si="0"/>
        <v>R-123</v>
      </c>
      <c r="I5" s="55" t="str">
        <f t="shared" ca="1" si="0"/>
        <v/>
      </c>
      <c r="J5" s="55" t="str">
        <f t="shared" ca="1" si="0"/>
        <v/>
      </c>
      <c r="K5" s="55" t="str">
        <f t="shared" ca="1" si="0"/>
        <v/>
      </c>
      <c r="L5" s="55" t="str">
        <f t="shared" ca="1" si="0"/>
        <v/>
      </c>
      <c r="M5" s="55" t="str">
        <f t="shared" ca="1" si="0"/>
        <v/>
      </c>
      <c r="N5" s="55" t="str">
        <f t="shared" ca="1" si="0"/>
        <v/>
      </c>
      <c r="O5" s="55" t="str">
        <f t="shared" ca="1" si="1"/>
        <v>R-123</v>
      </c>
      <c r="P5" s="56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R123:R130</v>
      </c>
    </row>
    <row r="6" spans="1:16" ht="15.6" thickTop="1" thickBot="1" x14ac:dyDescent="0.35">
      <c r="A6" s="49" t="str">
        <f>IFERROR(IF(Datos!$A6="","",Idiomas!$A$12&amp;" "&amp;ROW()-1),"")</f>
        <v>Tarea 5</v>
      </c>
      <c r="B6" s="50">
        <f>IFERROR(MATCH(Datos!$A6,Configura!$B$9:$B$18,0),0)</f>
        <v>4</v>
      </c>
      <c r="C6" s="50">
        <f>IFERROR(MATCH(Datos!$B6,Configura!$D$9:$D$11,0),0)</f>
        <v>3</v>
      </c>
      <c r="D6" s="50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1" t="str">
        <f t="shared" ca="1" si="0"/>
        <v/>
      </c>
      <c r="F6" s="51" t="str">
        <f t="shared" ca="1" si="0"/>
        <v/>
      </c>
      <c r="G6" s="51" t="str">
        <f t="shared" ca="1" si="0"/>
        <v/>
      </c>
      <c r="H6" s="51" t="str">
        <f t="shared" ca="1" si="0"/>
        <v>R-114</v>
      </c>
      <c r="I6" s="51" t="str">
        <f t="shared" ca="1" si="0"/>
        <v/>
      </c>
      <c r="J6" s="51" t="str">
        <f t="shared" ca="1" si="0"/>
        <v/>
      </c>
      <c r="K6" s="51" t="str">
        <f t="shared" ca="1" si="0"/>
        <v/>
      </c>
      <c r="L6" s="51" t="str">
        <f t="shared" ca="1" si="0"/>
        <v/>
      </c>
      <c r="M6" s="51" t="str">
        <f t="shared" ca="1" si="0"/>
        <v/>
      </c>
      <c r="N6" s="51" t="str">
        <f t="shared" ca="1" si="0"/>
        <v/>
      </c>
      <c r="O6" s="51" t="str">
        <f t="shared" ca="1" si="1"/>
        <v>R-114</v>
      </c>
      <c r="P6" s="52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R114:R121</v>
      </c>
    </row>
    <row r="7" spans="1:16" ht="15.6" thickTop="1" thickBot="1" x14ac:dyDescent="0.35">
      <c r="A7" s="53" t="str">
        <f>IFERROR(IF(Datos!$A7="","",Idiomas!$A$12&amp;" "&amp;ROW()-1),"")</f>
        <v>Tarea 6</v>
      </c>
      <c r="B7" s="54">
        <f>IFERROR(MATCH(Datos!$A7,Configura!$B$9:$B$18,0),0)</f>
        <v>4</v>
      </c>
      <c r="C7" s="54">
        <f>IFERROR(MATCH(Datos!$B7,Configura!$D$9:$D$11,0),0)</f>
        <v>3</v>
      </c>
      <c r="D7" s="54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5" t="str">
        <f t="shared" ca="1" si="0"/>
        <v/>
      </c>
      <c r="F7" s="55" t="str">
        <f t="shared" ca="1" si="0"/>
        <v/>
      </c>
      <c r="G7" s="55" t="str">
        <f t="shared" ca="1" si="0"/>
        <v/>
      </c>
      <c r="H7" s="55" t="str">
        <f t="shared" ca="1" si="0"/>
        <v>R-105</v>
      </c>
      <c r="I7" s="55" t="str">
        <f t="shared" ca="1" si="0"/>
        <v/>
      </c>
      <c r="J7" s="55" t="str">
        <f t="shared" ca="1" si="0"/>
        <v/>
      </c>
      <c r="K7" s="55" t="str">
        <f t="shared" ca="1" si="0"/>
        <v/>
      </c>
      <c r="L7" s="55" t="str">
        <f t="shared" ca="1" si="0"/>
        <v/>
      </c>
      <c r="M7" s="55" t="str">
        <f t="shared" ca="1" si="0"/>
        <v/>
      </c>
      <c r="N7" s="55" t="str">
        <f t="shared" ca="1" si="0"/>
        <v/>
      </c>
      <c r="O7" s="55" t="str">
        <f t="shared" ca="1" si="1"/>
        <v>R-105</v>
      </c>
      <c r="P7" s="56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R105:R112</v>
      </c>
    </row>
    <row r="8" spans="1:16" ht="15.6" thickTop="1" thickBot="1" x14ac:dyDescent="0.35">
      <c r="A8" s="49" t="str">
        <f>IFERROR(IF(Datos!$A8="","",Idiomas!$A$12&amp;" "&amp;ROW()-1),"")</f>
        <v>Tarea 7</v>
      </c>
      <c r="B8" s="50">
        <f>IFERROR(MATCH(Datos!$A8,Configura!$B$9:$B$18,0),0)</f>
        <v>4</v>
      </c>
      <c r="C8" s="50">
        <f>IFERROR(MATCH(Datos!$B8,Configura!$D$9:$D$11,0),0)</f>
        <v>1</v>
      </c>
      <c r="D8" s="50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1" t="str">
        <f t="shared" ca="1" si="0"/>
        <v/>
      </c>
      <c r="F8" s="51" t="str">
        <f t="shared" ca="1" si="0"/>
        <v/>
      </c>
      <c r="G8" s="51" t="str">
        <f t="shared" ca="1" si="0"/>
        <v/>
      </c>
      <c r="H8" s="51" t="str">
        <f t="shared" ca="1" si="0"/>
        <v>R-96</v>
      </c>
      <c r="I8" s="51" t="str">
        <f t="shared" ca="1" si="0"/>
        <v/>
      </c>
      <c r="J8" s="51" t="str">
        <f t="shared" ca="1" si="0"/>
        <v/>
      </c>
      <c r="K8" s="51" t="str">
        <f t="shared" ca="1" si="0"/>
        <v/>
      </c>
      <c r="L8" s="51" t="str">
        <f t="shared" ca="1" si="0"/>
        <v/>
      </c>
      <c r="M8" s="51" t="str">
        <f t="shared" ca="1" si="0"/>
        <v/>
      </c>
      <c r="N8" s="51" t="str">
        <f t="shared" ca="1" si="0"/>
        <v/>
      </c>
      <c r="O8" s="51" t="str">
        <f t="shared" ca="1" si="1"/>
        <v>R-96</v>
      </c>
      <c r="P8" s="52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R96:R103</v>
      </c>
    </row>
    <row r="9" spans="1:16" ht="15.6" thickTop="1" thickBot="1" x14ac:dyDescent="0.35">
      <c r="A9" s="53" t="str">
        <f>IFERROR(IF(Datos!$A9="","",Idiomas!$A$12&amp;" "&amp;ROW()-1),"")</f>
        <v>Tarea 8</v>
      </c>
      <c r="B9" s="54">
        <f>IFERROR(MATCH(Datos!$A9,Configura!$B$9:$B$18,0),0)</f>
        <v>4</v>
      </c>
      <c r="C9" s="54">
        <f>IFERROR(MATCH(Datos!$B9,Configura!$D$9:$D$11,0),0)</f>
        <v>1</v>
      </c>
      <c r="D9" s="54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5" t="str">
        <f t="shared" ca="1" si="0"/>
        <v/>
      </c>
      <c r="F9" s="55" t="str">
        <f t="shared" ca="1" si="0"/>
        <v/>
      </c>
      <c r="G9" s="55" t="str">
        <f t="shared" ca="1" si="0"/>
        <v/>
      </c>
      <c r="H9" s="55" t="str">
        <f t="shared" ca="1" si="0"/>
        <v>R-87</v>
      </c>
      <c r="I9" s="55" t="str">
        <f t="shared" ca="1" si="0"/>
        <v/>
      </c>
      <c r="J9" s="55" t="str">
        <f t="shared" ca="1" si="0"/>
        <v/>
      </c>
      <c r="K9" s="55" t="str">
        <f t="shared" ca="1" si="0"/>
        <v/>
      </c>
      <c r="L9" s="55" t="str">
        <f t="shared" ca="1" si="0"/>
        <v/>
      </c>
      <c r="M9" s="55" t="str">
        <f t="shared" ca="1" si="0"/>
        <v/>
      </c>
      <c r="N9" s="55" t="str">
        <f t="shared" ca="1" si="0"/>
        <v/>
      </c>
      <c r="O9" s="55" t="str">
        <f t="shared" ca="1" si="1"/>
        <v>R-87</v>
      </c>
      <c r="P9" s="56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R87:R94</v>
      </c>
    </row>
    <row r="10" spans="1:16" ht="15.6" thickTop="1" thickBot="1" x14ac:dyDescent="0.35">
      <c r="A10" s="49" t="str">
        <f>IFERROR(IF(Datos!$A10="","",Idiomas!$A$12&amp;" "&amp;ROW()-1),"")</f>
        <v>Tarea 9</v>
      </c>
      <c r="B10" s="50">
        <f>IFERROR(MATCH(Datos!$A10,Configura!$B$9:$B$18,0),0)</f>
        <v>4</v>
      </c>
      <c r="C10" s="50">
        <f>IFERROR(MATCH(Datos!$B10,Configura!$D$9:$D$11,0),0)</f>
        <v>2</v>
      </c>
      <c r="D10" s="50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1" t="str">
        <f t="shared" ca="1" si="0"/>
        <v/>
      </c>
      <c r="F10" s="51" t="str">
        <f t="shared" ca="1" si="0"/>
        <v/>
      </c>
      <c r="G10" s="51" t="str">
        <f t="shared" ca="1" si="0"/>
        <v/>
      </c>
      <c r="H10" s="51" t="str">
        <f t="shared" ca="1" si="0"/>
        <v>R-78</v>
      </c>
      <c r="I10" s="51" t="str">
        <f t="shared" ca="1" si="0"/>
        <v/>
      </c>
      <c r="J10" s="51" t="str">
        <f t="shared" ca="1" si="0"/>
        <v/>
      </c>
      <c r="K10" s="51" t="str">
        <f t="shared" ca="1" si="0"/>
        <v/>
      </c>
      <c r="L10" s="51" t="str">
        <f t="shared" ca="1" si="0"/>
        <v/>
      </c>
      <c r="M10" s="51" t="str">
        <f t="shared" ca="1" si="0"/>
        <v/>
      </c>
      <c r="N10" s="51" t="str">
        <f t="shared" ca="1" si="0"/>
        <v/>
      </c>
      <c r="O10" s="51" t="str">
        <f t="shared" ca="1" si="1"/>
        <v>R-78</v>
      </c>
      <c r="P10" s="52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R78:R85</v>
      </c>
    </row>
    <row r="11" spans="1:16" ht="15.6" thickTop="1" thickBot="1" x14ac:dyDescent="0.35">
      <c r="A11" s="53" t="str">
        <f>IFERROR(IF(Datos!$A11="","",Idiomas!$A$12&amp;" "&amp;ROW()-1),"")</f>
        <v>Tarea 10</v>
      </c>
      <c r="B11" s="54">
        <f>IFERROR(MATCH(Datos!$A11,Configura!$B$9:$B$18,0),0)</f>
        <v>4</v>
      </c>
      <c r="C11" s="54">
        <f>IFERROR(MATCH(Datos!$B11,Configura!$D$9:$D$11,0),0)</f>
        <v>3</v>
      </c>
      <c r="D11" s="54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5" t="str">
        <f t="shared" ca="1" si="0"/>
        <v/>
      </c>
      <c r="F11" s="55" t="str">
        <f t="shared" ca="1" si="0"/>
        <v/>
      </c>
      <c r="G11" s="55" t="str">
        <f t="shared" ca="1" si="0"/>
        <v/>
      </c>
      <c r="H11" s="55" t="str">
        <f t="shared" ca="1" si="0"/>
        <v>R-69</v>
      </c>
      <c r="I11" s="55" t="str">
        <f t="shared" ca="1" si="0"/>
        <v/>
      </c>
      <c r="J11" s="55" t="str">
        <f t="shared" ca="1" si="0"/>
        <v/>
      </c>
      <c r="K11" s="55" t="str">
        <f t="shared" ca="1" si="0"/>
        <v/>
      </c>
      <c r="L11" s="55" t="str">
        <f t="shared" ca="1" si="0"/>
        <v/>
      </c>
      <c r="M11" s="55" t="str">
        <f t="shared" ca="1" si="0"/>
        <v/>
      </c>
      <c r="N11" s="55" t="str">
        <f t="shared" ca="1" si="0"/>
        <v/>
      </c>
      <c r="O11" s="55" t="str">
        <f t="shared" ca="1" si="1"/>
        <v>R-69</v>
      </c>
      <c r="P11" s="56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R69:R76</v>
      </c>
    </row>
    <row r="12" spans="1:16" ht="15.6" thickTop="1" thickBot="1" x14ac:dyDescent="0.35">
      <c r="A12" s="49" t="str">
        <f>IFERROR(IF(Datos!$A12="","",Idiomas!$A$12&amp;" "&amp;ROW()-1),"")</f>
        <v>Tarea 11</v>
      </c>
      <c r="B12" s="50">
        <f>IFERROR(MATCH(Datos!$A12,Configura!$B$9:$B$18,0),0)</f>
        <v>4</v>
      </c>
      <c r="C12" s="50">
        <f>IFERROR(MATCH(Datos!$B12,Configura!$D$9:$D$11,0),0)</f>
        <v>2</v>
      </c>
      <c r="D12" s="50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1" t="str">
        <f t="shared" ref="E12:N21" ca="1" si="2">IFERROR(E$1&amp;"-"&amp;MATCH($A12&amp;":",INDIRECT("KANBAN!"&amp;E$1&amp;":"&amp;E$1),0),"")</f>
        <v/>
      </c>
      <c r="F12" s="51" t="str">
        <f t="shared" ca="1" si="2"/>
        <v/>
      </c>
      <c r="G12" s="51" t="str">
        <f t="shared" ca="1" si="2"/>
        <v/>
      </c>
      <c r="H12" s="51" t="str">
        <f t="shared" ca="1" si="2"/>
        <v>R-60</v>
      </c>
      <c r="I12" s="51" t="str">
        <f t="shared" ca="1" si="2"/>
        <v/>
      </c>
      <c r="J12" s="51" t="str">
        <f t="shared" ca="1" si="2"/>
        <v/>
      </c>
      <c r="K12" s="51" t="str">
        <f t="shared" ca="1" si="2"/>
        <v/>
      </c>
      <c r="L12" s="51" t="str">
        <f t="shared" ca="1" si="2"/>
        <v/>
      </c>
      <c r="M12" s="51" t="str">
        <f t="shared" ca="1" si="2"/>
        <v/>
      </c>
      <c r="N12" s="51" t="str">
        <f t="shared" ca="1" si="2"/>
        <v/>
      </c>
      <c r="O12" s="51" t="str">
        <f t="shared" ca="1" si="1"/>
        <v>R-60</v>
      </c>
      <c r="P12" s="52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R60:R67</v>
      </c>
    </row>
    <row r="13" spans="1:16" ht="15.6" thickTop="1" thickBot="1" x14ac:dyDescent="0.35">
      <c r="A13" s="53" t="str">
        <f>IFERROR(IF(Datos!$A13="","",Idiomas!$A$12&amp;" "&amp;ROW()-1),"")</f>
        <v>Tarea 12</v>
      </c>
      <c r="B13" s="54">
        <f>IFERROR(MATCH(Datos!$A13,Configura!$B$9:$B$18,0),0)</f>
        <v>4</v>
      </c>
      <c r="C13" s="54">
        <f>IFERROR(MATCH(Datos!$B13,Configura!$D$9:$D$11,0),0)</f>
        <v>3</v>
      </c>
      <c r="D13" s="54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5" t="str">
        <f t="shared" ca="1" si="2"/>
        <v/>
      </c>
      <c r="F13" s="55" t="str">
        <f t="shared" ca="1" si="2"/>
        <v/>
      </c>
      <c r="G13" s="55" t="str">
        <f t="shared" ca="1" si="2"/>
        <v/>
      </c>
      <c r="H13" s="55" t="str">
        <f t="shared" ca="1" si="2"/>
        <v>R-51</v>
      </c>
      <c r="I13" s="55" t="str">
        <f t="shared" ca="1" si="2"/>
        <v/>
      </c>
      <c r="J13" s="55" t="str">
        <f t="shared" ca="1" si="2"/>
        <v/>
      </c>
      <c r="K13" s="55" t="str">
        <f t="shared" ca="1" si="2"/>
        <v/>
      </c>
      <c r="L13" s="55" t="str">
        <f t="shared" ca="1" si="2"/>
        <v/>
      </c>
      <c r="M13" s="55" t="str">
        <f t="shared" ca="1" si="2"/>
        <v/>
      </c>
      <c r="N13" s="55" t="str">
        <f t="shared" ca="1" si="2"/>
        <v/>
      </c>
      <c r="O13" s="55" t="str">
        <f t="shared" ca="1" si="1"/>
        <v>R-51</v>
      </c>
      <c r="P13" s="56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R51:R58</v>
      </c>
    </row>
    <row r="14" spans="1:16" ht="15.6" thickTop="1" thickBot="1" x14ac:dyDescent="0.35">
      <c r="A14" s="49" t="str">
        <f>IFERROR(IF(Datos!$A14="","",Idiomas!$A$12&amp;" "&amp;ROW()-1),"")</f>
        <v>Tarea 13</v>
      </c>
      <c r="B14" s="50">
        <f>IFERROR(MATCH(Datos!$A14,Configura!$B$9:$B$18,0),0)</f>
        <v>4</v>
      </c>
      <c r="C14" s="50">
        <f>IFERROR(MATCH(Datos!$B14,Configura!$D$9:$D$11,0),0)</f>
        <v>2</v>
      </c>
      <c r="D14" s="50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1" t="str">
        <f t="shared" ca="1" si="2"/>
        <v/>
      </c>
      <c r="F14" s="51" t="str">
        <f t="shared" ca="1" si="2"/>
        <v/>
      </c>
      <c r="G14" s="51" t="str">
        <f t="shared" ca="1" si="2"/>
        <v/>
      </c>
      <c r="H14" s="51" t="str">
        <f t="shared" ca="1" si="2"/>
        <v>R-42</v>
      </c>
      <c r="I14" s="51" t="str">
        <f t="shared" ca="1" si="2"/>
        <v/>
      </c>
      <c r="J14" s="51" t="str">
        <f t="shared" ca="1" si="2"/>
        <v/>
      </c>
      <c r="K14" s="51" t="str">
        <f t="shared" ca="1" si="2"/>
        <v/>
      </c>
      <c r="L14" s="51" t="str">
        <f t="shared" ca="1" si="2"/>
        <v/>
      </c>
      <c r="M14" s="51" t="str">
        <f t="shared" ca="1" si="2"/>
        <v/>
      </c>
      <c r="N14" s="51" t="str">
        <f t="shared" ca="1" si="2"/>
        <v/>
      </c>
      <c r="O14" s="51" t="str">
        <f t="shared" ca="1" si="1"/>
        <v>R-42</v>
      </c>
      <c r="P14" s="52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R42:R49</v>
      </c>
    </row>
    <row r="15" spans="1:16" ht="15.6" thickTop="1" thickBot="1" x14ac:dyDescent="0.35">
      <c r="A15" s="53" t="str">
        <f>IFERROR(IF(Datos!$A15="","",Idiomas!$A$12&amp;" "&amp;ROW()-1),"")</f>
        <v>Tarea 14</v>
      </c>
      <c r="B15" s="54">
        <f>IFERROR(MATCH(Datos!$A15,Configura!$B$9:$B$18,0),0)</f>
        <v>4</v>
      </c>
      <c r="C15" s="54">
        <f>IFERROR(MATCH(Datos!$B15,Configura!$D$9:$D$11,0),0)</f>
        <v>2</v>
      </c>
      <c r="D15" s="54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5" t="str">
        <f t="shared" ca="1" si="2"/>
        <v/>
      </c>
      <c r="F15" s="55" t="str">
        <f t="shared" ca="1" si="2"/>
        <v/>
      </c>
      <c r="G15" s="55" t="str">
        <f t="shared" ca="1" si="2"/>
        <v/>
      </c>
      <c r="H15" s="55" t="str">
        <f t="shared" ca="1" si="2"/>
        <v>R-33</v>
      </c>
      <c r="I15" s="55" t="str">
        <f t="shared" ca="1" si="2"/>
        <v/>
      </c>
      <c r="J15" s="55" t="str">
        <f t="shared" ca="1" si="2"/>
        <v/>
      </c>
      <c r="K15" s="55" t="str">
        <f t="shared" ca="1" si="2"/>
        <v/>
      </c>
      <c r="L15" s="55" t="str">
        <f t="shared" ca="1" si="2"/>
        <v/>
      </c>
      <c r="M15" s="55" t="str">
        <f t="shared" ca="1" si="2"/>
        <v/>
      </c>
      <c r="N15" s="55" t="str">
        <f t="shared" ca="1" si="2"/>
        <v/>
      </c>
      <c r="O15" s="55" t="str">
        <f t="shared" ca="1" si="1"/>
        <v>R-33</v>
      </c>
      <c r="P15" s="56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R33:R40</v>
      </c>
    </row>
    <row r="16" spans="1:16" ht="15.6" thickTop="1" thickBot="1" x14ac:dyDescent="0.35">
      <c r="A16" s="49" t="str">
        <f>IFERROR(IF(Datos!$A16="","",Idiomas!$A$12&amp;" "&amp;ROW()-1),"")</f>
        <v>Tarea 15</v>
      </c>
      <c r="B16" s="50">
        <f>IFERROR(MATCH(Datos!$A16,Configura!$B$9:$B$18,0),0)</f>
        <v>4</v>
      </c>
      <c r="C16" s="50">
        <f>IFERROR(MATCH(Datos!$B16,Configura!$D$9:$D$11,0),0)</f>
        <v>2</v>
      </c>
      <c r="D16" s="50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1" t="str">
        <f t="shared" ca="1" si="2"/>
        <v/>
      </c>
      <c r="F16" s="51" t="str">
        <f t="shared" ca="1" si="2"/>
        <v/>
      </c>
      <c r="G16" s="51" t="str">
        <f t="shared" ca="1" si="2"/>
        <v/>
      </c>
      <c r="H16" s="51" t="str">
        <f t="shared" ca="1" si="2"/>
        <v>R-24</v>
      </c>
      <c r="I16" s="51" t="str">
        <f t="shared" ca="1" si="2"/>
        <v/>
      </c>
      <c r="J16" s="51" t="str">
        <f t="shared" ca="1" si="2"/>
        <v/>
      </c>
      <c r="K16" s="51" t="str">
        <f t="shared" ca="1" si="2"/>
        <v/>
      </c>
      <c r="L16" s="51" t="str">
        <f t="shared" ca="1" si="2"/>
        <v/>
      </c>
      <c r="M16" s="51" t="str">
        <f t="shared" ca="1" si="2"/>
        <v/>
      </c>
      <c r="N16" s="51" t="str">
        <f t="shared" ca="1" si="2"/>
        <v/>
      </c>
      <c r="O16" s="51" t="str">
        <f t="shared" ca="1" si="1"/>
        <v>R-24</v>
      </c>
      <c r="P16" s="52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R24:R31</v>
      </c>
    </row>
    <row r="17" spans="1:16" ht="15.6" thickTop="1" thickBot="1" x14ac:dyDescent="0.35">
      <c r="A17" s="53" t="str">
        <f>IFERROR(IF(Datos!$A17="","",Idiomas!$A$12&amp;" "&amp;ROW()-1),"")</f>
        <v>Tarea 16</v>
      </c>
      <c r="B17" s="54">
        <f>IFERROR(MATCH(Datos!$A17,Configura!$B$9:$B$18,0),0)</f>
        <v>4</v>
      </c>
      <c r="C17" s="54">
        <f>IFERROR(MATCH(Datos!$B17,Configura!$D$9:$D$11,0),0)</f>
        <v>2</v>
      </c>
      <c r="D17" s="54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5" t="str">
        <f t="shared" ca="1" si="2"/>
        <v/>
      </c>
      <c r="F17" s="55" t="str">
        <f t="shared" ca="1" si="2"/>
        <v/>
      </c>
      <c r="G17" s="55" t="str">
        <f t="shared" ca="1" si="2"/>
        <v/>
      </c>
      <c r="H17" s="55" t="str">
        <f t="shared" ca="1" si="2"/>
        <v>R-15</v>
      </c>
      <c r="I17" s="55" t="str">
        <f t="shared" ca="1" si="2"/>
        <v/>
      </c>
      <c r="J17" s="55" t="str">
        <f t="shared" ca="1" si="2"/>
        <v/>
      </c>
      <c r="K17" s="55" t="str">
        <f t="shared" ca="1" si="2"/>
        <v/>
      </c>
      <c r="L17" s="55" t="str">
        <f t="shared" ca="1" si="2"/>
        <v/>
      </c>
      <c r="M17" s="55" t="str">
        <f t="shared" ca="1" si="2"/>
        <v/>
      </c>
      <c r="N17" s="55" t="str">
        <f t="shared" ca="1" si="2"/>
        <v/>
      </c>
      <c r="O17" s="55" t="str">
        <f t="shared" ca="1" si="1"/>
        <v>R-15</v>
      </c>
      <c r="P17" s="56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R15:R22</v>
      </c>
    </row>
    <row r="18" spans="1:16" ht="15.6" thickTop="1" thickBot="1" x14ac:dyDescent="0.35">
      <c r="A18" s="49" t="str">
        <f>IFERROR(IF(Datos!$A18="","",Idiomas!$A$12&amp;" "&amp;ROW()-1),"")</f>
        <v>Tarea 17</v>
      </c>
      <c r="B18" s="50">
        <f>IFERROR(MATCH(Datos!$A18,Configura!$B$9:$B$18,0),0)</f>
        <v>2</v>
      </c>
      <c r="C18" s="50">
        <f>IFERROR(MATCH(Datos!$B18,Configura!$D$9:$D$11,0),0)</f>
        <v>1</v>
      </c>
      <c r="D18" s="50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1" t="str">
        <f t="shared" ca="1" si="2"/>
        <v/>
      </c>
      <c r="F18" s="51" t="str">
        <f t="shared" ca="1" si="2"/>
        <v>H-6</v>
      </c>
      <c r="G18" s="51" t="str">
        <f t="shared" ca="1" si="2"/>
        <v/>
      </c>
      <c r="H18" s="51" t="str">
        <f t="shared" ca="1" si="2"/>
        <v/>
      </c>
      <c r="I18" s="51" t="str">
        <f t="shared" ca="1" si="2"/>
        <v/>
      </c>
      <c r="J18" s="51" t="str">
        <f t="shared" ca="1" si="2"/>
        <v/>
      </c>
      <c r="K18" s="51" t="str">
        <f t="shared" ca="1" si="2"/>
        <v/>
      </c>
      <c r="L18" s="51" t="str">
        <f t="shared" ca="1" si="2"/>
        <v/>
      </c>
      <c r="M18" s="51" t="str">
        <f t="shared" ca="1" si="2"/>
        <v/>
      </c>
      <c r="N18" s="51" t="str">
        <f t="shared" ca="1" si="2"/>
        <v/>
      </c>
      <c r="O18" s="51" t="str">
        <f t="shared" ca="1" si="1"/>
        <v>H-6</v>
      </c>
      <c r="P18" s="52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H6:H13</v>
      </c>
    </row>
    <row r="19" spans="1:16" ht="15.6" thickTop="1" thickBot="1" x14ac:dyDescent="0.35">
      <c r="A19" s="53" t="str">
        <f>IFERROR(IF(Datos!$A19="","",Idiomas!$A$12&amp;" "&amp;ROW()-1),"")</f>
        <v/>
      </c>
      <c r="B19" s="54">
        <f>IFERROR(MATCH(Datos!$A19,Configura!$B$9:$B$18,0),0)</f>
        <v>0</v>
      </c>
      <c r="C19" s="54">
        <f>IFERROR(MATCH(Datos!$B19,Configura!$D$9:$D$11,0),0)</f>
        <v>0</v>
      </c>
      <c r="D19" s="54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5" t="str">
        <f t="shared" ca="1" si="2"/>
        <v/>
      </c>
      <c r="F19" s="55" t="str">
        <f t="shared" ca="1" si="2"/>
        <v/>
      </c>
      <c r="G19" s="55" t="str">
        <f t="shared" ca="1" si="2"/>
        <v/>
      </c>
      <c r="H19" s="55" t="str">
        <f t="shared" ca="1" si="2"/>
        <v/>
      </c>
      <c r="I19" s="55" t="str">
        <f t="shared" ca="1" si="2"/>
        <v/>
      </c>
      <c r="J19" s="55" t="str">
        <f t="shared" ca="1" si="2"/>
        <v/>
      </c>
      <c r="K19" s="55" t="str">
        <f t="shared" ca="1" si="2"/>
        <v/>
      </c>
      <c r="L19" s="55" t="str">
        <f t="shared" ca="1" si="2"/>
        <v/>
      </c>
      <c r="M19" s="55" t="str">
        <f t="shared" ca="1" si="2"/>
        <v/>
      </c>
      <c r="N19" s="55" t="str">
        <f t="shared" ca="1" si="2"/>
        <v/>
      </c>
      <c r="O19" s="55" t="str">
        <f t="shared" ca="1" si="1"/>
        <v/>
      </c>
      <c r="P19" s="56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49" t="str">
        <f>IFERROR(IF(Datos!$A20="","",Idiomas!$A$12&amp;" "&amp;ROW()-1),"")</f>
        <v/>
      </c>
      <c r="B20" s="50">
        <f>IFERROR(MATCH(Datos!$A20,Configura!$B$9:$B$18,0),0)</f>
        <v>0</v>
      </c>
      <c r="C20" s="50">
        <f>IFERROR(MATCH(Datos!$B20,Configura!$D$9:$D$11,0),0)</f>
        <v>0</v>
      </c>
      <c r="D20" s="50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1" t="str">
        <f t="shared" ca="1" si="2"/>
        <v/>
      </c>
      <c r="F20" s="51" t="str">
        <f t="shared" ca="1" si="2"/>
        <v/>
      </c>
      <c r="G20" s="51" t="str">
        <f t="shared" ca="1" si="2"/>
        <v/>
      </c>
      <c r="H20" s="51" t="str">
        <f t="shared" ca="1" si="2"/>
        <v/>
      </c>
      <c r="I20" s="51" t="str">
        <f t="shared" ca="1" si="2"/>
        <v/>
      </c>
      <c r="J20" s="51" t="str">
        <f t="shared" ca="1" si="2"/>
        <v/>
      </c>
      <c r="K20" s="51" t="str">
        <f t="shared" ca="1" si="2"/>
        <v/>
      </c>
      <c r="L20" s="51" t="str">
        <f t="shared" ca="1" si="2"/>
        <v/>
      </c>
      <c r="M20" s="51" t="str">
        <f t="shared" ca="1" si="2"/>
        <v/>
      </c>
      <c r="N20" s="51" t="str">
        <f t="shared" ca="1" si="2"/>
        <v/>
      </c>
      <c r="O20" s="51" t="str">
        <f t="shared" ca="1" si="1"/>
        <v/>
      </c>
      <c r="P20" s="52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3" t="str">
        <f>IFERROR(IF(Datos!$A21="","",Idiomas!$A$12&amp;" "&amp;ROW()-1),"")</f>
        <v/>
      </c>
      <c r="B21" s="54">
        <f>IFERROR(MATCH(Datos!$A21,Configura!$B$9:$B$18,0),0)</f>
        <v>0</v>
      </c>
      <c r="C21" s="54">
        <f>IFERROR(MATCH(Datos!$B21,Configura!$D$9:$D$11,0),0)</f>
        <v>0</v>
      </c>
      <c r="D21" s="54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5" t="str">
        <f t="shared" ca="1" si="2"/>
        <v/>
      </c>
      <c r="F21" s="55" t="str">
        <f t="shared" ca="1" si="2"/>
        <v/>
      </c>
      <c r="G21" s="55" t="str">
        <f t="shared" ca="1" si="2"/>
        <v/>
      </c>
      <c r="H21" s="55" t="str">
        <f t="shared" ca="1" si="2"/>
        <v/>
      </c>
      <c r="I21" s="55" t="str">
        <f t="shared" ca="1" si="2"/>
        <v/>
      </c>
      <c r="J21" s="55" t="str">
        <f t="shared" ca="1" si="2"/>
        <v/>
      </c>
      <c r="K21" s="55" t="str">
        <f t="shared" ca="1" si="2"/>
        <v/>
      </c>
      <c r="L21" s="55" t="str">
        <f t="shared" ca="1" si="2"/>
        <v/>
      </c>
      <c r="M21" s="55" t="str">
        <f t="shared" ca="1" si="2"/>
        <v/>
      </c>
      <c r="N21" s="55" t="str">
        <f t="shared" ca="1" si="2"/>
        <v/>
      </c>
      <c r="O21" s="55" t="str">
        <f t="shared" ca="1" si="1"/>
        <v/>
      </c>
      <c r="P21" s="56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49" t="str">
        <f>IFERROR(IF(Datos!$A22="","",Idiomas!$A$12&amp;" "&amp;ROW()-1),"")</f>
        <v/>
      </c>
      <c r="B22" s="50">
        <f>IFERROR(MATCH(Datos!$A22,Configura!$B$9:$B$18,0),0)</f>
        <v>0</v>
      </c>
      <c r="C22" s="50">
        <f>IFERROR(MATCH(Datos!$B22,Configura!$D$9:$D$11,0),0)</f>
        <v>0</v>
      </c>
      <c r="D22" s="50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1" t="str">
        <f t="shared" ref="E22:N31" ca="1" si="3">IFERROR(E$1&amp;"-"&amp;MATCH($A22&amp;":",INDIRECT("KANBAN!"&amp;E$1&amp;":"&amp;E$1),0),"")</f>
        <v/>
      </c>
      <c r="F22" s="51" t="str">
        <f t="shared" ca="1" si="3"/>
        <v/>
      </c>
      <c r="G22" s="51" t="str">
        <f t="shared" ca="1" si="3"/>
        <v/>
      </c>
      <c r="H22" s="51" t="str">
        <f t="shared" ca="1" si="3"/>
        <v/>
      </c>
      <c r="I22" s="51" t="str">
        <f t="shared" ca="1" si="3"/>
        <v/>
      </c>
      <c r="J22" s="51" t="str">
        <f t="shared" ca="1" si="3"/>
        <v/>
      </c>
      <c r="K22" s="51" t="str">
        <f t="shared" ca="1" si="3"/>
        <v/>
      </c>
      <c r="L22" s="51" t="str">
        <f t="shared" ca="1" si="3"/>
        <v/>
      </c>
      <c r="M22" s="51" t="str">
        <f t="shared" ca="1" si="3"/>
        <v/>
      </c>
      <c r="N22" s="51" t="str">
        <f t="shared" ca="1" si="3"/>
        <v/>
      </c>
      <c r="O22" s="51" t="str">
        <f t="shared" ca="1" si="1"/>
        <v/>
      </c>
      <c r="P22" s="52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3" t="str">
        <f>IFERROR(IF(Datos!$A23="","",Idiomas!$A$12&amp;" "&amp;ROW()-1),"")</f>
        <v/>
      </c>
      <c r="B23" s="54">
        <f>IFERROR(MATCH(Datos!$A23,Configura!$B$9:$B$18,0),0)</f>
        <v>0</v>
      </c>
      <c r="C23" s="54">
        <f>IFERROR(MATCH(Datos!$B23,Configura!$D$9:$D$11,0),0)</f>
        <v>0</v>
      </c>
      <c r="D23" s="54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5" t="str">
        <f t="shared" ca="1" si="3"/>
        <v/>
      </c>
      <c r="F23" s="55" t="str">
        <f t="shared" ca="1" si="3"/>
        <v/>
      </c>
      <c r="G23" s="55" t="str">
        <f t="shared" ca="1" si="3"/>
        <v/>
      </c>
      <c r="H23" s="55" t="str">
        <f t="shared" ca="1" si="3"/>
        <v/>
      </c>
      <c r="I23" s="55" t="str">
        <f t="shared" ca="1" si="3"/>
        <v/>
      </c>
      <c r="J23" s="55" t="str">
        <f t="shared" ca="1" si="3"/>
        <v/>
      </c>
      <c r="K23" s="55" t="str">
        <f t="shared" ca="1" si="3"/>
        <v/>
      </c>
      <c r="L23" s="55" t="str">
        <f t="shared" ca="1" si="3"/>
        <v/>
      </c>
      <c r="M23" s="55" t="str">
        <f t="shared" ca="1" si="3"/>
        <v/>
      </c>
      <c r="N23" s="55" t="str">
        <f t="shared" ca="1" si="3"/>
        <v/>
      </c>
      <c r="O23" s="55" t="str">
        <f t="shared" ca="1" si="1"/>
        <v/>
      </c>
      <c r="P23" s="56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49" t="str">
        <f>IFERROR(IF(Datos!$A24="","",Idiomas!$A$12&amp;" "&amp;ROW()-1),"")</f>
        <v/>
      </c>
      <c r="B24" s="50">
        <f>IFERROR(MATCH(Datos!$A24,Configura!$B$9:$B$18,0),0)</f>
        <v>0</v>
      </c>
      <c r="C24" s="50">
        <f>IFERROR(MATCH(Datos!$B24,Configura!$D$9:$D$11,0),0)</f>
        <v>0</v>
      </c>
      <c r="D24" s="50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1" t="str">
        <f t="shared" ca="1" si="3"/>
        <v/>
      </c>
      <c r="F24" s="51" t="str">
        <f t="shared" ca="1" si="3"/>
        <v/>
      </c>
      <c r="G24" s="51" t="str">
        <f t="shared" ca="1" si="3"/>
        <v/>
      </c>
      <c r="H24" s="51" t="str">
        <f t="shared" ca="1" si="3"/>
        <v/>
      </c>
      <c r="I24" s="51" t="str">
        <f t="shared" ca="1" si="3"/>
        <v/>
      </c>
      <c r="J24" s="51" t="str">
        <f t="shared" ca="1" si="3"/>
        <v/>
      </c>
      <c r="K24" s="51" t="str">
        <f t="shared" ca="1" si="3"/>
        <v/>
      </c>
      <c r="L24" s="51" t="str">
        <f t="shared" ca="1" si="3"/>
        <v/>
      </c>
      <c r="M24" s="51" t="str">
        <f t="shared" ca="1" si="3"/>
        <v/>
      </c>
      <c r="N24" s="51" t="str">
        <f t="shared" ca="1" si="3"/>
        <v/>
      </c>
      <c r="O24" s="51" t="str">
        <f t="shared" ca="1" si="1"/>
        <v/>
      </c>
      <c r="P24" s="52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3" t="str">
        <f>IFERROR(IF(Datos!$A25="","",Idiomas!$A$12&amp;" "&amp;ROW()-1),"")</f>
        <v/>
      </c>
      <c r="B25" s="54">
        <f>IFERROR(MATCH(Datos!$A25,Configura!$B$9:$B$18,0),0)</f>
        <v>0</v>
      </c>
      <c r="C25" s="54">
        <f>IFERROR(MATCH(Datos!$B25,Configura!$D$9:$D$11,0),0)</f>
        <v>0</v>
      </c>
      <c r="D25" s="54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5" t="str">
        <f t="shared" ca="1" si="3"/>
        <v/>
      </c>
      <c r="F25" s="55" t="str">
        <f t="shared" ca="1" si="3"/>
        <v/>
      </c>
      <c r="G25" s="55" t="str">
        <f t="shared" ca="1" si="3"/>
        <v/>
      </c>
      <c r="H25" s="55" t="str">
        <f t="shared" ca="1" si="3"/>
        <v/>
      </c>
      <c r="I25" s="55" t="str">
        <f t="shared" ca="1" si="3"/>
        <v/>
      </c>
      <c r="J25" s="55" t="str">
        <f t="shared" ca="1" si="3"/>
        <v/>
      </c>
      <c r="K25" s="55" t="str">
        <f t="shared" ca="1" si="3"/>
        <v/>
      </c>
      <c r="L25" s="55" t="str">
        <f t="shared" ca="1" si="3"/>
        <v/>
      </c>
      <c r="M25" s="55" t="str">
        <f t="shared" ca="1" si="3"/>
        <v/>
      </c>
      <c r="N25" s="55" t="str">
        <f t="shared" ca="1" si="3"/>
        <v/>
      </c>
      <c r="O25" s="55" t="str">
        <f t="shared" ca="1" si="1"/>
        <v/>
      </c>
      <c r="P25" s="56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49" t="str">
        <f>IFERROR(IF(Datos!$A26="","",Idiomas!$A$12&amp;" "&amp;ROW()-1),"")</f>
        <v/>
      </c>
      <c r="B26" s="50">
        <f>IFERROR(MATCH(Datos!$A26,Configura!$B$9:$B$18,0),0)</f>
        <v>0</v>
      </c>
      <c r="C26" s="50">
        <f>IFERROR(MATCH(Datos!$B26,Configura!$D$9:$D$11,0),0)</f>
        <v>0</v>
      </c>
      <c r="D26" s="50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1" t="str">
        <f t="shared" ca="1" si="3"/>
        <v/>
      </c>
      <c r="F26" s="51" t="str">
        <f t="shared" ca="1" si="3"/>
        <v/>
      </c>
      <c r="G26" s="51" t="str">
        <f t="shared" ca="1" si="3"/>
        <v/>
      </c>
      <c r="H26" s="51" t="str">
        <f t="shared" ca="1" si="3"/>
        <v/>
      </c>
      <c r="I26" s="51" t="str">
        <f t="shared" ca="1" si="3"/>
        <v/>
      </c>
      <c r="J26" s="51" t="str">
        <f t="shared" ca="1" si="3"/>
        <v/>
      </c>
      <c r="K26" s="51" t="str">
        <f t="shared" ca="1" si="3"/>
        <v/>
      </c>
      <c r="L26" s="51" t="str">
        <f t="shared" ca="1" si="3"/>
        <v/>
      </c>
      <c r="M26" s="51" t="str">
        <f t="shared" ca="1" si="3"/>
        <v/>
      </c>
      <c r="N26" s="51" t="str">
        <f t="shared" ca="1" si="3"/>
        <v/>
      </c>
      <c r="O26" s="51" t="str">
        <f t="shared" ca="1" si="1"/>
        <v/>
      </c>
      <c r="P26" s="52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3" t="str">
        <f>IFERROR(IF(Datos!$A27="","",Idiomas!$A$12&amp;" "&amp;ROW()-1),"")</f>
        <v/>
      </c>
      <c r="B27" s="54">
        <f>IFERROR(MATCH(Datos!$A27,Configura!$B$9:$B$18,0),0)</f>
        <v>0</v>
      </c>
      <c r="C27" s="54">
        <f>IFERROR(MATCH(Datos!$B27,Configura!$D$9:$D$11,0),0)</f>
        <v>0</v>
      </c>
      <c r="D27" s="54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5" t="str">
        <f t="shared" ca="1" si="3"/>
        <v/>
      </c>
      <c r="F27" s="55" t="str">
        <f t="shared" ca="1" si="3"/>
        <v/>
      </c>
      <c r="G27" s="55" t="str">
        <f t="shared" ca="1" si="3"/>
        <v/>
      </c>
      <c r="H27" s="55" t="str">
        <f t="shared" ca="1" si="3"/>
        <v/>
      </c>
      <c r="I27" s="55" t="str">
        <f t="shared" ca="1" si="3"/>
        <v/>
      </c>
      <c r="J27" s="55" t="str">
        <f t="shared" ca="1" si="3"/>
        <v/>
      </c>
      <c r="K27" s="55" t="str">
        <f t="shared" ca="1" si="3"/>
        <v/>
      </c>
      <c r="L27" s="55" t="str">
        <f t="shared" ca="1" si="3"/>
        <v/>
      </c>
      <c r="M27" s="55" t="str">
        <f t="shared" ca="1" si="3"/>
        <v/>
      </c>
      <c r="N27" s="55" t="str">
        <f t="shared" ca="1" si="3"/>
        <v/>
      </c>
      <c r="O27" s="55" t="str">
        <f t="shared" ca="1" si="1"/>
        <v/>
      </c>
      <c r="P27" s="56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49" t="str">
        <f>IFERROR(IF(Datos!$A28="","",Idiomas!$A$12&amp;" "&amp;ROW()-1),"")</f>
        <v/>
      </c>
      <c r="B28" s="50">
        <f>IFERROR(MATCH(Datos!$A28,Configura!$B$9:$B$18,0),0)</f>
        <v>0</v>
      </c>
      <c r="C28" s="50">
        <f>IFERROR(MATCH(Datos!$B28,Configura!$D$9:$D$11,0),0)</f>
        <v>0</v>
      </c>
      <c r="D28" s="50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1" t="str">
        <f t="shared" ca="1" si="3"/>
        <v/>
      </c>
      <c r="F28" s="51" t="str">
        <f t="shared" ca="1" si="3"/>
        <v/>
      </c>
      <c r="G28" s="51" t="str">
        <f t="shared" ca="1" si="3"/>
        <v/>
      </c>
      <c r="H28" s="51" t="str">
        <f t="shared" ca="1" si="3"/>
        <v/>
      </c>
      <c r="I28" s="51" t="str">
        <f t="shared" ca="1" si="3"/>
        <v/>
      </c>
      <c r="J28" s="51" t="str">
        <f t="shared" ca="1" si="3"/>
        <v/>
      </c>
      <c r="K28" s="51" t="str">
        <f t="shared" ca="1" si="3"/>
        <v/>
      </c>
      <c r="L28" s="51" t="str">
        <f t="shared" ca="1" si="3"/>
        <v/>
      </c>
      <c r="M28" s="51" t="str">
        <f t="shared" ca="1" si="3"/>
        <v/>
      </c>
      <c r="N28" s="51" t="str">
        <f t="shared" ca="1" si="3"/>
        <v/>
      </c>
      <c r="O28" s="51" t="str">
        <f t="shared" ca="1" si="1"/>
        <v/>
      </c>
      <c r="P28" s="52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3" t="str">
        <f>IFERROR(IF(Datos!$A29="","",Idiomas!$A$12&amp;" "&amp;ROW()-1),"")</f>
        <v/>
      </c>
      <c r="B29" s="54">
        <f>IFERROR(MATCH(Datos!$A29,Configura!$B$9:$B$18,0),0)</f>
        <v>0</v>
      </c>
      <c r="C29" s="54">
        <f>IFERROR(MATCH(Datos!$B29,Configura!$D$9:$D$11,0),0)</f>
        <v>0</v>
      </c>
      <c r="D29" s="54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5" t="str">
        <f t="shared" ca="1" si="3"/>
        <v/>
      </c>
      <c r="F29" s="55" t="str">
        <f t="shared" ca="1" si="3"/>
        <v/>
      </c>
      <c r="G29" s="55" t="str">
        <f t="shared" ca="1" si="3"/>
        <v/>
      </c>
      <c r="H29" s="55" t="str">
        <f t="shared" ca="1" si="3"/>
        <v/>
      </c>
      <c r="I29" s="55" t="str">
        <f t="shared" ca="1" si="3"/>
        <v/>
      </c>
      <c r="J29" s="55" t="str">
        <f t="shared" ca="1" si="3"/>
        <v/>
      </c>
      <c r="K29" s="55" t="str">
        <f t="shared" ca="1" si="3"/>
        <v/>
      </c>
      <c r="L29" s="55" t="str">
        <f t="shared" ca="1" si="3"/>
        <v/>
      </c>
      <c r="M29" s="55" t="str">
        <f t="shared" ca="1" si="3"/>
        <v/>
      </c>
      <c r="N29" s="55" t="str">
        <f t="shared" ca="1" si="3"/>
        <v/>
      </c>
      <c r="O29" s="55" t="str">
        <f t="shared" ca="1" si="1"/>
        <v/>
      </c>
      <c r="P29" s="56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49" t="str">
        <f>IFERROR(IF(Datos!$A30="","",Idiomas!$A$12&amp;" "&amp;ROW()-1),"")</f>
        <v/>
      </c>
      <c r="B30" s="50">
        <f>IFERROR(MATCH(Datos!$A30,Configura!$B$9:$B$18,0),0)</f>
        <v>0</v>
      </c>
      <c r="C30" s="50">
        <f>IFERROR(MATCH(Datos!$B30,Configura!$D$9:$D$11,0),0)</f>
        <v>0</v>
      </c>
      <c r="D30" s="50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1" t="str">
        <f t="shared" ca="1" si="3"/>
        <v/>
      </c>
      <c r="F30" s="51" t="str">
        <f t="shared" ca="1" si="3"/>
        <v/>
      </c>
      <c r="G30" s="51" t="str">
        <f t="shared" ca="1" si="3"/>
        <v/>
      </c>
      <c r="H30" s="51" t="str">
        <f t="shared" ca="1" si="3"/>
        <v/>
      </c>
      <c r="I30" s="51" t="str">
        <f t="shared" ca="1" si="3"/>
        <v/>
      </c>
      <c r="J30" s="51" t="str">
        <f t="shared" ca="1" si="3"/>
        <v/>
      </c>
      <c r="K30" s="51" t="str">
        <f t="shared" ca="1" si="3"/>
        <v/>
      </c>
      <c r="L30" s="51" t="str">
        <f t="shared" ca="1" si="3"/>
        <v/>
      </c>
      <c r="M30" s="51" t="str">
        <f t="shared" ca="1" si="3"/>
        <v/>
      </c>
      <c r="N30" s="51" t="str">
        <f t="shared" ca="1" si="3"/>
        <v/>
      </c>
      <c r="O30" s="51" t="str">
        <f t="shared" ca="1" si="1"/>
        <v/>
      </c>
      <c r="P30" s="52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3" t="str">
        <f>IFERROR(IF(Datos!$A31="","",Idiomas!$A$12&amp;" "&amp;ROW()-1),"")</f>
        <v/>
      </c>
      <c r="B31" s="54">
        <f>IFERROR(MATCH(Datos!$A31,Configura!$B$9:$B$18,0),0)</f>
        <v>0</v>
      </c>
      <c r="C31" s="54">
        <f>IFERROR(MATCH(Datos!$B31,Configura!$D$9:$D$11,0),0)</f>
        <v>0</v>
      </c>
      <c r="D31" s="54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5" t="str">
        <f t="shared" ca="1" si="3"/>
        <v/>
      </c>
      <c r="F31" s="55" t="str">
        <f t="shared" ca="1" si="3"/>
        <v/>
      </c>
      <c r="G31" s="55" t="str">
        <f t="shared" ca="1" si="3"/>
        <v/>
      </c>
      <c r="H31" s="55" t="str">
        <f t="shared" ca="1" si="3"/>
        <v/>
      </c>
      <c r="I31" s="55" t="str">
        <f t="shared" ca="1" si="3"/>
        <v/>
      </c>
      <c r="J31" s="55" t="str">
        <f t="shared" ca="1" si="3"/>
        <v/>
      </c>
      <c r="K31" s="55" t="str">
        <f t="shared" ca="1" si="3"/>
        <v/>
      </c>
      <c r="L31" s="55" t="str">
        <f t="shared" ca="1" si="3"/>
        <v/>
      </c>
      <c r="M31" s="55" t="str">
        <f t="shared" ca="1" si="3"/>
        <v/>
      </c>
      <c r="N31" s="55" t="str">
        <f t="shared" ca="1" si="3"/>
        <v/>
      </c>
      <c r="O31" s="55" t="str">
        <f t="shared" ca="1" si="1"/>
        <v/>
      </c>
      <c r="P31" s="56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49" t="str">
        <f>IFERROR(IF(Datos!$A32="","",Idiomas!$A$12&amp;" "&amp;ROW()-1),"")</f>
        <v/>
      </c>
      <c r="B32" s="50">
        <f>IFERROR(MATCH(Datos!$A32,Configura!$B$9:$B$18,0),0)</f>
        <v>0</v>
      </c>
      <c r="C32" s="50">
        <f>IFERROR(MATCH(Datos!$B32,Configura!$D$9:$D$11,0),0)</f>
        <v>0</v>
      </c>
      <c r="D32" s="50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1" t="str">
        <f t="shared" ref="E32:N41" ca="1" si="4">IFERROR(E$1&amp;"-"&amp;MATCH($A32&amp;":",INDIRECT("KANBAN!"&amp;E$1&amp;":"&amp;E$1),0),"")</f>
        <v/>
      </c>
      <c r="F32" s="51" t="str">
        <f t="shared" ca="1" si="4"/>
        <v/>
      </c>
      <c r="G32" s="51" t="str">
        <f t="shared" ca="1" si="4"/>
        <v/>
      </c>
      <c r="H32" s="51" t="str">
        <f t="shared" ca="1" si="4"/>
        <v/>
      </c>
      <c r="I32" s="51" t="str">
        <f t="shared" ca="1" si="4"/>
        <v/>
      </c>
      <c r="J32" s="51" t="str">
        <f t="shared" ca="1" si="4"/>
        <v/>
      </c>
      <c r="K32" s="51" t="str">
        <f t="shared" ca="1" si="4"/>
        <v/>
      </c>
      <c r="L32" s="51" t="str">
        <f t="shared" ca="1" si="4"/>
        <v/>
      </c>
      <c r="M32" s="51" t="str">
        <f t="shared" ca="1" si="4"/>
        <v/>
      </c>
      <c r="N32" s="51" t="str">
        <f t="shared" ca="1" si="4"/>
        <v/>
      </c>
      <c r="O32" s="51" t="str">
        <f t="shared" ca="1" si="1"/>
        <v/>
      </c>
      <c r="P32" s="52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3" t="str">
        <f>IFERROR(IF(Datos!$A33="","",Idiomas!$A$12&amp;" "&amp;ROW()-1),"")</f>
        <v/>
      </c>
      <c r="B33" s="54">
        <f>IFERROR(MATCH(Datos!$A33,Configura!$B$9:$B$18,0),0)</f>
        <v>0</v>
      </c>
      <c r="C33" s="54">
        <f>IFERROR(MATCH(Datos!$B33,Configura!$D$9:$D$11,0),0)</f>
        <v>0</v>
      </c>
      <c r="D33" s="54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5" t="str">
        <f t="shared" ca="1" si="4"/>
        <v/>
      </c>
      <c r="F33" s="55" t="str">
        <f t="shared" ca="1" si="4"/>
        <v/>
      </c>
      <c r="G33" s="55" t="str">
        <f t="shared" ca="1" si="4"/>
        <v/>
      </c>
      <c r="H33" s="55" t="str">
        <f t="shared" ca="1" si="4"/>
        <v/>
      </c>
      <c r="I33" s="55" t="str">
        <f t="shared" ca="1" si="4"/>
        <v/>
      </c>
      <c r="J33" s="55" t="str">
        <f t="shared" ca="1" si="4"/>
        <v/>
      </c>
      <c r="K33" s="55" t="str">
        <f t="shared" ca="1" si="4"/>
        <v/>
      </c>
      <c r="L33" s="55" t="str">
        <f t="shared" ca="1" si="4"/>
        <v/>
      </c>
      <c r="M33" s="55" t="str">
        <f t="shared" ca="1" si="4"/>
        <v/>
      </c>
      <c r="N33" s="55" t="str">
        <f t="shared" ca="1" si="4"/>
        <v/>
      </c>
      <c r="O33" s="55" t="str">
        <f t="shared" ca="1" si="1"/>
        <v/>
      </c>
      <c r="P33" s="56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49" t="str">
        <f>IFERROR(IF(Datos!$A34="","",Idiomas!$A$12&amp;" "&amp;ROW()-1),"")</f>
        <v/>
      </c>
      <c r="B34" s="50">
        <f>IFERROR(MATCH(Datos!$A34,Configura!$B$9:$B$18,0),0)</f>
        <v>0</v>
      </c>
      <c r="C34" s="50">
        <f>IFERROR(MATCH(Datos!$B34,Configura!$D$9:$D$11,0),0)</f>
        <v>0</v>
      </c>
      <c r="D34" s="50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1" t="str">
        <f t="shared" ca="1" si="4"/>
        <v/>
      </c>
      <c r="F34" s="51" t="str">
        <f t="shared" ca="1" si="4"/>
        <v/>
      </c>
      <c r="G34" s="51" t="str">
        <f t="shared" ca="1" si="4"/>
        <v/>
      </c>
      <c r="H34" s="51" t="str">
        <f t="shared" ca="1" si="4"/>
        <v/>
      </c>
      <c r="I34" s="51" t="str">
        <f t="shared" ca="1" si="4"/>
        <v/>
      </c>
      <c r="J34" s="51" t="str">
        <f t="shared" ca="1" si="4"/>
        <v/>
      </c>
      <c r="K34" s="51" t="str">
        <f t="shared" ca="1" si="4"/>
        <v/>
      </c>
      <c r="L34" s="51" t="str">
        <f t="shared" ca="1" si="4"/>
        <v/>
      </c>
      <c r="M34" s="51" t="str">
        <f t="shared" ca="1" si="4"/>
        <v/>
      </c>
      <c r="N34" s="51" t="str">
        <f t="shared" ca="1" si="4"/>
        <v/>
      </c>
      <c r="O34" s="51" t="str">
        <f t="shared" ref="O34:O65" ca="1" si="5">E34&amp;F34&amp;G34&amp;H34&amp;I34&amp;J34&amp;K34&amp;L34&amp;M34&amp;N34</f>
        <v/>
      </c>
      <c r="P34" s="52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3" t="str">
        <f>IFERROR(IF(Datos!$A35="","",Idiomas!$A$12&amp;" "&amp;ROW()-1),"")</f>
        <v/>
      </c>
      <c r="B35" s="54">
        <f>IFERROR(MATCH(Datos!$A35,Configura!$B$9:$B$18,0),0)</f>
        <v>0</v>
      </c>
      <c r="C35" s="54">
        <f>IFERROR(MATCH(Datos!$B35,Configura!$D$9:$D$11,0),0)</f>
        <v>0</v>
      </c>
      <c r="D35" s="54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5" t="str">
        <f t="shared" ca="1" si="4"/>
        <v/>
      </c>
      <c r="F35" s="55" t="str">
        <f t="shared" ca="1" si="4"/>
        <v/>
      </c>
      <c r="G35" s="55" t="str">
        <f t="shared" ca="1" si="4"/>
        <v/>
      </c>
      <c r="H35" s="55" t="str">
        <f t="shared" ca="1" si="4"/>
        <v/>
      </c>
      <c r="I35" s="55" t="str">
        <f t="shared" ca="1" si="4"/>
        <v/>
      </c>
      <c r="J35" s="55" t="str">
        <f t="shared" ca="1" si="4"/>
        <v/>
      </c>
      <c r="K35" s="55" t="str">
        <f t="shared" ca="1" si="4"/>
        <v/>
      </c>
      <c r="L35" s="55" t="str">
        <f t="shared" ca="1" si="4"/>
        <v/>
      </c>
      <c r="M35" s="55" t="str">
        <f t="shared" ca="1" si="4"/>
        <v/>
      </c>
      <c r="N35" s="55" t="str">
        <f t="shared" ca="1" si="4"/>
        <v/>
      </c>
      <c r="O35" s="55" t="str">
        <f t="shared" ca="1" si="5"/>
        <v/>
      </c>
      <c r="P35" s="56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49" t="str">
        <f>IFERROR(IF(Datos!$A36="","",Idiomas!$A$12&amp;" "&amp;ROW()-1),"")</f>
        <v/>
      </c>
      <c r="B36" s="50">
        <f>IFERROR(MATCH(Datos!$A36,Configura!$B$9:$B$18,0),0)</f>
        <v>0</v>
      </c>
      <c r="C36" s="50">
        <f>IFERROR(MATCH(Datos!$B36,Configura!$D$9:$D$11,0),0)</f>
        <v>0</v>
      </c>
      <c r="D36" s="50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1" t="str">
        <f t="shared" ca="1" si="4"/>
        <v/>
      </c>
      <c r="F36" s="51" t="str">
        <f t="shared" ca="1" si="4"/>
        <v/>
      </c>
      <c r="G36" s="51" t="str">
        <f t="shared" ca="1" si="4"/>
        <v/>
      </c>
      <c r="H36" s="51" t="str">
        <f t="shared" ca="1" si="4"/>
        <v/>
      </c>
      <c r="I36" s="51" t="str">
        <f t="shared" ca="1" si="4"/>
        <v/>
      </c>
      <c r="J36" s="51" t="str">
        <f t="shared" ca="1" si="4"/>
        <v/>
      </c>
      <c r="K36" s="51" t="str">
        <f t="shared" ca="1" si="4"/>
        <v/>
      </c>
      <c r="L36" s="51" t="str">
        <f t="shared" ca="1" si="4"/>
        <v/>
      </c>
      <c r="M36" s="51" t="str">
        <f t="shared" ca="1" si="4"/>
        <v/>
      </c>
      <c r="N36" s="51" t="str">
        <f t="shared" ca="1" si="4"/>
        <v/>
      </c>
      <c r="O36" s="51" t="str">
        <f t="shared" ca="1" si="5"/>
        <v/>
      </c>
      <c r="P36" s="52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3" t="str">
        <f>IFERROR(IF(Datos!$A37="","",Idiomas!$A$12&amp;" "&amp;ROW()-1),"")</f>
        <v/>
      </c>
      <c r="B37" s="54">
        <f>IFERROR(MATCH(Datos!$A37,Configura!$B$9:$B$18,0),0)</f>
        <v>0</v>
      </c>
      <c r="C37" s="54">
        <f>IFERROR(MATCH(Datos!$B37,Configura!$D$9:$D$11,0),0)</f>
        <v>0</v>
      </c>
      <c r="D37" s="54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5" t="str">
        <f t="shared" ca="1" si="4"/>
        <v/>
      </c>
      <c r="F37" s="55" t="str">
        <f t="shared" ca="1" si="4"/>
        <v/>
      </c>
      <c r="G37" s="55" t="str">
        <f t="shared" ca="1" si="4"/>
        <v/>
      </c>
      <c r="H37" s="55" t="str">
        <f t="shared" ca="1" si="4"/>
        <v/>
      </c>
      <c r="I37" s="55" t="str">
        <f t="shared" ca="1" si="4"/>
        <v/>
      </c>
      <c r="J37" s="55" t="str">
        <f t="shared" ca="1" si="4"/>
        <v/>
      </c>
      <c r="K37" s="55" t="str">
        <f t="shared" ca="1" si="4"/>
        <v/>
      </c>
      <c r="L37" s="55" t="str">
        <f t="shared" ca="1" si="4"/>
        <v/>
      </c>
      <c r="M37" s="55" t="str">
        <f t="shared" ca="1" si="4"/>
        <v/>
      </c>
      <c r="N37" s="55" t="str">
        <f t="shared" ca="1" si="4"/>
        <v/>
      </c>
      <c r="O37" s="55" t="str">
        <f t="shared" ca="1" si="5"/>
        <v/>
      </c>
      <c r="P37" s="56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49" t="str">
        <f>IFERROR(IF(Datos!$A38="","",Idiomas!$A$12&amp;" "&amp;ROW()-1),"")</f>
        <v/>
      </c>
      <c r="B38" s="50">
        <f>IFERROR(MATCH(Datos!$A38,Configura!$B$9:$B$18,0),0)</f>
        <v>0</v>
      </c>
      <c r="C38" s="50">
        <f>IFERROR(MATCH(Datos!$B38,Configura!$D$9:$D$11,0),0)</f>
        <v>0</v>
      </c>
      <c r="D38" s="50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1" t="str">
        <f t="shared" ca="1" si="4"/>
        <v/>
      </c>
      <c r="F38" s="51" t="str">
        <f t="shared" ca="1" si="4"/>
        <v/>
      </c>
      <c r="G38" s="51" t="str">
        <f t="shared" ca="1" si="4"/>
        <v/>
      </c>
      <c r="H38" s="51" t="str">
        <f t="shared" ca="1" si="4"/>
        <v/>
      </c>
      <c r="I38" s="51" t="str">
        <f t="shared" ca="1" si="4"/>
        <v/>
      </c>
      <c r="J38" s="51" t="str">
        <f t="shared" ca="1" si="4"/>
        <v/>
      </c>
      <c r="K38" s="51" t="str">
        <f t="shared" ca="1" si="4"/>
        <v/>
      </c>
      <c r="L38" s="51" t="str">
        <f t="shared" ca="1" si="4"/>
        <v/>
      </c>
      <c r="M38" s="51" t="str">
        <f t="shared" ca="1" si="4"/>
        <v/>
      </c>
      <c r="N38" s="51" t="str">
        <f t="shared" ca="1" si="4"/>
        <v/>
      </c>
      <c r="O38" s="51" t="str">
        <f t="shared" ca="1" si="5"/>
        <v/>
      </c>
      <c r="P38" s="52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3" t="str">
        <f>IFERROR(IF(Datos!$A39="","",Idiomas!$A$12&amp;" "&amp;ROW()-1),"")</f>
        <v/>
      </c>
      <c r="B39" s="54">
        <f>IFERROR(MATCH(Datos!$A39,Configura!$B$9:$B$18,0),0)</f>
        <v>0</v>
      </c>
      <c r="C39" s="54">
        <f>IFERROR(MATCH(Datos!$B39,Configura!$D$9:$D$11,0),0)</f>
        <v>0</v>
      </c>
      <c r="D39" s="54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5" t="str">
        <f t="shared" ca="1" si="4"/>
        <v/>
      </c>
      <c r="F39" s="55" t="str">
        <f t="shared" ca="1" si="4"/>
        <v/>
      </c>
      <c r="G39" s="55" t="str">
        <f t="shared" ca="1" si="4"/>
        <v/>
      </c>
      <c r="H39" s="55" t="str">
        <f t="shared" ca="1" si="4"/>
        <v/>
      </c>
      <c r="I39" s="55" t="str">
        <f t="shared" ca="1" si="4"/>
        <v/>
      </c>
      <c r="J39" s="55" t="str">
        <f t="shared" ca="1" si="4"/>
        <v/>
      </c>
      <c r="K39" s="55" t="str">
        <f t="shared" ca="1" si="4"/>
        <v/>
      </c>
      <c r="L39" s="55" t="str">
        <f t="shared" ca="1" si="4"/>
        <v/>
      </c>
      <c r="M39" s="55" t="str">
        <f t="shared" ca="1" si="4"/>
        <v/>
      </c>
      <c r="N39" s="55" t="str">
        <f t="shared" ca="1" si="4"/>
        <v/>
      </c>
      <c r="O39" s="55" t="str">
        <f t="shared" ca="1" si="5"/>
        <v/>
      </c>
      <c r="P39" s="56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49" t="str">
        <f>IFERROR(IF(Datos!$A40="","",Idiomas!$A$12&amp;" "&amp;ROW()-1),"")</f>
        <v/>
      </c>
      <c r="B40" s="50">
        <f>IFERROR(MATCH(Datos!$A40,Configura!$B$9:$B$18,0),0)</f>
        <v>0</v>
      </c>
      <c r="C40" s="50">
        <f>IFERROR(MATCH(Datos!$B40,Configura!$D$9:$D$11,0),0)</f>
        <v>0</v>
      </c>
      <c r="D40" s="50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1" t="str">
        <f t="shared" ca="1" si="4"/>
        <v/>
      </c>
      <c r="F40" s="51" t="str">
        <f t="shared" ca="1" si="4"/>
        <v/>
      </c>
      <c r="G40" s="51" t="str">
        <f t="shared" ca="1" si="4"/>
        <v/>
      </c>
      <c r="H40" s="51" t="str">
        <f t="shared" ca="1" si="4"/>
        <v/>
      </c>
      <c r="I40" s="51" t="str">
        <f t="shared" ca="1" si="4"/>
        <v/>
      </c>
      <c r="J40" s="51" t="str">
        <f t="shared" ca="1" si="4"/>
        <v/>
      </c>
      <c r="K40" s="51" t="str">
        <f t="shared" ca="1" si="4"/>
        <v/>
      </c>
      <c r="L40" s="51" t="str">
        <f t="shared" ca="1" si="4"/>
        <v/>
      </c>
      <c r="M40" s="51" t="str">
        <f t="shared" ca="1" si="4"/>
        <v/>
      </c>
      <c r="N40" s="51" t="str">
        <f t="shared" ca="1" si="4"/>
        <v/>
      </c>
      <c r="O40" s="51" t="str">
        <f t="shared" ca="1" si="5"/>
        <v/>
      </c>
      <c r="P40" s="52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3" t="str">
        <f>IFERROR(IF(Datos!$A41="","",Idiomas!$A$12&amp;" "&amp;ROW()-1),"")</f>
        <v/>
      </c>
      <c r="B41" s="54">
        <f>IFERROR(MATCH(Datos!$A41,Configura!$B$9:$B$18,0),0)</f>
        <v>0</v>
      </c>
      <c r="C41" s="54">
        <f>IFERROR(MATCH(Datos!$B41,Configura!$D$9:$D$11,0),0)</f>
        <v>0</v>
      </c>
      <c r="D41" s="54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5" t="str">
        <f t="shared" ca="1" si="4"/>
        <v/>
      </c>
      <c r="F41" s="55" t="str">
        <f t="shared" ca="1" si="4"/>
        <v/>
      </c>
      <c r="G41" s="55" t="str">
        <f t="shared" ca="1" si="4"/>
        <v/>
      </c>
      <c r="H41" s="55" t="str">
        <f t="shared" ca="1" si="4"/>
        <v/>
      </c>
      <c r="I41" s="55" t="str">
        <f t="shared" ca="1" si="4"/>
        <v/>
      </c>
      <c r="J41" s="55" t="str">
        <f t="shared" ca="1" si="4"/>
        <v/>
      </c>
      <c r="K41" s="55" t="str">
        <f t="shared" ca="1" si="4"/>
        <v/>
      </c>
      <c r="L41" s="55" t="str">
        <f t="shared" ca="1" si="4"/>
        <v/>
      </c>
      <c r="M41" s="55" t="str">
        <f t="shared" ca="1" si="4"/>
        <v/>
      </c>
      <c r="N41" s="55" t="str">
        <f t="shared" ca="1" si="4"/>
        <v/>
      </c>
      <c r="O41" s="55" t="str">
        <f t="shared" ca="1" si="5"/>
        <v/>
      </c>
      <c r="P41" s="56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49" t="str">
        <f>IFERROR(IF(Datos!$A42="","",Idiomas!$A$12&amp;" "&amp;ROW()-1),"")</f>
        <v/>
      </c>
      <c r="B42" s="50">
        <f>IFERROR(MATCH(Datos!$A42,Configura!$B$9:$B$18,0),0)</f>
        <v>0</v>
      </c>
      <c r="C42" s="50">
        <f>IFERROR(MATCH(Datos!$B42,Configura!$D$9:$D$11,0),0)</f>
        <v>0</v>
      </c>
      <c r="D42" s="50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1" t="str">
        <f t="shared" ref="E42:N51" ca="1" si="6">IFERROR(E$1&amp;"-"&amp;MATCH($A42&amp;":",INDIRECT("KANBAN!"&amp;E$1&amp;":"&amp;E$1),0),"")</f>
        <v/>
      </c>
      <c r="F42" s="51" t="str">
        <f t="shared" ca="1" si="6"/>
        <v/>
      </c>
      <c r="G42" s="51" t="str">
        <f t="shared" ca="1" si="6"/>
        <v/>
      </c>
      <c r="H42" s="51" t="str">
        <f t="shared" ca="1" si="6"/>
        <v/>
      </c>
      <c r="I42" s="51" t="str">
        <f t="shared" ca="1" si="6"/>
        <v/>
      </c>
      <c r="J42" s="51" t="str">
        <f t="shared" ca="1" si="6"/>
        <v/>
      </c>
      <c r="K42" s="51" t="str">
        <f t="shared" ca="1" si="6"/>
        <v/>
      </c>
      <c r="L42" s="51" t="str">
        <f t="shared" ca="1" si="6"/>
        <v/>
      </c>
      <c r="M42" s="51" t="str">
        <f t="shared" ca="1" si="6"/>
        <v/>
      </c>
      <c r="N42" s="51" t="str">
        <f t="shared" ca="1" si="6"/>
        <v/>
      </c>
      <c r="O42" s="51" t="str">
        <f t="shared" ca="1" si="5"/>
        <v/>
      </c>
      <c r="P42" s="52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3" t="str">
        <f>IFERROR(IF(Datos!$A43="","",Idiomas!$A$12&amp;" "&amp;ROW()-1),"")</f>
        <v/>
      </c>
      <c r="B43" s="54">
        <f>IFERROR(MATCH(Datos!$A43,Configura!$B$9:$B$18,0),0)</f>
        <v>0</v>
      </c>
      <c r="C43" s="54">
        <f>IFERROR(MATCH(Datos!$B43,Configura!$D$9:$D$11,0),0)</f>
        <v>0</v>
      </c>
      <c r="D43" s="54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5" t="str">
        <f t="shared" ca="1" si="6"/>
        <v/>
      </c>
      <c r="F43" s="55" t="str">
        <f t="shared" ca="1" si="6"/>
        <v/>
      </c>
      <c r="G43" s="55" t="str">
        <f t="shared" ca="1" si="6"/>
        <v/>
      </c>
      <c r="H43" s="55" t="str">
        <f t="shared" ca="1" si="6"/>
        <v/>
      </c>
      <c r="I43" s="55" t="str">
        <f t="shared" ca="1" si="6"/>
        <v/>
      </c>
      <c r="J43" s="55" t="str">
        <f t="shared" ca="1" si="6"/>
        <v/>
      </c>
      <c r="K43" s="55" t="str">
        <f t="shared" ca="1" si="6"/>
        <v/>
      </c>
      <c r="L43" s="55" t="str">
        <f t="shared" ca="1" si="6"/>
        <v/>
      </c>
      <c r="M43" s="55" t="str">
        <f t="shared" ca="1" si="6"/>
        <v/>
      </c>
      <c r="N43" s="55" t="str">
        <f t="shared" ca="1" si="6"/>
        <v/>
      </c>
      <c r="O43" s="55" t="str">
        <f t="shared" ca="1" si="5"/>
        <v/>
      </c>
      <c r="P43" s="56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49" t="str">
        <f>IFERROR(IF(Datos!$A44="","",Idiomas!$A$12&amp;" "&amp;ROW()-1),"")</f>
        <v/>
      </c>
      <c r="B44" s="50">
        <f>IFERROR(MATCH(Datos!$A44,Configura!$B$9:$B$18,0),0)</f>
        <v>0</v>
      </c>
      <c r="C44" s="50">
        <f>IFERROR(MATCH(Datos!$B44,Configura!$D$9:$D$11,0),0)</f>
        <v>0</v>
      </c>
      <c r="D44" s="50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1" t="str">
        <f t="shared" ca="1" si="6"/>
        <v/>
      </c>
      <c r="F44" s="51" t="str">
        <f t="shared" ca="1" si="6"/>
        <v/>
      </c>
      <c r="G44" s="51" t="str">
        <f t="shared" ca="1" si="6"/>
        <v/>
      </c>
      <c r="H44" s="51" t="str">
        <f t="shared" ca="1" si="6"/>
        <v/>
      </c>
      <c r="I44" s="51" t="str">
        <f t="shared" ca="1" si="6"/>
        <v/>
      </c>
      <c r="J44" s="51" t="str">
        <f t="shared" ca="1" si="6"/>
        <v/>
      </c>
      <c r="K44" s="51" t="str">
        <f t="shared" ca="1" si="6"/>
        <v/>
      </c>
      <c r="L44" s="51" t="str">
        <f t="shared" ca="1" si="6"/>
        <v/>
      </c>
      <c r="M44" s="51" t="str">
        <f t="shared" ca="1" si="6"/>
        <v/>
      </c>
      <c r="N44" s="51" t="str">
        <f t="shared" ca="1" si="6"/>
        <v/>
      </c>
      <c r="O44" s="51" t="str">
        <f t="shared" ca="1" si="5"/>
        <v/>
      </c>
      <c r="P44" s="52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3" t="str">
        <f>IFERROR(IF(Datos!$A45="","",Idiomas!$A$12&amp;" "&amp;ROW()-1),"")</f>
        <v/>
      </c>
      <c r="B45" s="54">
        <f>IFERROR(MATCH(Datos!$A45,Configura!$B$9:$B$18,0),0)</f>
        <v>0</v>
      </c>
      <c r="C45" s="54">
        <f>IFERROR(MATCH(Datos!$B45,Configura!$D$9:$D$11,0),0)</f>
        <v>0</v>
      </c>
      <c r="D45" s="54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5" t="str">
        <f t="shared" ca="1" si="6"/>
        <v/>
      </c>
      <c r="F45" s="55" t="str">
        <f t="shared" ca="1" si="6"/>
        <v/>
      </c>
      <c r="G45" s="55" t="str">
        <f t="shared" ca="1" si="6"/>
        <v/>
      </c>
      <c r="H45" s="55" t="str">
        <f t="shared" ca="1" si="6"/>
        <v/>
      </c>
      <c r="I45" s="55" t="str">
        <f t="shared" ca="1" si="6"/>
        <v/>
      </c>
      <c r="J45" s="55" t="str">
        <f t="shared" ca="1" si="6"/>
        <v/>
      </c>
      <c r="K45" s="55" t="str">
        <f t="shared" ca="1" si="6"/>
        <v/>
      </c>
      <c r="L45" s="55" t="str">
        <f t="shared" ca="1" si="6"/>
        <v/>
      </c>
      <c r="M45" s="55" t="str">
        <f t="shared" ca="1" si="6"/>
        <v/>
      </c>
      <c r="N45" s="55" t="str">
        <f t="shared" ca="1" si="6"/>
        <v/>
      </c>
      <c r="O45" s="55" t="str">
        <f t="shared" ca="1" si="5"/>
        <v/>
      </c>
      <c r="P45" s="56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49" t="str">
        <f>IFERROR(IF(Datos!$A46="","",Idiomas!$A$12&amp;" "&amp;ROW()-1),"")</f>
        <v/>
      </c>
      <c r="B46" s="50">
        <f>IFERROR(MATCH(Datos!$A46,Configura!$B$9:$B$18,0),0)</f>
        <v>0</v>
      </c>
      <c r="C46" s="50">
        <f>IFERROR(MATCH(Datos!$B46,Configura!$D$9:$D$11,0),0)</f>
        <v>0</v>
      </c>
      <c r="D46" s="50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1" t="str">
        <f t="shared" ca="1" si="6"/>
        <v/>
      </c>
      <c r="F46" s="51" t="str">
        <f t="shared" ca="1" si="6"/>
        <v/>
      </c>
      <c r="G46" s="51" t="str">
        <f t="shared" ca="1" si="6"/>
        <v/>
      </c>
      <c r="H46" s="51" t="str">
        <f t="shared" ca="1" si="6"/>
        <v/>
      </c>
      <c r="I46" s="51" t="str">
        <f t="shared" ca="1" si="6"/>
        <v/>
      </c>
      <c r="J46" s="51" t="str">
        <f t="shared" ca="1" si="6"/>
        <v/>
      </c>
      <c r="K46" s="51" t="str">
        <f t="shared" ca="1" si="6"/>
        <v/>
      </c>
      <c r="L46" s="51" t="str">
        <f t="shared" ca="1" si="6"/>
        <v/>
      </c>
      <c r="M46" s="51" t="str">
        <f t="shared" ca="1" si="6"/>
        <v/>
      </c>
      <c r="N46" s="51" t="str">
        <f t="shared" ca="1" si="6"/>
        <v/>
      </c>
      <c r="O46" s="51" t="str">
        <f t="shared" ca="1" si="5"/>
        <v/>
      </c>
      <c r="P46" s="52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3" t="str">
        <f>IFERROR(IF(Datos!$A47="","",Idiomas!$A$12&amp;" "&amp;ROW()-1),"")</f>
        <v/>
      </c>
      <c r="B47" s="54">
        <f>IFERROR(MATCH(Datos!$A47,Configura!$B$9:$B$18,0),0)</f>
        <v>0</v>
      </c>
      <c r="C47" s="54">
        <f>IFERROR(MATCH(Datos!$B47,Configura!$D$9:$D$11,0),0)</f>
        <v>0</v>
      </c>
      <c r="D47" s="54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5" t="str">
        <f t="shared" ca="1" si="6"/>
        <v/>
      </c>
      <c r="F47" s="55" t="str">
        <f t="shared" ca="1" si="6"/>
        <v/>
      </c>
      <c r="G47" s="55" t="str">
        <f t="shared" ca="1" si="6"/>
        <v/>
      </c>
      <c r="H47" s="55" t="str">
        <f t="shared" ca="1" si="6"/>
        <v/>
      </c>
      <c r="I47" s="55" t="str">
        <f t="shared" ca="1" si="6"/>
        <v/>
      </c>
      <c r="J47" s="55" t="str">
        <f t="shared" ca="1" si="6"/>
        <v/>
      </c>
      <c r="K47" s="55" t="str">
        <f t="shared" ca="1" si="6"/>
        <v/>
      </c>
      <c r="L47" s="55" t="str">
        <f t="shared" ca="1" si="6"/>
        <v/>
      </c>
      <c r="M47" s="55" t="str">
        <f t="shared" ca="1" si="6"/>
        <v/>
      </c>
      <c r="N47" s="55" t="str">
        <f t="shared" ca="1" si="6"/>
        <v/>
      </c>
      <c r="O47" s="55" t="str">
        <f t="shared" ca="1" si="5"/>
        <v/>
      </c>
      <c r="P47" s="56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49" t="str">
        <f>IFERROR(IF(Datos!$A48="","",Idiomas!$A$12&amp;" "&amp;ROW()-1),"")</f>
        <v/>
      </c>
      <c r="B48" s="50">
        <f>IFERROR(MATCH(Datos!$A48,Configura!$B$9:$B$18,0),0)</f>
        <v>0</v>
      </c>
      <c r="C48" s="50">
        <f>IFERROR(MATCH(Datos!$B48,Configura!$D$9:$D$11,0),0)</f>
        <v>0</v>
      </c>
      <c r="D48" s="50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1" t="str">
        <f t="shared" ca="1" si="6"/>
        <v/>
      </c>
      <c r="F48" s="51" t="str">
        <f t="shared" ca="1" si="6"/>
        <v/>
      </c>
      <c r="G48" s="51" t="str">
        <f t="shared" ca="1" si="6"/>
        <v/>
      </c>
      <c r="H48" s="51" t="str">
        <f t="shared" ca="1" si="6"/>
        <v/>
      </c>
      <c r="I48" s="51" t="str">
        <f t="shared" ca="1" si="6"/>
        <v/>
      </c>
      <c r="J48" s="51" t="str">
        <f t="shared" ca="1" si="6"/>
        <v/>
      </c>
      <c r="K48" s="51" t="str">
        <f t="shared" ca="1" si="6"/>
        <v/>
      </c>
      <c r="L48" s="51" t="str">
        <f t="shared" ca="1" si="6"/>
        <v/>
      </c>
      <c r="M48" s="51" t="str">
        <f t="shared" ca="1" si="6"/>
        <v/>
      </c>
      <c r="N48" s="51" t="str">
        <f t="shared" ca="1" si="6"/>
        <v/>
      </c>
      <c r="O48" s="51" t="str">
        <f t="shared" ca="1" si="5"/>
        <v/>
      </c>
      <c r="P48" s="52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3" t="str">
        <f>IFERROR(IF(Datos!$A49="","",Idiomas!$A$12&amp;" "&amp;ROW()-1),"")</f>
        <v/>
      </c>
      <c r="B49" s="54">
        <f>IFERROR(MATCH(Datos!$A49,Configura!$B$9:$B$18,0),0)</f>
        <v>0</v>
      </c>
      <c r="C49" s="54">
        <f>IFERROR(MATCH(Datos!$B49,Configura!$D$9:$D$11,0),0)</f>
        <v>0</v>
      </c>
      <c r="D49" s="54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5" t="str">
        <f t="shared" ca="1" si="6"/>
        <v/>
      </c>
      <c r="F49" s="55" t="str">
        <f t="shared" ca="1" si="6"/>
        <v/>
      </c>
      <c r="G49" s="55" t="str">
        <f t="shared" ca="1" si="6"/>
        <v/>
      </c>
      <c r="H49" s="55" t="str">
        <f t="shared" ca="1" si="6"/>
        <v/>
      </c>
      <c r="I49" s="55" t="str">
        <f t="shared" ca="1" si="6"/>
        <v/>
      </c>
      <c r="J49" s="55" t="str">
        <f t="shared" ca="1" si="6"/>
        <v/>
      </c>
      <c r="K49" s="55" t="str">
        <f t="shared" ca="1" si="6"/>
        <v/>
      </c>
      <c r="L49" s="55" t="str">
        <f t="shared" ca="1" si="6"/>
        <v/>
      </c>
      <c r="M49" s="55" t="str">
        <f t="shared" ca="1" si="6"/>
        <v/>
      </c>
      <c r="N49" s="55" t="str">
        <f t="shared" ca="1" si="6"/>
        <v/>
      </c>
      <c r="O49" s="55" t="str">
        <f t="shared" ca="1" si="5"/>
        <v/>
      </c>
      <c r="P49" s="56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49" t="str">
        <f>IFERROR(IF(Datos!$A50="","",Idiomas!$A$12&amp;" "&amp;ROW()-1),"")</f>
        <v/>
      </c>
      <c r="B50" s="50">
        <f>IFERROR(MATCH(Datos!$A50,Configura!$B$9:$B$18,0),0)</f>
        <v>0</v>
      </c>
      <c r="C50" s="50">
        <f>IFERROR(MATCH(Datos!$B50,Configura!$D$9:$D$11,0),0)</f>
        <v>0</v>
      </c>
      <c r="D50" s="50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1" t="str">
        <f t="shared" ca="1" si="6"/>
        <v/>
      </c>
      <c r="F50" s="51" t="str">
        <f t="shared" ca="1" si="6"/>
        <v/>
      </c>
      <c r="G50" s="51" t="str">
        <f t="shared" ca="1" si="6"/>
        <v/>
      </c>
      <c r="H50" s="51" t="str">
        <f t="shared" ca="1" si="6"/>
        <v/>
      </c>
      <c r="I50" s="51" t="str">
        <f t="shared" ca="1" si="6"/>
        <v/>
      </c>
      <c r="J50" s="51" t="str">
        <f t="shared" ca="1" si="6"/>
        <v/>
      </c>
      <c r="K50" s="51" t="str">
        <f t="shared" ca="1" si="6"/>
        <v/>
      </c>
      <c r="L50" s="51" t="str">
        <f t="shared" ca="1" si="6"/>
        <v/>
      </c>
      <c r="M50" s="51" t="str">
        <f t="shared" ca="1" si="6"/>
        <v/>
      </c>
      <c r="N50" s="51" t="str">
        <f t="shared" ca="1" si="6"/>
        <v/>
      </c>
      <c r="O50" s="51" t="str">
        <f t="shared" ca="1" si="5"/>
        <v/>
      </c>
      <c r="P50" s="52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3" t="str">
        <f>IFERROR(IF(Datos!$A51="","",Idiomas!$A$12&amp;" "&amp;ROW()-1),"")</f>
        <v/>
      </c>
      <c r="B51" s="54">
        <f>IFERROR(MATCH(Datos!$A51,Configura!$B$9:$B$18,0),0)</f>
        <v>0</v>
      </c>
      <c r="C51" s="54">
        <f>IFERROR(MATCH(Datos!$B51,Configura!$D$9:$D$11,0),0)</f>
        <v>0</v>
      </c>
      <c r="D51" s="54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5" t="str">
        <f t="shared" ca="1" si="6"/>
        <v/>
      </c>
      <c r="F51" s="55" t="str">
        <f t="shared" ca="1" si="6"/>
        <v/>
      </c>
      <c r="G51" s="55" t="str">
        <f t="shared" ca="1" si="6"/>
        <v/>
      </c>
      <c r="H51" s="55" t="str">
        <f t="shared" ca="1" si="6"/>
        <v/>
      </c>
      <c r="I51" s="55" t="str">
        <f t="shared" ca="1" si="6"/>
        <v/>
      </c>
      <c r="J51" s="55" t="str">
        <f t="shared" ca="1" si="6"/>
        <v/>
      </c>
      <c r="K51" s="55" t="str">
        <f t="shared" ca="1" si="6"/>
        <v/>
      </c>
      <c r="L51" s="55" t="str">
        <f t="shared" ca="1" si="6"/>
        <v/>
      </c>
      <c r="M51" s="55" t="str">
        <f t="shared" ca="1" si="6"/>
        <v/>
      </c>
      <c r="N51" s="55" t="str">
        <f t="shared" ca="1" si="6"/>
        <v/>
      </c>
      <c r="O51" s="55" t="str">
        <f t="shared" ca="1" si="5"/>
        <v/>
      </c>
      <c r="P51" s="56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49" t="str">
        <f>IFERROR(IF(Datos!$A52="","",Idiomas!$A$12&amp;" "&amp;ROW()-1),"")</f>
        <v/>
      </c>
      <c r="B52" s="50">
        <f>IFERROR(MATCH(Datos!$A52,Configura!$B$9:$B$18,0),0)</f>
        <v>0</v>
      </c>
      <c r="C52" s="50">
        <f>IFERROR(MATCH(Datos!$B52,Configura!$D$9:$D$11,0),0)</f>
        <v>0</v>
      </c>
      <c r="D52" s="50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1" t="str">
        <f t="shared" ref="E52:N61" ca="1" si="7">IFERROR(E$1&amp;"-"&amp;MATCH($A52&amp;":",INDIRECT("KANBAN!"&amp;E$1&amp;":"&amp;E$1),0),"")</f>
        <v/>
      </c>
      <c r="F52" s="51" t="str">
        <f t="shared" ca="1" si="7"/>
        <v/>
      </c>
      <c r="G52" s="51" t="str">
        <f t="shared" ca="1" si="7"/>
        <v/>
      </c>
      <c r="H52" s="51" t="str">
        <f t="shared" ca="1" si="7"/>
        <v/>
      </c>
      <c r="I52" s="51" t="str">
        <f t="shared" ca="1" si="7"/>
        <v/>
      </c>
      <c r="J52" s="51" t="str">
        <f t="shared" ca="1" si="7"/>
        <v/>
      </c>
      <c r="K52" s="51" t="str">
        <f t="shared" ca="1" si="7"/>
        <v/>
      </c>
      <c r="L52" s="51" t="str">
        <f t="shared" ca="1" si="7"/>
        <v/>
      </c>
      <c r="M52" s="51" t="str">
        <f t="shared" ca="1" si="7"/>
        <v/>
      </c>
      <c r="N52" s="51" t="str">
        <f t="shared" ca="1" si="7"/>
        <v/>
      </c>
      <c r="O52" s="51" t="str">
        <f t="shared" ca="1" si="5"/>
        <v/>
      </c>
      <c r="P52" s="52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3" t="str">
        <f>IFERROR(IF(Datos!$A53="","",Idiomas!$A$12&amp;" "&amp;ROW()-1),"")</f>
        <v/>
      </c>
      <c r="B53" s="54">
        <f>IFERROR(MATCH(Datos!$A53,Configura!$B$9:$B$18,0),0)</f>
        <v>0</v>
      </c>
      <c r="C53" s="54">
        <f>IFERROR(MATCH(Datos!$B53,Configura!$D$9:$D$11,0),0)</f>
        <v>0</v>
      </c>
      <c r="D53" s="54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5" t="str">
        <f t="shared" ca="1" si="7"/>
        <v/>
      </c>
      <c r="F53" s="55" t="str">
        <f t="shared" ca="1" si="7"/>
        <v/>
      </c>
      <c r="G53" s="55" t="str">
        <f t="shared" ca="1" si="7"/>
        <v/>
      </c>
      <c r="H53" s="55" t="str">
        <f t="shared" ca="1" si="7"/>
        <v/>
      </c>
      <c r="I53" s="55" t="str">
        <f t="shared" ca="1" si="7"/>
        <v/>
      </c>
      <c r="J53" s="55" t="str">
        <f t="shared" ca="1" si="7"/>
        <v/>
      </c>
      <c r="K53" s="55" t="str">
        <f t="shared" ca="1" si="7"/>
        <v/>
      </c>
      <c r="L53" s="55" t="str">
        <f t="shared" ca="1" si="7"/>
        <v/>
      </c>
      <c r="M53" s="55" t="str">
        <f t="shared" ca="1" si="7"/>
        <v/>
      </c>
      <c r="N53" s="55" t="str">
        <f t="shared" ca="1" si="7"/>
        <v/>
      </c>
      <c r="O53" s="55" t="str">
        <f t="shared" ca="1" si="5"/>
        <v/>
      </c>
      <c r="P53" s="56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49" t="str">
        <f>IFERROR(IF(Datos!$A54="","",Idiomas!$A$12&amp;" "&amp;ROW()-1),"")</f>
        <v/>
      </c>
      <c r="B54" s="50">
        <f>IFERROR(MATCH(Datos!$A54,Configura!$B$9:$B$18,0),0)</f>
        <v>0</v>
      </c>
      <c r="C54" s="50">
        <f>IFERROR(MATCH(Datos!$B54,Configura!$D$9:$D$11,0),0)</f>
        <v>0</v>
      </c>
      <c r="D54" s="50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1" t="str">
        <f t="shared" ca="1" si="7"/>
        <v/>
      </c>
      <c r="F54" s="51" t="str">
        <f t="shared" ca="1" si="7"/>
        <v/>
      </c>
      <c r="G54" s="51" t="str">
        <f t="shared" ca="1" si="7"/>
        <v/>
      </c>
      <c r="H54" s="51" t="str">
        <f t="shared" ca="1" si="7"/>
        <v/>
      </c>
      <c r="I54" s="51" t="str">
        <f t="shared" ca="1" si="7"/>
        <v/>
      </c>
      <c r="J54" s="51" t="str">
        <f t="shared" ca="1" si="7"/>
        <v/>
      </c>
      <c r="K54" s="51" t="str">
        <f t="shared" ca="1" si="7"/>
        <v/>
      </c>
      <c r="L54" s="51" t="str">
        <f t="shared" ca="1" si="7"/>
        <v/>
      </c>
      <c r="M54" s="51" t="str">
        <f t="shared" ca="1" si="7"/>
        <v/>
      </c>
      <c r="N54" s="51" t="str">
        <f t="shared" ca="1" si="7"/>
        <v/>
      </c>
      <c r="O54" s="51" t="str">
        <f t="shared" ca="1" si="5"/>
        <v/>
      </c>
      <c r="P54" s="52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3" t="str">
        <f>IFERROR(IF(Datos!$A55="","",Idiomas!$A$12&amp;" "&amp;ROW()-1),"")</f>
        <v/>
      </c>
      <c r="B55" s="54">
        <f>IFERROR(MATCH(Datos!$A55,Configura!$B$9:$B$18,0),0)</f>
        <v>0</v>
      </c>
      <c r="C55" s="54">
        <f>IFERROR(MATCH(Datos!$B55,Configura!$D$9:$D$11,0),0)</f>
        <v>0</v>
      </c>
      <c r="D55" s="54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5" t="str">
        <f t="shared" ca="1" si="7"/>
        <v/>
      </c>
      <c r="F55" s="55" t="str">
        <f t="shared" ca="1" si="7"/>
        <v/>
      </c>
      <c r="G55" s="55" t="str">
        <f t="shared" ca="1" si="7"/>
        <v/>
      </c>
      <c r="H55" s="55" t="str">
        <f t="shared" ca="1" si="7"/>
        <v/>
      </c>
      <c r="I55" s="55" t="str">
        <f t="shared" ca="1" si="7"/>
        <v/>
      </c>
      <c r="J55" s="55" t="str">
        <f t="shared" ca="1" si="7"/>
        <v/>
      </c>
      <c r="K55" s="55" t="str">
        <f t="shared" ca="1" si="7"/>
        <v/>
      </c>
      <c r="L55" s="55" t="str">
        <f t="shared" ca="1" si="7"/>
        <v/>
      </c>
      <c r="M55" s="55" t="str">
        <f t="shared" ca="1" si="7"/>
        <v/>
      </c>
      <c r="N55" s="55" t="str">
        <f t="shared" ca="1" si="7"/>
        <v/>
      </c>
      <c r="O55" s="55" t="str">
        <f t="shared" ca="1" si="5"/>
        <v/>
      </c>
      <c r="P55" s="56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49" t="str">
        <f>IFERROR(IF(Datos!$A56="","",Idiomas!$A$12&amp;" "&amp;ROW()-1),"")</f>
        <v/>
      </c>
      <c r="B56" s="50">
        <f>IFERROR(MATCH(Datos!$A56,Configura!$B$9:$B$18,0),0)</f>
        <v>0</v>
      </c>
      <c r="C56" s="50">
        <f>IFERROR(MATCH(Datos!$B56,Configura!$D$9:$D$11,0),0)</f>
        <v>0</v>
      </c>
      <c r="D56" s="50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1" t="str">
        <f t="shared" ca="1" si="7"/>
        <v/>
      </c>
      <c r="F56" s="51" t="str">
        <f t="shared" ca="1" si="7"/>
        <v/>
      </c>
      <c r="G56" s="51" t="str">
        <f t="shared" ca="1" si="7"/>
        <v/>
      </c>
      <c r="H56" s="51" t="str">
        <f t="shared" ca="1" si="7"/>
        <v/>
      </c>
      <c r="I56" s="51" t="str">
        <f t="shared" ca="1" si="7"/>
        <v/>
      </c>
      <c r="J56" s="51" t="str">
        <f t="shared" ca="1" si="7"/>
        <v/>
      </c>
      <c r="K56" s="51" t="str">
        <f t="shared" ca="1" si="7"/>
        <v/>
      </c>
      <c r="L56" s="51" t="str">
        <f t="shared" ca="1" si="7"/>
        <v/>
      </c>
      <c r="M56" s="51" t="str">
        <f t="shared" ca="1" si="7"/>
        <v/>
      </c>
      <c r="N56" s="51" t="str">
        <f t="shared" ca="1" si="7"/>
        <v/>
      </c>
      <c r="O56" s="51" t="str">
        <f t="shared" ca="1" si="5"/>
        <v/>
      </c>
      <c r="P56" s="52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3" t="str">
        <f>IFERROR(IF(Datos!$A57="","",Idiomas!$A$12&amp;" "&amp;ROW()-1),"")</f>
        <v/>
      </c>
      <c r="B57" s="54">
        <f>IFERROR(MATCH(Datos!$A57,Configura!$B$9:$B$18,0),0)</f>
        <v>0</v>
      </c>
      <c r="C57" s="54">
        <f>IFERROR(MATCH(Datos!$B57,Configura!$D$9:$D$11,0),0)</f>
        <v>0</v>
      </c>
      <c r="D57" s="54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5" t="str">
        <f t="shared" ca="1" si="7"/>
        <v/>
      </c>
      <c r="F57" s="55" t="str">
        <f t="shared" ca="1" si="7"/>
        <v/>
      </c>
      <c r="G57" s="55" t="str">
        <f t="shared" ca="1" si="7"/>
        <v/>
      </c>
      <c r="H57" s="55" t="str">
        <f t="shared" ca="1" si="7"/>
        <v/>
      </c>
      <c r="I57" s="55" t="str">
        <f t="shared" ca="1" si="7"/>
        <v/>
      </c>
      <c r="J57" s="55" t="str">
        <f t="shared" ca="1" si="7"/>
        <v/>
      </c>
      <c r="K57" s="55" t="str">
        <f t="shared" ca="1" si="7"/>
        <v/>
      </c>
      <c r="L57" s="55" t="str">
        <f t="shared" ca="1" si="7"/>
        <v/>
      </c>
      <c r="M57" s="55" t="str">
        <f t="shared" ca="1" si="7"/>
        <v/>
      </c>
      <c r="N57" s="55" t="str">
        <f t="shared" ca="1" si="7"/>
        <v/>
      </c>
      <c r="O57" s="55" t="str">
        <f t="shared" ca="1" si="5"/>
        <v/>
      </c>
      <c r="P57" s="56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49" t="str">
        <f>IFERROR(IF(Datos!$A58="","",Idiomas!$A$12&amp;" "&amp;ROW()-1),"")</f>
        <v/>
      </c>
      <c r="B58" s="50">
        <f>IFERROR(MATCH(Datos!$A58,Configura!$B$9:$B$18,0),0)</f>
        <v>0</v>
      </c>
      <c r="C58" s="50">
        <f>IFERROR(MATCH(Datos!$B58,Configura!$D$9:$D$11,0),0)</f>
        <v>0</v>
      </c>
      <c r="D58" s="50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1" t="str">
        <f t="shared" ca="1" si="7"/>
        <v/>
      </c>
      <c r="F58" s="51" t="str">
        <f t="shared" ca="1" si="7"/>
        <v/>
      </c>
      <c r="G58" s="51" t="str">
        <f t="shared" ca="1" si="7"/>
        <v/>
      </c>
      <c r="H58" s="51" t="str">
        <f t="shared" ca="1" si="7"/>
        <v/>
      </c>
      <c r="I58" s="51" t="str">
        <f t="shared" ca="1" si="7"/>
        <v/>
      </c>
      <c r="J58" s="51" t="str">
        <f t="shared" ca="1" si="7"/>
        <v/>
      </c>
      <c r="K58" s="51" t="str">
        <f t="shared" ca="1" si="7"/>
        <v/>
      </c>
      <c r="L58" s="51" t="str">
        <f t="shared" ca="1" si="7"/>
        <v/>
      </c>
      <c r="M58" s="51" t="str">
        <f t="shared" ca="1" si="7"/>
        <v/>
      </c>
      <c r="N58" s="51" t="str">
        <f t="shared" ca="1" si="7"/>
        <v/>
      </c>
      <c r="O58" s="51" t="str">
        <f t="shared" ca="1" si="5"/>
        <v/>
      </c>
      <c r="P58" s="52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3" t="str">
        <f>IFERROR(IF(Datos!$A59="","",Idiomas!$A$12&amp;" "&amp;ROW()-1),"")</f>
        <v/>
      </c>
      <c r="B59" s="54">
        <f>IFERROR(MATCH(Datos!$A59,Configura!$B$9:$B$18,0),0)</f>
        <v>0</v>
      </c>
      <c r="C59" s="54">
        <f>IFERROR(MATCH(Datos!$B59,Configura!$D$9:$D$11,0),0)</f>
        <v>0</v>
      </c>
      <c r="D59" s="54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5" t="str">
        <f t="shared" ca="1" si="7"/>
        <v/>
      </c>
      <c r="F59" s="55" t="str">
        <f t="shared" ca="1" si="7"/>
        <v/>
      </c>
      <c r="G59" s="55" t="str">
        <f t="shared" ca="1" si="7"/>
        <v/>
      </c>
      <c r="H59" s="55" t="str">
        <f t="shared" ca="1" si="7"/>
        <v/>
      </c>
      <c r="I59" s="55" t="str">
        <f t="shared" ca="1" si="7"/>
        <v/>
      </c>
      <c r="J59" s="55" t="str">
        <f t="shared" ca="1" si="7"/>
        <v/>
      </c>
      <c r="K59" s="55" t="str">
        <f t="shared" ca="1" si="7"/>
        <v/>
      </c>
      <c r="L59" s="55" t="str">
        <f t="shared" ca="1" si="7"/>
        <v/>
      </c>
      <c r="M59" s="55" t="str">
        <f t="shared" ca="1" si="7"/>
        <v/>
      </c>
      <c r="N59" s="55" t="str">
        <f t="shared" ca="1" si="7"/>
        <v/>
      </c>
      <c r="O59" s="55" t="str">
        <f t="shared" ca="1" si="5"/>
        <v/>
      </c>
      <c r="P59" s="56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49" t="str">
        <f>IFERROR(IF(Datos!$A60="","",Idiomas!$A$12&amp;" "&amp;ROW()-1),"")</f>
        <v/>
      </c>
      <c r="B60" s="50">
        <f>IFERROR(MATCH(Datos!$A60,Configura!$B$9:$B$18,0),0)</f>
        <v>0</v>
      </c>
      <c r="C60" s="50">
        <f>IFERROR(MATCH(Datos!$B60,Configura!$D$9:$D$11,0),0)</f>
        <v>0</v>
      </c>
      <c r="D60" s="50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1" t="str">
        <f t="shared" ca="1" si="7"/>
        <v/>
      </c>
      <c r="F60" s="51" t="str">
        <f t="shared" ca="1" si="7"/>
        <v/>
      </c>
      <c r="G60" s="51" t="str">
        <f t="shared" ca="1" si="7"/>
        <v/>
      </c>
      <c r="H60" s="51" t="str">
        <f t="shared" ca="1" si="7"/>
        <v/>
      </c>
      <c r="I60" s="51" t="str">
        <f t="shared" ca="1" si="7"/>
        <v/>
      </c>
      <c r="J60" s="51" t="str">
        <f t="shared" ca="1" si="7"/>
        <v/>
      </c>
      <c r="K60" s="51" t="str">
        <f t="shared" ca="1" si="7"/>
        <v/>
      </c>
      <c r="L60" s="51" t="str">
        <f t="shared" ca="1" si="7"/>
        <v/>
      </c>
      <c r="M60" s="51" t="str">
        <f t="shared" ca="1" si="7"/>
        <v/>
      </c>
      <c r="N60" s="51" t="str">
        <f t="shared" ca="1" si="7"/>
        <v/>
      </c>
      <c r="O60" s="51" t="str">
        <f t="shared" ca="1" si="5"/>
        <v/>
      </c>
      <c r="P60" s="52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3" t="str">
        <f>IFERROR(IF(Datos!$A61="","",Idiomas!$A$12&amp;" "&amp;ROW()-1),"")</f>
        <v/>
      </c>
      <c r="B61" s="54">
        <f>IFERROR(MATCH(Datos!$A61,Configura!$B$9:$B$18,0),0)</f>
        <v>0</v>
      </c>
      <c r="C61" s="54">
        <f>IFERROR(MATCH(Datos!$B61,Configura!$D$9:$D$11,0),0)</f>
        <v>0</v>
      </c>
      <c r="D61" s="54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5" t="str">
        <f t="shared" ca="1" si="7"/>
        <v/>
      </c>
      <c r="F61" s="55" t="str">
        <f t="shared" ca="1" si="7"/>
        <v/>
      </c>
      <c r="G61" s="55" t="str">
        <f t="shared" ca="1" si="7"/>
        <v/>
      </c>
      <c r="H61" s="55" t="str">
        <f t="shared" ca="1" si="7"/>
        <v/>
      </c>
      <c r="I61" s="55" t="str">
        <f t="shared" ca="1" si="7"/>
        <v/>
      </c>
      <c r="J61" s="55" t="str">
        <f t="shared" ca="1" si="7"/>
        <v/>
      </c>
      <c r="K61" s="55" t="str">
        <f t="shared" ca="1" si="7"/>
        <v/>
      </c>
      <c r="L61" s="55" t="str">
        <f t="shared" ca="1" si="7"/>
        <v/>
      </c>
      <c r="M61" s="55" t="str">
        <f t="shared" ca="1" si="7"/>
        <v/>
      </c>
      <c r="N61" s="55" t="str">
        <f t="shared" ca="1" si="7"/>
        <v/>
      </c>
      <c r="O61" s="55" t="str">
        <f t="shared" ca="1" si="5"/>
        <v/>
      </c>
      <c r="P61" s="56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49" t="str">
        <f>IFERROR(IF(Datos!$A62="","",Idiomas!$A$12&amp;" "&amp;ROW()-1),"")</f>
        <v/>
      </c>
      <c r="B62" s="50">
        <f>IFERROR(MATCH(Datos!$A62,Configura!$B$9:$B$18,0),0)</f>
        <v>0</v>
      </c>
      <c r="C62" s="50">
        <f>IFERROR(MATCH(Datos!$B62,Configura!$D$9:$D$11,0),0)</f>
        <v>0</v>
      </c>
      <c r="D62" s="50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1" t="str">
        <f t="shared" ref="E62:N71" ca="1" si="8">IFERROR(E$1&amp;"-"&amp;MATCH($A62&amp;":",INDIRECT("KANBAN!"&amp;E$1&amp;":"&amp;E$1),0),"")</f>
        <v/>
      </c>
      <c r="F62" s="51" t="str">
        <f t="shared" ca="1" si="8"/>
        <v/>
      </c>
      <c r="G62" s="51" t="str">
        <f t="shared" ca="1" si="8"/>
        <v/>
      </c>
      <c r="H62" s="51" t="str">
        <f t="shared" ca="1" si="8"/>
        <v/>
      </c>
      <c r="I62" s="51" t="str">
        <f t="shared" ca="1" si="8"/>
        <v/>
      </c>
      <c r="J62" s="51" t="str">
        <f t="shared" ca="1" si="8"/>
        <v/>
      </c>
      <c r="K62" s="51" t="str">
        <f t="shared" ca="1" si="8"/>
        <v/>
      </c>
      <c r="L62" s="51" t="str">
        <f t="shared" ca="1" si="8"/>
        <v/>
      </c>
      <c r="M62" s="51" t="str">
        <f t="shared" ca="1" si="8"/>
        <v/>
      </c>
      <c r="N62" s="51" t="str">
        <f t="shared" ca="1" si="8"/>
        <v/>
      </c>
      <c r="O62" s="51" t="str">
        <f t="shared" ca="1" si="5"/>
        <v/>
      </c>
      <c r="P62" s="52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3" t="str">
        <f>IFERROR(IF(Datos!$A63="","",Idiomas!$A$12&amp;" "&amp;ROW()-1),"")</f>
        <v/>
      </c>
      <c r="B63" s="54">
        <f>IFERROR(MATCH(Datos!$A63,Configura!$B$9:$B$18,0),0)</f>
        <v>0</v>
      </c>
      <c r="C63" s="54">
        <f>IFERROR(MATCH(Datos!$B63,Configura!$D$9:$D$11,0),0)</f>
        <v>0</v>
      </c>
      <c r="D63" s="54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5" t="str">
        <f t="shared" ca="1" si="8"/>
        <v/>
      </c>
      <c r="F63" s="55" t="str">
        <f t="shared" ca="1" si="8"/>
        <v/>
      </c>
      <c r="G63" s="55" t="str">
        <f t="shared" ca="1" si="8"/>
        <v/>
      </c>
      <c r="H63" s="55" t="str">
        <f t="shared" ca="1" si="8"/>
        <v/>
      </c>
      <c r="I63" s="55" t="str">
        <f t="shared" ca="1" si="8"/>
        <v/>
      </c>
      <c r="J63" s="55" t="str">
        <f t="shared" ca="1" si="8"/>
        <v/>
      </c>
      <c r="K63" s="55" t="str">
        <f t="shared" ca="1" si="8"/>
        <v/>
      </c>
      <c r="L63" s="55" t="str">
        <f t="shared" ca="1" si="8"/>
        <v/>
      </c>
      <c r="M63" s="55" t="str">
        <f t="shared" ca="1" si="8"/>
        <v/>
      </c>
      <c r="N63" s="55" t="str">
        <f t="shared" ca="1" si="8"/>
        <v/>
      </c>
      <c r="O63" s="55" t="str">
        <f t="shared" ca="1" si="5"/>
        <v/>
      </c>
      <c r="P63" s="56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49" t="str">
        <f>IFERROR(IF(Datos!$A64="","",Idiomas!$A$12&amp;" "&amp;ROW()-1),"")</f>
        <v/>
      </c>
      <c r="B64" s="50">
        <f>IFERROR(MATCH(Datos!$A64,Configura!$B$9:$B$18,0),0)</f>
        <v>0</v>
      </c>
      <c r="C64" s="50">
        <f>IFERROR(MATCH(Datos!$B64,Configura!$D$9:$D$11,0),0)</f>
        <v>0</v>
      </c>
      <c r="D64" s="50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1" t="str">
        <f t="shared" ca="1" si="8"/>
        <v/>
      </c>
      <c r="F64" s="51" t="str">
        <f t="shared" ca="1" si="8"/>
        <v/>
      </c>
      <c r="G64" s="51" t="str">
        <f t="shared" ca="1" si="8"/>
        <v/>
      </c>
      <c r="H64" s="51" t="str">
        <f t="shared" ca="1" si="8"/>
        <v/>
      </c>
      <c r="I64" s="51" t="str">
        <f t="shared" ca="1" si="8"/>
        <v/>
      </c>
      <c r="J64" s="51" t="str">
        <f t="shared" ca="1" si="8"/>
        <v/>
      </c>
      <c r="K64" s="51" t="str">
        <f t="shared" ca="1" si="8"/>
        <v/>
      </c>
      <c r="L64" s="51" t="str">
        <f t="shared" ca="1" si="8"/>
        <v/>
      </c>
      <c r="M64" s="51" t="str">
        <f t="shared" ca="1" si="8"/>
        <v/>
      </c>
      <c r="N64" s="51" t="str">
        <f t="shared" ca="1" si="8"/>
        <v/>
      </c>
      <c r="O64" s="51" t="str">
        <f t="shared" ca="1" si="5"/>
        <v/>
      </c>
      <c r="P64" s="52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3" t="str">
        <f>IFERROR(IF(Datos!$A65="","",Idiomas!$A$12&amp;" "&amp;ROW()-1),"")</f>
        <v/>
      </c>
      <c r="B65" s="54">
        <f>IFERROR(MATCH(Datos!$A65,Configura!$B$9:$B$18,0),0)</f>
        <v>0</v>
      </c>
      <c r="C65" s="54">
        <f>IFERROR(MATCH(Datos!$B65,Configura!$D$9:$D$11,0),0)</f>
        <v>0</v>
      </c>
      <c r="D65" s="54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5" t="str">
        <f t="shared" ca="1" si="8"/>
        <v/>
      </c>
      <c r="F65" s="55" t="str">
        <f t="shared" ca="1" si="8"/>
        <v/>
      </c>
      <c r="G65" s="55" t="str">
        <f t="shared" ca="1" si="8"/>
        <v/>
      </c>
      <c r="H65" s="55" t="str">
        <f t="shared" ca="1" si="8"/>
        <v/>
      </c>
      <c r="I65" s="55" t="str">
        <f t="shared" ca="1" si="8"/>
        <v/>
      </c>
      <c r="J65" s="55" t="str">
        <f t="shared" ca="1" si="8"/>
        <v/>
      </c>
      <c r="K65" s="55" t="str">
        <f t="shared" ca="1" si="8"/>
        <v/>
      </c>
      <c r="L65" s="55" t="str">
        <f t="shared" ca="1" si="8"/>
        <v/>
      </c>
      <c r="M65" s="55" t="str">
        <f t="shared" ca="1" si="8"/>
        <v/>
      </c>
      <c r="N65" s="55" t="str">
        <f t="shared" ca="1" si="8"/>
        <v/>
      </c>
      <c r="O65" s="55" t="str">
        <f t="shared" ca="1" si="5"/>
        <v/>
      </c>
      <c r="P65" s="56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49" t="str">
        <f>IFERROR(IF(Datos!$A66="","",Idiomas!$A$12&amp;" "&amp;ROW()-1),"")</f>
        <v/>
      </c>
      <c r="B66" s="50">
        <f>IFERROR(MATCH(Datos!$A66,Configura!$B$9:$B$18,0),0)</f>
        <v>0</v>
      </c>
      <c r="C66" s="50">
        <f>IFERROR(MATCH(Datos!$B66,Configura!$D$9:$D$11,0),0)</f>
        <v>0</v>
      </c>
      <c r="D66" s="50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1" t="str">
        <f t="shared" ca="1" si="8"/>
        <v/>
      </c>
      <c r="F66" s="51" t="str">
        <f t="shared" ca="1" si="8"/>
        <v/>
      </c>
      <c r="G66" s="51" t="str">
        <f t="shared" ca="1" si="8"/>
        <v/>
      </c>
      <c r="H66" s="51" t="str">
        <f t="shared" ca="1" si="8"/>
        <v/>
      </c>
      <c r="I66" s="51" t="str">
        <f t="shared" ca="1" si="8"/>
        <v/>
      </c>
      <c r="J66" s="51" t="str">
        <f t="shared" ca="1" si="8"/>
        <v/>
      </c>
      <c r="K66" s="51" t="str">
        <f t="shared" ca="1" si="8"/>
        <v/>
      </c>
      <c r="L66" s="51" t="str">
        <f t="shared" ca="1" si="8"/>
        <v/>
      </c>
      <c r="M66" s="51" t="str">
        <f t="shared" ca="1" si="8"/>
        <v/>
      </c>
      <c r="N66" s="51" t="str">
        <f t="shared" ca="1" si="8"/>
        <v/>
      </c>
      <c r="O66" s="51" t="str">
        <f t="shared" ref="O66:O97" ca="1" si="9">E66&amp;F66&amp;G66&amp;H66&amp;I66&amp;J66&amp;K66&amp;L66&amp;M66&amp;N66</f>
        <v/>
      </c>
      <c r="P66" s="52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3" t="str">
        <f>IFERROR(IF(Datos!$A67="","",Idiomas!$A$12&amp;" "&amp;ROW()-1),"")</f>
        <v/>
      </c>
      <c r="B67" s="54">
        <f>IFERROR(MATCH(Datos!$A67,Configura!$B$9:$B$18,0),0)</f>
        <v>0</v>
      </c>
      <c r="C67" s="54">
        <f>IFERROR(MATCH(Datos!$B67,Configura!$D$9:$D$11,0),0)</f>
        <v>0</v>
      </c>
      <c r="D67" s="54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5" t="str">
        <f t="shared" ca="1" si="8"/>
        <v/>
      </c>
      <c r="F67" s="55" t="str">
        <f t="shared" ca="1" si="8"/>
        <v/>
      </c>
      <c r="G67" s="55" t="str">
        <f t="shared" ca="1" si="8"/>
        <v/>
      </c>
      <c r="H67" s="55" t="str">
        <f t="shared" ca="1" si="8"/>
        <v/>
      </c>
      <c r="I67" s="55" t="str">
        <f t="shared" ca="1" si="8"/>
        <v/>
      </c>
      <c r="J67" s="55" t="str">
        <f t="shared" ca="1" si="8"/>
        <v/>
      </c>
      <c r="K67" s="55" t="str">
        <f t="shared" ca="1" si="8"/>
        <v/>
      </c>
      <c r="L67" s="55" t="str">
        <f t="shared" ca="1" si="8"/>
        <v/>
      </c>
      <c r="M67" s="55" t="str">
        <f t="shared" ca="1" si="8"/>
        <v/>
      </c>
      <c r="N67" s="55" t="str">
        <f t="shared" ca="1" si="8"/>
        <v/>
      </c>
      <c r="O67" s="55" t="str">
        <f t="shared" ca="1" si="9"/>
        <v/>
      </c>
      <c r="P67" s="56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49" t="str">
        <f>IFERROR(IF(Datos!$A68="","",Idiomas!$A$12&amp;" "&amp;ROW()-1),"")</f>
        <v/>
      </c>
      <c r="B68" s="50">
        <f>IFERROR(MATCH(Datos!$A68,Configura!$B$9:$B$18,0),0)</f>
        <v>0</v>
      </c>
      <c r="C68" s="50">
        <f>IFERROR(MATCH(Datos!$B68,Configura!$D$9:$D$11,0),0)</f>
        <v>0</v>
      </c>
      <c r="D68" s="50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1" t="str">
        <f t="shared" ca="1" si="8"/>
        <v/>
      </c>
      <c r="F68" s="51" t="str">
        <f t="shared" ca="1" si="8"/>
        <v/>
      </c>
      <c r="G68" s="51" t="str">
        <f t="shared" ca="1" si="8"/>
        <v/>
      </c>
      <c r="H68" s="51" t="str">
        <f t="shared" ca="1" si="8"/>
        <v/>
      </c>
      <c r="I68" s="51" t="str">
        <f t="shared" ca="1" si="8"/>
        <v/>
      </c>
      <c r="J68" s="51" t="str">
        <f t="shared" ca="1" si="8"/>
        <v/>
      </c>
      <c r="K68" s="51" t="str">
        <f t="shared" ca="1" si="8"/>
        <v/>
      </c>
      <c r="L68" s="51" t="str">
        <f t="shared" ca="1" si="8"/>
        <v/>
      </c>
      <c r="M68" s="51" t="str">
        <f t="shared" ca="1" si="8"/>
        <v/>
      </c>
      <c r="N68" s="51" t="str">
        <f t="shared" ca="1" si="8"/>
        <v/>
      </c>
      <c r="O68" s="51" t="str">
        <f t="shared" ca="1" si="9"/>
        <v/>
      </c>
      <c r="P68" s="52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3" t="str">
        <f>IFERROR(IF(Datos!$A69="","",Idiomas!$A$12&amp;" "&amp;ROW()-1),"")</f>
        <v/>
      </c>
      <c r="B69" s="54">
        <f>IFERROR(MATCH(Datos!$A69,Configura!$B$9:$B$18,0),0)</f>
        <v>0</v>
      </c>
      <c r="C69" s="54">
        <f>IFERROR(MATCH(Datos!$B69,Configura!$D$9:$D$11,0),0)</f>
        <v>0</v>
      </c>
      <c r="D69" s="54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5" t="str">
        <f t="shared" ca="1" si="8"/>
        <v/>
      </c>
      <c r="F69" s="55" t="str">
        <f t="shared" ca="1" si="8"/>
        <v/>
      </c>
      <c r="G69" s="55" t="str">
        <f t="shared" ca="1" si="8"/>
        <v/>
      </c>
      <c r="H69" s="55" t="str">
        <f t="shared" ca="1" si="8"/>
        <v/>
      </c>
      <c r="I69" s="55" t="str">
        <f t="shared" ca="1" si="8"/>
        <v/>
      </c>
      <c r="J69" s="55" t="str">
        <f t="shared" ca="1" si="8"/>
        <v/>
      </c>
      <c r="K69" s="55" t="str">
        <f t="shared" ca="1" si="8"/>
        <v/>
      </c>
      <c r="L69" s="55" t="str">
        <f t="shared" ca="1" si="8"/>
        <v/>
      </c>
      <c r="M69" s="55" t="str">
        <f t="shared" ca="1" si="8"/>
        <v/>
      </c>
      <c r="N69" s="55" t="str">
        <f t="shared" ca="1" si="8"/>
        <v/>
      </c>
      <c r="O69" s="55" t="str">
        <f t="shared" ca="1" si="9"/>
        <v/>
      </c>
      <c r="P69" s="56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49" t="str">
        <f>IFERROR(IF(Datos!$A70="","",Idiomas!$A$12&amp;" "&amp;ROW()-1),"")</f>
        <v/>
      </c>
      <c r="B70" s="50">
        <f>IFERROR(MATCH(Datos!$A70,Configura!$B$9:$B$18,0),0)</f>
        <v>0</v>
      </c>
      <c r="C70" s="50">
        <f>IFERROR(MATCH(Datos!$B70,Configura!$D$9:$D$11,0),0)</f>
        <v>0</v>
      </c>
      <c r="D70" s="50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1" t="str">
        <f t="shared" ca="1" si="8"/>
        <v/>
      </c>
      <c r="F70" s="51" t="str">
        <f t="shared" ca="1" si="8"/>
        <v/>
      </c>
      <c r="G70" s="51" t="str">
        <f t="shared" ca="1" si="8"/>
        <v/>
      </c>
      <c r="H70" s="51" t="str">
        <f t="shared" ca="1" si="8"/>
        <v/>
      </c>
      <c r="I70" s="51" t="str">
        <f t="shared" ca="1" si="8"/>
        <v/>
      </c>
      <c r="J70" s="51" t="str">
        <f t="shared" ca="1" si="8"/>
        <v/>
      </c>
      <c r="K70" s="51" t="str">
        <f t="shared" ca="1" si="8"/>
        <v/>
      </c>
      <c r="L70" s="51" t="str">
        <f t="shared" ca="1" si="8"/>
        <v/>
      </c>
      <c r="M70" s="51" t="str">
        <f t="shared" ca="1" si="8"/>
        <v/>
      </c>
      <c r="N70" s="51" t="str">
        <f t="shared" ca="1" si="8"/>
        <v/>
      </c>
      <c r="O70" s="51" t="str">
        <f t="shared" ca="1" si="9"/>
        <v/>
      </c>
      <c r="P70" s="52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3" t="str">
        <f>IFERROR(IF(Datos!$A71="","",Idiomas!$A$12&amp;" "&amp;ROW()-1),"")</f>
        <v/>
      </c>
      <c r="B71" s="54">
        <f>IFERROR(MATCH(Datos!$A71,Configura!$B$9:$B$18,0),0)</f>
        <v>0</v>
      </c>
      <c r="C71" s="54">
        <f>IFERROR(MATCH(Datos!$B71,Configura!$D$9:$D$11,0),0)</f>
        <v>0</v>
      </c>
      <c r="D71" s="54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5" t="str">
        <f t="shared" ca="1" si="8"/>
        <v/>
      </c>
      <c r="F71" s="55" t="str">
        <f t="shared" ca="1" si="8"/>
        <v/>
      </c>
      <c r="G71" s="55" t="str">
        <f t="shared" ca="1" si="8"/>
        <v/>
      </c>
      <c r="H71" s="55" t="str">
        <f t="shared" ca="1" si="8"/>
        <v/>
      </c>
      <c r="I71" s="55" t="str">
        <f t="shared" ca="1" si="8"/>
        <v/>
      </c>
      <c r="J71" s="55" t="str">
        <f t="shared" ca="1" si="8"/>
        <v/>
      </c>
      <c r="K71" s="55" t="str">
        <f t="shared" ca="1" si="8"/>
        <v/>
      </c>
      <c r="L71" s="55" t="str">
        <f t="shared" ca="1" si="8"/>
        <v/>
      </c>
      <c r="M71" s="55" t="str">
        <f t="shared" ca="1" si="8"/>
        <v/>
      </c>
      <c r="N71" s="55" t="str">
        <f t="shared" ca="1" si="8"/>
        <v/>
      </c>
      <c r="O71" s="55" t="str">
        <f t="shared" ca="1" si="9"/>
        <v/>
      </c>
      <c r="P71" s="56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49" t="str">
        <f>IFERROR(IF(Datos!$A72="","",Idiomas!$A$12&amp;" "&amp;ROW()-1),"")</f>
        <v/>
      </c>
      <c r="B72" s="50">
        <f>IFERROR(MATCH(Datos!$A72,Configura!$B$9:$B$18,0),0)</f>
        <v>0</v>
      </c>
      <c r="C72" s="50">
        <f>IFERROR(MATCH(Datos!$B72,Configura!$D$9:$D$11,0),0)</f>
        <v>0</v>
      </c>
      <c r="D72" s="50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1" t="str">
        <f t="shared" ref="E72:N81" ca="1" si="10">IFERROR(E$1&amp;"-"&amp;MATCH($A72&amp;":",INDIRECT("KANBAN!"&amp;E$1&amp;":"&amp;E$1),0),"")</f>
        <v/>
      </c>
      <c r="F72" s="51" t="str">
        <f t="shared" ca="1" si="10"/>
        <v/>
      </c>
      <c r="G72" s="51" t="str">
        <f t="shared" ca="1" si="10"/>
        <v/>
      </c>
      <c r="H72" s="51" t="str">
        <f t="shared" ca="1" si="10"/>
        <v/>
      </c>
      <c r="I72" s="51" t="str">
        <f t="shared" ca="1" si="10"/>
        <v/>
      </c>
      <c r="J72" s="51" t="str">
        <f t="shared" ca="1" si="10"/>
        <v/>
      </c>
      <c r="K72" s="51" t="str">
        <f t="shared" ca="1" si="10"/>
        <v/>
      </c>
      <c r="L72" s="51" t="str">
        <f t="shared" ca="1" si="10"/>
        <v/>
      </c>
      <c r="M72" s="51" t="str">
        <f t="shared" ca="1" si="10"/>
        <v/>
      </c>
      <c r="N72" s="51" t="str">
        <f t="shared" ca="1" si="10"/>
        <v/>
      </c>
      <c r="O72" s="51" t="str">
        <f t="shared" ca="1" si="9"/>
        <v/>
      </c>
      <c r="P72" s="52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3" t="str">
        <f>IFERROR(IF(Datos!$A73="","",Idiomas!$A$12&amp;" "&amp;ROW()-1),"")</f>
        <v/>
      </c>
      <c r="B73" s="54">
        <f>IFERROR(MATCH(Datos!$A73,Configura!$B$9:$B$18,0),0)</f>
        <v>0</v>
      </c>
      <c r="C73" s="54">
        <f>IFERROR(MATCH(Datos!$B73,Configura!$D$9:$D$11,0),0)</f>
        <v>0</v>
      </c>
      <c r="D73" s="54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5" t="str">
        <f t="shared" ca="1" si="10"/>
        <v/>
      </c>
      <c r="F73" s="55" t="str">
        <f t="shared" ca="1" si="10"/>
        <v/>
      </c>
      <c r="G73" s="55" t="str">
        <f t="shared" ca="1" si="10"/>
        <v/>
      </c>
      <c r="H73" s="55" t="str">
        <f t="shared" ca="1" si="10"/>
        <v/>
      </c>
      <c r="I73" s="55" t="str">
        <f t="shared" ca="1" si="10"/>
        <v/>
      </c>
      <c r="J73" s="55" t="str">
        <f t="shared" ca="1" si="10"/>
        <v/>
      </c>
      <c r="K73" s="55" t="str">
        <f t="shared" ca="1" si="10"/>
        <v/>
      </c>
      <c r="L73" s="55" t="str">
        <f t="shared" ca="1" si="10"/>
        <v/>
      </c>
      <c r="M73" s="55" t="str">
        <f t="shared" ca="1" si="10"/>
        <v/>
      </c>
      <c r="N73" s="55" t="str">
        <f t="shared" ca="1" si="10"/>
        <v/>
      </c>
      <c r="O73" s="55" t="str">
        <f t="shared" ca="1" si="9"/>
        <v/>
      </c>
      <c r="P73" s="56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49" t="str">
        <f>IFERROR(IF(Datos!$A74="","",Idiomas!$A$12&amp;" "&amp;ROW()-1),"")</f>
        <v/>
      </c>
      <c r="B74" s="50">
        <f>IFERROR(MATCH(Datos!$A74,Configura!$B$9:$B$18,0),0)</f>
        <v>0</v>
      </c>
      <c r="C74" s="50">
        <f>IFERROR(MATCH(Datos!$B74,Configura!$D$9:$D$11,0),0)</f>
        <v>0</v>
      </c>
      <c r="D74" s="50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1" t="str">
        <f t="shared" ca="1" si="10"/>
        <v/>
      </c>
      <c r="F74" s="51" t="str">
        <f t="shared" ca="1" si="10"/>
        <v/>
      </c>
      <c r="G74" s="51" t="str">
        <f t="shared" ca="1" si="10"/>
        <v/>
      </c>
      <c r="H74" s="51" t="str">
        <f t="shared" ca="1" si="10"/>
        <v/>
      </c>
      <c r="I74" s="51" t="str">
        <f t="shared" ca="1" si="10"/>
        <v/>
      </c>
      <c r="J74" s="51" t="str">
        <f t="shared" ca="1" si="10"/>
        <v/>
      </c>
      <c r="K74" s="51" t="str">
        <f t="shared" ca="1" si="10"/>
        <v/>
      </c>
      <c r="L74" s="51" t="str">
        <f t="shared" ca="1" si="10"/>
        <v/>
      </c>
      <c r="M74" s="51" t="str">
        <f t="shared" ca="1" si="10"/>
        <v/>
      </c>
      <c r="N74" s="51" t="str">
        <f t="shared" ca="1" si="10"/>
        <v/>
      </c>
      <c r="O74" s="51" t="str">
        <f t="shared" ca="1" si="9"/>
        <v/>
      </c>
      <c r="P74" s="52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3" t="str">
        <f>IFERROR(IF(Datos!$A75="","",Idiomas!$A$12&amp;" "&amp;ROW()-1),"")</f>
        <v/>
      </c>
      <c r="B75" s="54">
        <f>IFERROR(MATCH(Datos!$A75,Configura!$B$9:$B$18,0),0)</f>
        <v>0</v>
      </c>
      <c r="C75" s="54">
        <f>IFERROR(MATCH(Datos!$B75,Configura!$D$9:$D$11,0),0)</f>
        <v>0</v>
      </c>
      <c r="D75" s="54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5" t="str">
        <f t="shared" ca="1" si="10"/>
        <v/>
      </c>
      <c r="F75" s="55" t="str">
        <f t="shared" ca="1" si="10"/>
        <v/>
      </c>
      <c r="G75" s="55" t="str">
        <f t="shared" ca="1" si="10"/>
        <v/>
      </c>
      <c r="H75" s="55" t="str">
        <f t="shared" ca="1" si="10"/>
        <v/>
      </c>
      <c r="I75" s="55" t="str">
        <f t="shared" ca="1" si="10"/>
        <v/>
      </c>
      <c r="J75" s="55" t="str">
        <f t="shared" ca="1" si="10"/>
        <v/>
      </c>
      <c r="K75" s="55" t="str">
        <f t="shared" ca="1" si="10"/>
        <v/>
      </c>
      <c r="L75" s="55" t="str">
        <f t="shared" ca="1" si="10"/>
        <v/>
      </c>
      <c r="M75" s="55" t="str">
        <f t="shared" ca="1" si="10"/>
        <v/>
      </c>
      <c r="N75" s="55" t="str">
        <f t="shared" ca="1" si="10"/>
        <v/>
      </c>
      <c r="O75" s="55" t="str">
        <f t="shared" ca="1" si="9"/>
        <v/>
      </c>
      <c r="P75" s="56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49" t="str">
        <f>IFERROR(IF(Datos!$A76="","",Idiomas!$A$12&amp;" "&amp;ROW()-1),"")</f>
        <v/>
      </c>
      <c r="B76" s="50">
        <f>IFERROR(MATCH(Datos!$A76,Configura!$B$9:$B$18,0),0)</f>
        <v>0</v>
      </c>
      <c r="C76" s="50">
        <f>IFERROR(MATCH(Datos!$B76,Configura!$D$9:$D$11,0),0)</f>
        <v>0</v>
      </c>
      <c r="D76" s="50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1" t="str">
        <f t="shared" ca="1" si="10"/>
        <v/>
      </c>
      <c r="F76" s="51" t="str">
        <f t="shared" ca="1" si="10"/>
        <v/>
      </c>
      <c r="G76" s="51" t="str">
        <f t="shared" ca="1" si="10"/>
        <v/>
      </c>
      <c r="H76" s="51" t="str">
        <f t="shared" ca="1" si="10"/>
        <v/>
      </c>
      <c r="I76" s="51" t="str">
        <f t="shared" ca="1" si="10"/>
        <v/>
      </c>
      <c r="J76" s="51" t="str">
        <f t="shared" ca="1" si="10"/>
        <v/>
      </c>
      <c r="K76" s="51" t="str">
        <f t="shared" ca="1" si="10"/>
        <v/>
      </c>
      <c r="L76" s="51" t="str">
        <f t="shared" ca="1" si="10"/>
        <v/>
      </c>
      <c r="M76" s="51" t="str">
        <f t="shared" ca="1" si="10"/>
        <v/>
      </c>
      <c r="N76" s="51" t="str">
        <f t="shared" ca="1" si="10"/>
        <v/>
      </c>
      <c r="O76" s="51" t="str">
        <f t="shared" ca="1" si="9"/>
        <v/>
      </c>
      <c r="P76" s="52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3" t="str">
        <f>IFERROR(IF(Datos!$A77="","",Idiomas!$A$12&amp;" "&amp;ROW()-1),"")</f>
        <v/>
      </c>
      <c r="B77" s="54">
        <f>IFERROR(MATCH(Datos!$A77,Configura!$B$9:$B$18,0),0)</f>
        <v>0</v>
      </c>
      <c r="C77" s="54">
        <f>IFERROR(MATCH(Datos!$B77,Configura!$D$9:$D$11,0),0)</f>
        <v>0</v>
      </c>
      <c r="D77" s="54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5" t="str">
        <f t="shared" ca="1" si="10"/>
        <v/>
      </c>
      <c r="F77" s="55" t="str">
        <f t="shared" ca="1" si="10"/>
        <v/>
      </c>
      <c r="G77" s="55" t="str">
        <f t="shared" ca="1" si="10"/>
        <v/>
      </c>
      <c r="H77" s="55" t="str">
        <f t="shared" ca="1" si="10"/>
        <v/>
      </c>
      <c r="I77" s="55" t="str">
        <f t="shared" ca="1" si="10"/>
        <v/>
      </c>
      <c r="J77" s="55" t="str">
        <f t="shared" ca="1" si="10"/>
        <v/>
      </c>
      <c r="K77" s="55" t="str">
        <f t="shared" ca="1" si="10"/>
        <v/>
      </c>
      <c r="L77" s="55" t="str">
        <f t="shared" ca="1" si="10"/>
        <v/>
      </c>
      <c r="M77" s="55" t="str">
        <f t="shared" ca="1" si="10"/>
        <v/>
      </c>
      <c r="N77" s="55" t="str">
        <f t="shared" ca="1" si="10"/>
        <v/>
      </c>
      <c r="O77" s="55" t="str">
        <f t="shared" ca="1" si="9"/>
        <v/>
      </c>
      <c r="P77" s="56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49" t="str">
        <f>IFERROR(IF(Datos!$A78="","",Idiomas!$A$12&amp;" "&amp;ROW()-1),"")</f>
        <v/>
      </c>
      <c r="B78" s="50">
        <f>IFERROR(MATCH(Datos!$A78,Configura!$B$9:$B$18,0),0)</f>
        <v>0</v>
      </c>
      <c r="C78" s="50">
        <f>IFERROR(MATCH(Datos!$B78,Configura!$D$9:$D$11,0),0)</f>
        <v>0</v>
      </c>
      <c r="D78" s="50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1" t="str">
        <f t="shared" ca="1" si="10"/>
        <v/>
      </c>
      <c r="F78" s="51" t="str">
        <f t="shared" ca="1" si="10"/>
        <v/>
      </c>
      <c r="G78" s="51" t="str">
        <f t="shared" ca="1" si="10"/>
        <v/>
      </c>
      <c r="H78" s="51" t="str">
        <f t="shared" ca="1" si="10"/>
        <v/>
      </c>
      <c r="I78" s="51" t="str">
        <f t="shared" ca="1" si="10"/>
        <v/>
      </c>
      <c r="J78" s="51" t="str">
        <f t="shared" ca="1" si="10"/>
        <v/>
      </c>
      <c r="K78" s="51" t="str">
        <f t="shared" ca="1" si="10"/>
        <v/>
      </c>
      <c r="L78" s="51" t="str">
        <f t="shared" ca="1" si="10"/>
        <v/>
      </c>
      <c r="M78" s="51" t="str">
        <f t="shared" ca="1" si="10"/>
        <v/>
      </c>
      <c r="N78" s="51" t="str">
        <f t="shared" ca="1" si="10"/>
        <v/>
      </c>
      <c r="O78" s="51" t="str">
        <f t="shared" ca="1" si="9"/>
        <v/>
      </c>
      <c r="P78" s="52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3" t="str">
        <f>IFERROR(IF(Datos!$A79="","",Idiomas!$A$12&amp;" "&amp;ROW()-1),"")</f>
        <v/>
      </c>
      <c r="B79" s="54">
        <f>IFERROR(MATCH(Datos!$A79,Configura!$B$9:$B$18,0),0)</f>
        <v>0</v>
      </c>
      <c r="C79" s="54">
        <f>IFERROR(MATCH(Datos!$B79,Configura!$D$9:$D$11,0),0)</f>
        <v>0</v>
      </c>
      <c r="D79" s="54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5" t="str">
        <f t="shared" ca="1" si="10"/>
        <v/>
      </c>
      <c r="F79" s="55" t="str">
        <f t="shared" ca="1" si="10"/>
        <v/>
      </c>
      <c r="G79" s="55" t="str">
        <f t="shared" ca="1" si="10"/>
        <v/>
      </c>
      <c r="H79" s="55" t="str">
        <f t="shared" ca="1" si="10"/>
        <v/>
      </c>
      <c r="I79" s="55" t="str">
        <f t="shared" ca="1" si="10"/>
        <v/>
      </c>
      <c r="J79" s="55" t="str">
        <f t="shared" ca="1" si="10"/>
        <v/>
      </c>
      <c r="K79" s="55" t="str">
        <f t="shared" ca="1" si="10"/>
        <v/>
      </c>
      <c r="L79" s="55" t="str">
        <f t="shared" ca="1" si="10"/>
        <v/>
      </c>
      <c r="M79" s="55" t="str">
        <f t="shared" ca="1" si="10"/>
        <v/>
      </c>
      <c r="N79" s="55" t="str">
        <f t="shared" ca="1" si="10"/>
        <v/>
      </c>
      <c r="O79" s="55" t="str">
        <f t="shared" ca="1" si="9"/>
        <v/>
      </c>
      <c r="P79" s="56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49" t="str">
        <f>IFERROR(IF(Datos!$A80="","",Idiomas!$A$12&amp;" "&amp;ROW()-1),"")</f>
        <v/>
      </c>
      <c r="B80" s="50">
        <f>IFERROR(MATCH(Datos!$A80,Configura!$B$9:$B$18,0),0)</f>
        <v>0</v>
      </c>
      <c r="C80" s="50">
        <f>IFERROR(MATCH(Datos!$B80,Configura!$D$9:$D$11,0),0)</f>
        <v>0</v>
      </c>
      <c r="D80" s="50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1" t="str">
        <f t="shared" ca="1" si="10"/>
        <v/>
      </c>
      <c r="F80" s="51" t="str">
        <f t="shared" ca="1" si="10"/>
        <v/>
      </c>
      <c r="G80" s="51" t="str">
        <f t="shared" ca="1" si="10"/>
        <v/>
      </c>
      <c r="H80" s="51" t="str">
        <f t="shared" ca="1" si="10"/>
        <v/>
      </c>
      <c r="I80" s="51" t="str">
        <f t="shared" ca="1" si="10"/>
        <v/>
      </c>
      <c r="J80" s="51" t="str">
        <f t="shared" ca="1" si="10"/>
        <v/>
      </c>
      <c r="K80" s="51" t="str">
        <f t="shared" ca="1" si="10"/>
        <v/>
      </c>
      <c r="L80" s="51" t="str">
        <f t="shared" ca="1" si="10"/>
        <v/>
      </c>
      <c r="M80" s="51" t="str">
        <f t="shared" ca="1" si="10"/>
        <v/>
      </c>
      <c r="N80" s="51" t="str">
        <f t="shared" ca="1" si="10"/>
        <v/>
      </c>
      <c r="O80" s="51" t="str">
        <f t="shared" ca="1" si="9"/>
        <v/>
      </c>
      <c r="P80" s="52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3" t="str">
        <f>IFERROR(IF(Datos!$A81="","",Idiomas!$A$12&amp;" "&amp;ROW()-1),"")</f>
        <v/>
      </c>
      <c r="B81" s="54">
        <f>IFERROR(MATCH(Datos!$A81,Configura!$B$9:$B$18,0),0)</f>
        <v>0</v>
      </c>
      <c r="C81" s="54">
        <f>IFERROR(MATCH(Datos!$B81,Configura!$D$9:$D$11,0),0)</f>
        <v>0</v>
      </c>
      <c r="D81" s="54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5" t="str">
        <f t="shared" ca="1" si="10"/>
        <v/>
      </c>
      <c r="F81" s="55" t="str">
        <f t="shared" ca="1" si="10"/>
        <v/>
      </c>
      <c r="G81" s="55" t="str">
        <f t="shared" ca="1" si="10"/>
        <v/>
      </c>
      <c r="H81" s="55" t="str">
        <f t="shared" ca="1" si="10"/>
        <v/>
      </c>
      <c r="I81" s="55" t="str">
        <f t="shared" ca="1" si="10"/>
        <v/>
      </c>
      <c r="J81" s="55" t="str">
        <f t="shared" ca="1" si="10"/>
        <v/>
      </c>
      <c r="K81" s="55" t="str">
        <f t="shared" ca="1" si="10"/>
        <v/>
      </c>
      <c r="L81" s="55" t="str">
        <f t="shared" ca="1" si="10"/>
        <v/>
      </c>
      <c r="M81" s="55" t="str">
        <f t="shared" ca="1" si="10"/>
        <v/>
      </c>
      <c r="N81" s="55" t="str">
        <f t="shared" ca="1" si="10"/>
        <v/>
      </c>
      <c r="O81" s="55" t="str">
        <f t="shared" ca="1" si="9"/>
        <v/>
      </c>
      <c r="P81" s="56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49" t="str">
        <f>IFERROR(IF(Datos!$A82="","",Idiomas!$A$12&amp;" "&amp;ROW()-1),"")</f>
        <v/>
      </c>
      <c r="B82" s="50">
        <f>IFERROR(MATCH(Datos!$A82,Configura!$B$9:$B$18,0),0)</f>
        <v>0</v>
      </c>
      <c r="C82" s="50">
        <f>IFERROR(MATCH(Datos!$B82,Configura!$D$9:$D$11,0),0)</f>
        <v>0</v>
      </c>
      <c r="D82" s="50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1" t="str">
        <f t="shared" ref="E82:N91" ca="1" si="11">IFERROR(E$1&amp;"-"&amp;MATCH($A82&amp;":",INDIRECT("KANBAN!"&amp;E$1&amp;":"&amp;E$1),0),"")</f>
        <v/>
      </c>
      <c r="F82" s="51" t="str">
        <f t="shared" ca="1" si="11"/>
        <v/>
      </c>
      <c r="G82" s="51" t="str">
        <f t="shared" ca="1" si="11"/>
        <v/>
      </c>
      <c r="H82" s="51" t="str">
        <f t="shared" ca="1" si="11"/>
        <v/>
      </c>
      <c r="I82" s="51" t="str">
        <f t="shared" ca="1" si="11"/>
        <v/>
      </c>
      <c r="J82" s="51" t="str">
        <f t="shared" ca="1" si="11"/>
        <v/>
      </c>
      <c r="K82" s="51" t="str">
        <f t="shared" ca="1" si="11"/>
        <v/>
      </c>
      <c r="L82" s="51" t="str">
        <f t="shared" ca="1" si="11"/>
        <v/>
      </c>
      <c r="M82" s="51" t="str">
        <f t="shared" ca="1" si="11"/>
        <v/>
      </c>
      <c r="N82" s="51" t="str">
        <f t="shared" ca="1" si="11"/>
        <v/>
      </c>
      <c r="O82" s="51" t="str">
        <f t="shared" ca="1" si="9"/>
        <v/>
      </c>
      <c r="P82" s="52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3" t="str">
        <f>IFERROR(IF(Datos!$A83="","",Idiomas!$A$12&amp;" "&amp;ROW()-1),"")</f>
        <v/>
      </c>
      <c r="B83" s="54">
        <f>IFERROR(MATCH(Datos!$A83,Configura!$B$9:$B$18,0),0)</f>
        <v>0</v>
      </c>
      <c r="C83" s="54">
        <f>IFERROR(MATCH(Datos!$B83,Configura!$D$9:$D$11,0),0)</f>
        <v>0</v>
      </c>
      <c r="D83" s="54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5" t="str">
        <f t="shared" ca="1" si="11"/>
        <v/>
      </c>
      <c r="F83" s="55" t="str">
        <f t="shared" ca="1" si="11"/>
        <v/>
      </c>
      <c r="G83" s="55" t="str">
        <f t="shared" ca="1" si="11"/>
        <v/>
      </c>
      <c r="H83" s="55" t="str">
        <f t="shared" ca="1" si="11"/>
        <v/>
      </c>
      <c r="I83" s="55" t="str">
        <f t="shared" ca="1" si="11"/>
        <v/>
      </c>
      <c r="J83" s="55" t="str">
        <f t="shared" ca="1" si="11"/>
        <v/>
      </c>
      <c r="K83" s="55" t="str">
        <f t="shared" ca="1" si="11"/>
        <v/>
      </c>
      <c r="L83" s="55" t="str">
        <f t="shared" ca="1" si="11"/>
        <v/>
      </c>
      <c r="M83" s="55" t="str">
        <f t="shared" ca="1" si="11"/>
        <v/>
      </c>
      <c r="N83" s="55" t="str">
        <f t="shared" ca="1" si="11"/>
        <v/>
      </c>
      <c r="O83" s="55" t="str">
        <f t="shared" ca="1" si="9"/>
        <v/>
      </c>
      <c r="P83" s="56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49" t="str">
        <f>IFERROR(IF(Datos!$A84="","",Idiomas!$A$12&amp;" "&amp;ROW()-1),"")</f>
        <v/>
      </c>
      <c r="B84" s="50">
        <f>IFERROR(MATCH(Datos!$A84,Configura!$B$9:$B$18,0),0)</f>
        <v>0</v>
      </c>
      <c r="C84" s="50">
        <f>IFERROR(MATCH(Datos!$B84,Configura!$D$9:$D$11,0),0)</f>
        <v>0</v>
      </c>
      <c r="D84" s="50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1" t="str">
        <f t="shared" ca="1" si="11"/>
        <v/>
      </c>
      <c r="F84" s="51" t="str">
        <f t="shared" ca="1" si="11"/>
        <v/>
      </c>
      <c r="G84" s="51" t="str">
        <f t="shared" ca="1" si="11"/>
        <v/>
      </c>
      <c r="H84" s="51" t="str">
        <f t="shared" ca="1" si="11"/>
        <v/>
      </c>
      <c r="I84" s="51" t="str">
        <f t="shared" ca="1" si="11"/>
        <v/>
      </c>
      <c r="J84" s="51" t="str">
        <f t="shared" ca="1" si="11"/>
        <v/>
      </c>
      <c r="K84" s="51" t="str">
        <f t="shared" ca="1" si="11"/>
        <v/>
      </c>
      <c r="L84" s="51" t="str">
        <f t="shared" ca="1" si="11"/>
        <v/>
      </c>
      <c r="M84" s="51" t="str">
        <f t="shared" ca="1" si="11"/>
        <v/>
      </c>
      <c r="N84" s="51" t="str">
        <f t="shared" ca="1" si="11"/>
        <v/>
      </c>
      <c r="O84" s="51" t="str">
        <f t="shared" ca="1" si="9"/>
        <v/>
      </c>
      <c r="P84" s="52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3" t="str">
        <f>IFERROR(IF(Datos!$A85="","",Idiomas!$A$12&amp;" "&amp;ROW()-1),"")</f>
        <v>Tarea 84</v>
      </c>
      <c r="B85" s="54">
        <f>IFERROR(MATCH(Datos!$A85,Configura!$B$9:$B$18,0),0)</f>
        <v>4</v>
      </c>
      <c r="C85" s="54">
        <f>IFERROR(MATCH(Datos!$B85,Configura!$D$9:$D$11,0),0)</f>
        <v>3</v>
      </c>
      <c r="D85" s="54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5" t="str">
        <f t="shared" ca="1" si="11"/>
        <v/>
      </c>
      <c r="F85" s="55" t="str">
        <f t="shared" ca="1" si="11"/>
        <v/>
      </c>
      <c r="G85" s="55" t="str">
        <f t="shared" ca="1" si="11"/>
        <v/>
      </c>
      <c r="H85" s="55" t="str">
        <f t="shared" ca="1" si="11"/>
        <v>R-6</v>
      </c>
      <c r="I85" s="55" t="str">
        <f t="shared" ca="1" si="11"/>
        <v/>
      </c>
      <c r="J85" s="55" t="str">
        <f t="shared" ca="1" si="11"/>
        <v/>
      </c>
      <c r="K85" s="55" t="str">
        <f t="shared" ca="1" si="11"/>
        <v/>
      </c>
      <c r="L85" s="55" t="str">
        <f t="shared" ca="1" si="11"/>
        <v/>
      </c>
      <c r="M85" s="55" t="str">
        <f t="shared" ca="1" si="11"/>
        <v/>
      </c>
      <c r="N85" s="55" t="str">
        <f t="shared" ca="1" si="11"/>
        <v/>
      </c>
      <c r="O85" s="55" t="str">
        <f t="shared" ca="1" si="9"/>
        <v>R-6</v>
      </c>
      <c r="P85" s="56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49" t="str">
        <f>IFERROR(IF(Datos!$A86="","",Idiomas!$A$12&amp;" "&amp;ROW()-1),"")</f>
        <v/>
      </c>
      <c r="B86" s="50">
        <f>IFERROR(MATCH(Datos!$A86,Configura!$B$9:$B$18,0),0)</f>
        <v>0</v>
      </c>
      <c r="C86" s="50">
        <f>IFERROR(MATCH(Datos!$B86,Configura!$D$9:$D$11,0),0)</f>
        <v>0</v>
      </c>
      <c r="D86" s="50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1" t="str">
        <f t="shared" ca="1" si="11"/>
        <v/>
      </c>
      <c r="F86" s="51" t="str">
        <f t="shared" ca="1" si="11"/>
        <v/>
      </c>
      <c r="G86" s="51" t="str">
        <f t="shared" ca="1" si="11"/>
        <v/>
      </c>
      <c r="H86" s="51" t="str">
        <f t="shared" ca="1" si="11"/>
        <v/>
      </c>
      <c r="I86" s="51" t="str">
        <f t="shared" ca="1" si="11"/>
        <v/>
      </c>
      <c r="J86" s="51" t="str">
        <f t="shared" ca="1" si="11"/>
        <v/>
      </c>
      <c r="K86" s="51" t="str">
        <f t="shared" ca="1" si="11"/>
        <v/>
      </c>
      <c r="L86" s="51" t="str">
        <f t="shared" ca="1" si="11"/>
        <v/>
      </c>
      <c r="M86" s="51" t="str">
        <f t="shared" ca="1" si="11"/>
        <v/>
      </c>
      <c r="N86" s="51" t="str">
        <f t="shared" ca="1" si="11"/>
        <v/>
      </c>
      <c r="O86" s="51" t="str">
        <f t="shared" ca="1" si="9"/>
        <v/>
      </c>
      <c r="P86" s="52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3" t="str">
        <f>IFERROR(IF(Datos!$A87="","",Idiomas!$A$12&amp;" "&amp;ROW()-1),"")</f>
        <v/>
      </c>
      <c r="B87" s="54">
        <f>IFERROR(MATCH(Datos!$A87,Configura!$B$9:$B$18,0),0)</f>
        <v>0</v>
      </c>
      <c r="C87" s="54">
        <f>IFERROR(MATCH(Datos!$B87,Configura!$D$9:$D$11,0),0)</f>
        <v>0</v>
      </c>
      <c r="D87" s="54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5" t="str">
        <f t="shared" ca="1" si="11"/>
        <v/>
      </c>
      <c r="F87" s="55" t="str">
        <f t="shared" ca="1" si="11"/>
        <v/>
      </c>
      <c r="G87" s="55" t="str">
        <f t="shared" ca="1" si="11"/>
        <v/>
      </c>
      <c r="H87" s="55" t="str">
        <f t="shared" ca="1" si="11"/>
        <v/>
      </c>
      <c r="I87" s="55" t="str">
        <f t="shared" ca="1" si="11"/>
        <v/>
      </c>
      <c r="J87" s="55" t="str">
        <f t="shared" ca="1" si="11"/>
        <v/>
      </c>
      <c r="K87" s="55" t="str">
        <f t="shared" ca="1" si="11"/>
        <v/>
      </c>
      <c r="L87" s="55" t="str">
        <f t="shared" ca="1" si="11"/>
        <v/>
      </c>
      <c r="M87" s="55" t="str">
        <f t="shared" ca="1" si="11"/>
        <v/>
      </c>
      <c r="N87" s="55" t="str">
        <f t="shared" ca="1" si="11"/>
        <v/>
      </c>
      <c r="O87" s="55" t="str">
        <f t="shared" ca="1" si="9"/>
        <v/>
      </c>
      <c r="P87" s="56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49" t="str">
        <f>IFERROR(IF(Datos!$A88="","",Idiomas!$A$12&amp;" "&amp;ROW()-1),"")</f>
        <v/>
      </c>
      <c r="B88" s="50">
        <f>IFERROR(MATCH(Datos!$A88,Configura!$B$9:$B$18,0),0)</f>
        <v>0</v>
      </c>
      <c r="C88" s="50">
        <f>IFERROR(MATCH(Datos!$B88,Configura!$D$9:$D$11,0),0)</f>
        <v>0</v>
      </c>
      <c r="D88" s="50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1" t="str">
        <f t="shared" ca="1" si="11"/>
        <v/>
      </c>
      <c r="F88" s="51" t="str">
        <f t="shared" ca="1" si="11"/>
        <v/>
      </c>
      <c r="G88" s="51" t="str">
        <f t="shared" ca="1" si="11"/>
        <v/>
      </c>
      <c r="H88" s="51" t="str">
        <f t="shared" ca="1" si="11"/>
        <v/>
      </c>
      <c r="I88" s="51" t="str">
        <f t="shared" ca="1" si="11"/>
        <v/>
      </c>
      <c r="J88" s="51" t="str">
        <f t="shared" ca="1" si="11"/>
        <v/>
      </c>
      <c r="K88" s="51" t="str">
        <f t="shared" ca="1" si="11"/>
        <v/>
      </c>
      <c r="L88" s="51" t="str">
        <f t="shared" ca="1" si="11"/>
        <v/>
      </c>
      <c r="M88" s="51" t="str">
        <f t="shared" ca="1" si="11"/>
        <v/>
      </c>
      <c r="N88" s="51" t="str">
        <f t="shared" ca="1" si="11"/>
        <v/>
      </c>
      <c r="O88" s="51" t="str">
        <f t="shared" ca="1" si="9"/>
        <v/>
      </c>
      <c r="P88" s="52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3" t="str">
        <f>IFERROR(IF(Datos!$A89="","",Idiomas!$A$12&amp;" "&amp;ROW()-1),"")</f>
        <v/>
      </c>
      <c r="B89" s="54">
        <f>IFERROR(MATCH(Datos!$A89,Configura!$B$9:$B$18,0),0)</f>
        <v>0</v>
      </c>
      <c r="C89" s="54">
        <f>IFERROR(MATCH(Datos!$B89,Configura!$D$9:$D$11,0),0)</f>
        <v>0</v>
      </c>
      <c r="D89" s="54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5" t="str">
        <f t="shared" ca="1" si="11"/>
        <v/>
      </c>
      <c r="F89" s="55" t="str">
        <f t="shared" ca="1" si="11"/>
        <v/>
      </c>
      <c r="G89" s="55" t="str">
        <f t="shared" ca="1" si="11"/>
        <v/>
      </c>
      <c r="H89" s="55" t="str">
        <f t="shared" ca="1" si="11"/>
        <v/>
      </c>
      <c r="I89" s="55" t="str">
        <f t="shared" ca="1" si="11"/>
        <v/>
      </c>
      <c r="J89" s="55" t="str">
        <f t="shared" ca="1" si="11"/>
        <v/>
      </c>
      <c r="K89" s="55" t="str">
        <f t="shared" ca="1" si="11"/>
        <v/>
      </c>
      <c r="L89" s="55" t="str">
        <f t="shared" ca="1" si="11"/>
        <v/>
      </c>
      <c r="M89" s="55" t="str">
        <f t="shared" ca="1" si="11"/>
        <v/>
      </c>
      <c r="N89" s="55" t="str">
        <f t="shared" ca="1" si="11"/>
        <v/>
      </c>
      <c r="O89" s="55" t="str">
        <f t="shared" ca="1" si="9"/>
        <v/>
      </c>
      <c r="P89" s="56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49" t="str">
        <f>IFERROR(IF(Datos!$A90="","",Idiomas!$A$12&amp;" "&amp;ROW()-1),"")</f>
        <v/>
      </c>
      <c r="B90" s="50">
        <f>IFERROR(MATCH(Datos!$A90,Configura!$B$9:$B$18,0),0)</f>
        <v>0</v>
      </c>
      <c r="C90" s="50">
        <f>IFERROR(MATCH(Datos!$B90,Configura!$D$9:$D$11,0),0)</f>
        <v>0</v>
      </c>
      <c r="D90" s="50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1" t="str">
        <f t="shared" ca="1" si="11"/>
        <v/>
      </c>
      <c r="F90" s="51" t="str">
        <f t="shared" ca="1" si="11"/>
        <v/>
      </c>
      <c r="G90" s="51" t="str">
        <f t="shared" ca="1" si="11"/>
        <v/>
      </c>
      <c r="H90" s="51" t="str">
        <f t="shared" ca="1" si="11"/>
        <v/>
      </c>
      <c r="I90" s="51" t="str">
        <f t="shared" ca="1" si="11"/>
        <v/>
      </c>
      <c r="J90" s="51" t="str">
        <f t="shared" ca="1" si="11"/>
        <v/>
      </c>
      <c r="K90" s="51" t="str">
        <f t="shared" ca="1" si="11"/>
        <v/>
      </c>
      <c r="L90" s="51" t="str">
        <f t="shared" ca="1" si="11"/>
        <v/>
      </c>
      <c r="M90" s="51" t="str">
        <f t="shared" ca="1" si="11"/>
        <v/>
      </c>
      <c r="N90" s="51" t="str">
        <f t="shared" ca="1" si="11"/>
        <v/>
      </c>
      <c r="O90" s="51" t="str">
        <f t="shared" ca="1" si="9"/>
        <v/>
      </c>
      <c r="P90" s="52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3" t="str">
        <f>IFERROR(IF(Datos!$A91="","",Idiomas!$A$12&amp;" "&amp;ROW()-1),"")</f>
        <v/>
      </c>
      <c r="B91" s="54">
        <f>IFERROR(MATCH(Datos!$A91,Configura!$B$9:$B$18,0),0)</f>
        <v>0</v>
      </c>
      <c r="C91" s="54">
        <f>IFERROR(MATCH(Datos!$B91,Configura!$D$9:$D$11,0),0)</f>
        <v>0</v>
      </c>
      <c r="D91" s="54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5" t="str">
        <f t="shared" ca="1" si="11"/>
        <v/>
      </c>
      <c r="F91" s="55" t="str">
        <f t="shared" ca="1" si="11"/>
        <v/>
      </c>
      <c r="G91" s="55" t="str">
        <f t="shared" ca="1" si="11"/>
        <v/>
      </c>
      <c r="H91" s="55" t="str">
        <f t="shared" ca="1" si="11"/>
        <v/>
      </c>
      <c r="I91" s="55" t="str">
        <f t="shared" ca="1" si="11"/>
        <v/>
      </c>
      <c r="J91" s="55" t="str">
        <f t="shared" ca="1" si="11"/>
        <v/>
      </c>
      <c r="K91" s="55" t="str">
        <f t="shared" ca="1" si="11"/>
        <v/>
      </c>
      <c r="L91" s="55" t="str">
        <f t="shared" ca="1" si="11"/>
        <v/>
      </c>
      <c r="M91" s="55" t="str">
        <f t="shared" ca="1" si="11"/>
        <v/>
      </c>
      <c r="N91" s="55" t="str">
        <f t="shared" ca="1" si="11"/>
        <v/>
      </c>
      <c r="O91" s="55" t="str">
        <f t="shared" ca="1" si="9"/>
        <v/>
      </c>
      <c r="P91" s="56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49" t="str">
        <f>IFERROR(IF(Datos!$A92="","",Idiomas!$A$12&amp;" "&amp;ROW()-1),"")</f>
        <v/>
      </c>
      <c r="B92" s="50">
        <f>IFERROR(MATCH(Datos!$A92,Configura!$B$9:$B$18,0),0)</f>
        <v>0</v>
      </c>
      <c r="C92" s="50">
        <f>IFERROR(MATCH(Datos!$B92,Configura!$D$9:$D$11,0),0)</f>
        <v>0</v>
      </c>
      <c r="D92" s="50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1" t="str">
        <f t="shared" ref="E92:N101" ca="1" si="12">IFERROR(E$1&amp;"-"&amp;MATCH($A92&amp;":",INDIRECT("KANBAN!"&amp;E$1&amp;":"&amp;E$1),0),"")</f>
        <v/>
      </c>
      <c r="F92" s="51" t="str">
        <f t="shared" ca="1" si="12"/>
        <v/>
      </c>
      <c r="G92" s="51" t="str">
        <f t="shared" ca="1" si="12"/>
        <v/>
      </c>
      <c r="H92" s="51" t="str">
        <f t="shared" ca="1" si="12"/>
        <v/>
      </c>
      <c r="I92" s="51" t="str">
        <f t="shared" ca="1" si="12"/>
        <v/>
      </c>
      <c r="J92" s="51" t="str">
        <f t="shared" ca="1" si="12"/>
        <v/>
      </c>
      <c r="K92" s="51" t="str">
        <f t="shared" ca="1" si="12"/>
        <v/>
      </c>
      <c r="L92" s="51" t="str">
        <f t="shared" ca="1" si="12"/>
        <v/>
      </c>
      <c r="M92" s="51" t="str">
        <f t="shared" ca="1" si="12"/>
        <v/>
      </c>
      <c r="N92" s="51" t="str">
        <f t="shared" ca="1" si="12"/>
        <v/>
      </c>
      <c r="O92" s="51" t="str">
        <f t="shared" ca="1" si="9"/>
        <v/>
      </c>
      <c r="P92" s="52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3" t="str">
        <f>IFERROR(IF(Datos!$A93="","",Idiomas!$A$12&amp;" "&amp;ROW()-1),"")</f>
        <v/>
      </c>
      <c r="B93" s="54">
        <f>IFERROR(MATCH(Datos!$A93,Configura!$B$9:$B$18,0),0)</f>
        <v>0</v>
      </c>
      <c r="C93" s="54">
        <f>IFERROR(MATCH(Datos!$B93,Configura!$D$9:$D$11,0),0)</f>
        <v>0</v>
      </c>
      <c r="D93" s="54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5" t="str">
        <f t="shared" ca="1" si="12"/>
        <v/>
      </c>
      <c r="F93" s="55" t="str">
        <f t="shared" ca="1" si="12"/>
        <v/>
      </c>
      <c r="G93" s="55" t="str">
        <f t="shared" ca="1" si="12"/>
        <v/>
      </c>
      <c r="H93" s="55" t="str">
        <f t="shared" ca="1" si="12"/>
        <v/>
      </c>
      <c r="I93" s="55" t="str">
        <f t="shared" ca="1" si="12"/>
        <v/>
      </c>
      <c r="J93" s="55" t="str">
        <f t="shared" ca="1" si="12"/>
        <v/>
      </c>
      <c r="K93" s="55" t="str">
        <f t="shared" ca="1" si="12"/>
        <v/>
      </c>
      <c r="L93" s="55" t="str">
        <f t="shared" ca="1" si="12"/>
        <v/>
      </c>
      <c r="M93" s="55" t="str">
        <f t="shared" ca="1" si="12"/>
        <v/>
      </c>
      <c r="N93" s="55" t="str">
        <f t="shared" ca="1" si="12"/>
        <v/>
      </c>
      <c r="O93" s="55" t="str">
        <f t="shared" ca="1" si="9"/>
        <v/>
      </c>
      <c r="P93" s="56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49" t="str">
        <f>IFERROR(IF(Datos!$A94="","",Idiomas!$A$12&amp;" "&amp;ROW()-1),"")</f>
        <v/>
      </c>
      <c r="B94" s="50">
        <f>IFERROR(MATCH(Datos!$A94,Configura!$B$9:$B$18,0),0)</f>
        <v>0</v>
      </c>
      <c r="C94" s="50">
        <f>IFERROR(MATCH(Datos!$B94,Configura!$D$9:$D$11,0),0)</f>
        <v>0</v>
      </c>
      <c r="D94" s="50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1" t="str">
        <f t="shared" ca="1" si="12"/>
        <v/>
      </c>
      <c r="F94" s="51" t="str">
        <f t="shared" ca="1" si="12"/>
        <v/>
      </c>
      <c r="G94" s="51" t="str">
        <f t="shared" ca="1" si="12"/>
        <v/>
      </c>
      <c r="H94" s="51" t="str">
        <f t="shared" ca="1" si="12"/>
        <v/>
      </c>
      <c r="I94" s="51" t="str">
        <f t="shared" ca="1" si="12"/>
        <v/>
      </c>
      <c r="J94" s="51" t="str">
        <f t="shared" ca="1" si="12"/>
        <v/>
      </c>
      <c r="K94" s="51" t="str">
        <f t="shared" ca="1" si="12"/>
        <v/>
      </c>
      <c r="L94" s="51" t="str">
        <f t="shared" ca="1" si="12"/>
        <v/>
      </c>
      <c r="M94" s="51" t="str">
        <f t="shared" ca="1" si="12"/>
        <v/>
      </c>
      <c r="N94" s="51" t="str">
        <f t="shared" ca="1" si="12"/>
        <v/>
      </c>
      <c r="O94" s="51" t="str">
        <f t="shared" ca="1" si="9"/>
        <v/>
      </c>
      <c r="P94" s="52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3" t="str">
        <f>IFERROR(IF(Datos!$A95="","",Idiomas!$A$12&amp;" "&amp;ROW()-1),"")</f>
        <v/>
      </c>
      <c r="B95" s="54">
        <f>IFERROR(MATCH(Datos!$A95,Configura!$B$9:$B$18,0),0)</f>
        <v>0</v>
      </c>
      <c r="C95" s="54">
        <f>IFERROR(MATCH(Datos!$B95,Configura!$D$9:$D$11,0),0)</f>
        <v>0</v>
      </c>
      <c r="D95" s="54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5" t="str">
        <f t="shared" ca="1" si="12"/>
        <v/>
      </c>
      <c r="F95" s="55" t="str">
        <f t="shared" ca="1" si="12"/>
        <v/>
      </c>
      <c r="G95" s="55" t="str">
        <f t="shared" ca="1" si="12"/>
        <v/>
      </c>
      <c r="H95" s="55" t="str">
        <f t="shared" ca="1" si="12"/>
        <v/>
      </c>
      <c r="I95" s="55" t="str">
        <f t="shared" ca="1" si="12"/>
        <v/>
      </c>
      <c r="J95" s="55" t="str">
        <f t="shared" ca="1" si="12"/>
        <v/>
      </c>
      <c r="K95" s="55" t="str">
        <f t="shared" ca="1" si="12"/>
        <v/>
      </c>
      <c r="L95" s="55" t="str">
        <f t="shared" ca="1" si="12"/>
        <v/>
      </c>
      <c r="M95" s="55" t="str">
        <f t="shared" ca="1" si="12"/>
        <v/>
      </c>
      <c r="N95" s="55" t="str">
        <f t="shared" ca="1" si="12"/>
        <v/>
      </c>
      <c r="O95" s="55" t="str">
        <f t="shared" ca="1" si="9"/>
        <v/>
      </c>
      <c r="P95" s="56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49" t="str">
        <f>IFERROR(IF(Datos!$A96="","",Idiomas!$A$12&amp;" "&amp;ROW()-1),"")</f>
        <v/>
      </c>
      <c r="B96" s="50">
        <f>IFERROR(MATCH(Datos!$A96,Configura!$B$9:$B$18,0),0)</f>
        <v>0</v>
      </c>
      <c r="C96" s="50">
        <f>IFERROR(MATCH(Datos!$B96,Configura!$D$9:$D$11,0),0)</f>
        <v>0</v>
      </c>
      <c r="D96" s="50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1" t="str">
        <f t="shared" ca="1" si="12"/>
        <v/>
      </c>
      <c r="F96" s="51" t="str">
        <f t="shared" ca="1" si="12"/>
        <v/>
      </c>
      <c r="G96" s="51" t="str">
        <f t="shared" ca="1" si="12"/>
        <v/>
      </c>
      <c r="H96" s="51" t="str">
        <f t="shared" ca="1" si="12"/>
        <v/>
      </c>
      <c r="I96" s="51" t="str">
        <f t="shared" ca="1" si="12"/>
        <v/>
      </c>
      <c r="J96" s="51" t="str">
        <f t="shared" ca="1" si="12"/>
        <v/>
      </c>
      <c r="K96" s="51" t="str">
        <f t="shared" ca="1" si="12"/>
        <v/>
      </c>
      <c r="L96" s="51" t="str">
        <f t="shared" ca="1" si="12"/>
        <v/>
      </c>
      <c r="M96" s="51" t="str">
        <f t="shared" ca="1" si="12"/>
        <v/>
      </c>
      <c r="N96" s="51" t="str">
        <f t="shared" ca="1" si="12"/>
        <v/>
      </c>
      <c r="O96" s="51" t="str">
        <f t="shared" ca="1" si="9"/>
        <v/>
      </c>
      <c r="P96" s="52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3" t="str">
        <f>IFERROR(IF(Datos!$A97="","",Idiomas!$A$12&amp;" "&amp;ROW()-1),"")</f>
        <v/>
      </c>
      <c r="B97" s="54">
        <f>IFERROR(MATCH(Datos!$A97,Configura!$B$9:$B$18,0),0)</f>
        <v>0</v>
      </c>
      <c r="C97" s="54">
        <f>IFERROR(MATCH(Datos!$B97,Configura!$D$9:$D$11,0),0)</f>
        <v>0</v>
      </c>
      <c r="D97" s="54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5" t="str">
        <f t="shared" ca="1" si="12"/>
        <v/>
      </c>
      <c r="F97" s="55" t="str">
        <f t="shared" ca="1" si="12"/>
        <v/>
      </c>
      <c r="G97" s="55" t="str">
        <f t="shared" ca="1" si="12"/>
        <v/>
      </c>
      <c r="H97" s="55" t="str">
        <f t="shared" ca="1" si="12"/>
        <v/>
      </c>
      <c r="I97" s="55" t="str">
        <f t="shared" ca="1" si="12"/>
        <v/>
      </c>
      <c r="J97" s="55" t="str">
        <f t="shared" ca="1" si="12"/>
        <v/>
      </c>
      <c r="K97" s="55" t="str">
        <f t="shared" ca="1" si="12"/>
        <v/>
      </c>
      <c r="L97" s="55" t="str">
        <f t="shared" ca="1" si="12"/>
        <v/>
      </c>
      <c r="M97" s="55" t="str">
        <f t="shared" ca="1" si="12"/>
        <v/>
      </c>
      <c r="N97" s="55" t="str">
        <f t="shared" ca="1" si="12"/>
        <v/>
      </c>
      <c r="O97" s="55" t="str">
        <f t="shared" ca="1" si="9"/>
        <v/>
      </c>
      <c r="P97" s="56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49" t="str">
        <f>IFERROR(IF(Datos!$A98="","",Idiomas!$A$12&amp;" "&amp;ROW()-1),"")</f>
        <v/>
      </c>
      <c r="B98" s="50">
        <f>IFERROR(MATCH(Datos!$A98,Configura!$B$9:$B$18,0),0)</f>
        <v>0</v>
      </c>
      <c r="C98" s="50">
        <f>IFERROR(MATCH(Datos!$B98,Configura!$D$9:$D$11,0),0)</f>
        <v>0</v>
      </c>
      <c r="D98" s="50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1" t="str">
        <f t="shared" ca="1" si="12"/>
        <v/>
      </c>
      <c r="F98" s="51" t="str">
        <f t="shared" ca="1" si="12"/>
        <v/>
      </c>
      <c r="G98" s="51" t="str">
        <f t="shared" ca="1" si="12"/>
        <v/>
      </c>
      <c r="H98" s="51" t="str">
        <f t="shared" ca="1" si="12"/>
        <v/>
      </c>
      <c r="I98" s="51" t="str">
        <f t="shared" ca="1" si="12"/>
        <v/>
      </c>
      <c r="J98" s="51" t="str">
        <f t="shared" ca="1" si="12"/>
        <v/>
      </c>
      <c r="K98" s="51" t="str">
        <f t="shared" ca="1" si="12"/>
        <v/>
      </c>
      <c r="L98" s="51" t="str">
        <f t="shared" ca="1" si="12"/>
        <v/>
      </c>
      <c r="M98" s="51" t="str">
        <f t="shared" ca="1" si="12"/>
        <v/>
      </c>
      <c r="N98" s="51" t="str">
        <f t="shared" ca="1" si="12"/>
        <v/>
      </c>
      <c r="O98" s="51" t="str">
        <f t="shared" ref="O98:O101" ca="1" si="13">E98&amp;F98&amp;G98&amp;H98&amp;I98&amp;J98&amp;K98&amp;L98&amp;M98&amp;N98</f>
        <v/>
      </c>
      <c r="P98" s="52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3" t="str">
        <f>IFERROR(IF(Datos!$A99="","",Idiomas!$A$12&amp;" "&amp;ROW()-1),"")</f>
        <v/>
      </c>
      <c r="B99" s="54">
        <f>IFERROR(MATCH(Datos!$A99,Configura!$B$9:$B$18,0),0)</f>
        <v>0</v>
      </c>
      <c r="C99" s="54">
        <f>IFERROR(MATCH(Datos!$B99,Configura!$D$9:$D$11,0),0)</f>
        <v>0</v>
      </c>
      <c r="D99" s="54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5" t="str">
        <f t="shared" ca="1" si="12"/>
        <v/>
      </c>
      <c r="F99" s="55" t="str">
        <f t="shared" ca="1" si="12"/>
        <v/>
      </c>
      <c r="G99" s="55" t="str">
        <f t="shared" ca="1" si="12"/>
        <v/>
      </c>
      <c r="H99" s="55" t="str">
        <f t="shared" ca="1" si="12"/>
        <v/>
      </c>
      <c r="I99" s="55" t="str">
        <f t="shared" ca="1" si="12"/>
        <v/>
      </c>
      <c r="J99" s="55" t="str">
        <f t="shared" ca="1" si="12"/>
        <v/>
      </c>
      <c r="K99" s="55" t="str">
        <f t="shared" ca="1" si="12"/>
        <v/>
      </c>
      <c r="L99" s="55" t="str">
        <f t="shared" ca="1" si="12"/>
        <v/>
      </c>
      <c r="M99" s="55" t="str">
        <f t="shared" ca="1" si="12"/>
        <v/>
      </c>
      <c r="N99" s="55" t="str">
        <f t="shared" ca="1" si="12"/>
        <v/>
      </c>
      <c r="O99" s="55" t="str">
        <f t="shared" ca="1" si="13"/>
        <v/>
      </c>
      <c r="P99" s="56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49" t="str">
        <f>IFERROR(IF(Datos!$A100="","",Idiomas!$A$12&amp;" "&amp;ROW()-1),"")</f>
        <v/>
      </c>
      <c r="B100" s="50">
        <f>IFERROR(MATCH(Datos!$A100,Configura!$B$9:$B$18,0),0)</f>
        <v>0</v>
      </c>
      <c r="C100" s="50">
        <f>IFERROR(MATCH(Datos!$B100,Configura!$D$9:$D$11,0),0)</f>
        <v>0</v>
      </c>
      <c r="D100" s="50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1" t="str">
        <f t="shared" ca="1" si="12"/>
        <v/>
      </c>
      <c r="F100" s="51" t="str">
        <f t="shared" ca="1" si="12"/>
        <v/>
      </c>
      <c r="G100" s="51" t="str">
        <f t="shared" ca="1" si="12"/>
        <v/>
      </c>
      <c r="H100" s="51" t="str">
        <f t="shared" ca="1" si="12"/>
        <v/>
      </c>
      <c r="I100" s="51" t="str">
        <f t="shared" ca="1" si="12"/>
        <v/>
      </c>
      <c r="J100" s="51" t="str">
        <f t="shared" ca="1" si="12"/>
        <v/>
      </c>
      <c r="K100" s="51" t="str">
        <f t="shared" ca="1" si="12"/>
        <v/>
      </c>
      <c r="L100" s="51" t="str">
        <f t="shared" ca="1" si="12"/>
        <v/>
      </c>
      <c r="M100" s="51" t="str">
        <f t="shared" ca="1" si="12"/>
        <v/>
      </c>
      <c r="N100" s="51" t="str">
        <f t="shared" ca="1" si="12"/>
        <v/>
      </c>
      <c r="O100" s="51" t="str">
        <f t="shared" ca="1" si="13"/>
        <v/>
      </c>
      <c r="P100" s="52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57" t="str">
        <f>IFERROR(IF(Datos!$A101="","",Idiomas!$A$12&amp;" "&amp;ROW()-1),"")</f>
        <v/>
      </c>
      <c r="B101" s="58">
        <f>IFERROR(MATCH(Datos!$A101,Configura!$B$9:$B$18,0),0)</f>
        <v>0</v>
      </c>
      <c r="C101" s="58">
        <f>IFERROR(MATCH(Datos!$B101,Configura!$D$9:$D$11,0),0)</f>
        <v>0</v>
      </c>
      <c r="D101" s="58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59" t="str">
        <f t="shared" ca="1" si="12"/>
        <v/>
      </c>
      <c r="F101" s="59" t="str">
        <f t="shared" ca="1" si="12"/>
        <v/>
      </c>
      <c r="G101" s="59" t="str">
        <f t="shared" ca="1" si="12"/>
        <v/>
      </c>
      <c r="H101" s="59" t="str">
        <f t="shared" ca="1" si="12"/>
        <v/>
      </c>
      <c r="I101" s="59" t="str">
        <f t="shared" ca="1" si="12"/>
        <v/>
      </c>
      <c r="J101" s="59" t="str">
        <f t="shared" ca="1" si="12"/>
        <v/>
      </c>
      <c r="K101" s="59" t="str">
        <f t="shared" ca="1" si="12"/>
        <v/>
      </c>
      <c r="L101" s="59" t="str">
        <f t="shared" ca="1" si="12"/>
        <v/>
      </c>
      <c r="M101" s="59" t="str">
        <f t="shared" ca="1" si="12"/>
        <v/>
      </c>
      <c r="N101" s="59" t="str">
        <f t="shared" ca="1" si="12"/>
        <v/>
      </c>
      <c r="O101" s="59" t="str">
        <f t="shared" ca="1" si="13"/>
        <v/>
      </c>
      <c r="P101" s="60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17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17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17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17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17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17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17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17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17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>
        <f ca="1"/>
        <v>17</v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18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18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18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18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18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18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18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18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18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18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18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18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18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18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18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18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18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18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18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18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18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18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18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18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18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18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18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18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18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18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18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18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18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18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Miguel Verdezoto</cp:lastModifiedBy>
  <cp:revision>0</cp:revision>
  <dcterms:created xsi:type="dcterms:W3CDTF">2022-12-26T11:27:14Z</dcterms:created>
  <dcterms:modified xsi:type="dcterms:W3CDTF">2026-06-17T16:42:48Z</dcterms:modified>
  <cp:category/>
  <cp:contentStatus/>
</cp:coreProperties>
</file>